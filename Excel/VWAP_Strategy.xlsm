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ROJECTS\ALGO TRADING\.AlgoTrading\"/>
    </mc:Choice>
  </mc:AlternateContent>
  <xr:revisionPtr revIDLastSave="0" documentId="13_ncr:1_{572AC4DA-DD2A-4FC2-A1F3-CE8660855ED1}" xr6:coauthVersionLast="47" xr6:coauthVersionMax="47" xr10:uidLastSave="{00000000-0000-0000-0000-000000000000}"/>
  <bookViews>
    <workbookView xWindow="3900" yWindow="3900" windowWidth="38700" windowHeight="15345" xr2:uid="{00000000-000D-0000-FFFF-FFFF00000000}"/>
  </bookViews>
  <sheets>
    <sheet name="VWAP Strategy" sheetId="7" r:id="rId1"/>
    <sheet name="VWAP Chart" sheetId="8" r:id="rId2"/>
  </sheets>
  <definedNames>
    <definedName name="RSI_Overbought">#REF!</definedName>
    <definedName name="RSI_Oversold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7" l="1"/>
  <c r="P13" i="7"/>
  <c r="P14" i="7"/>
  <c r="P15" i="7"/>
  <c r="P16" i="7"/>
  <c r="P17" i="7"/>
  <c r="P18" i="7"/>
  <c r="P19" i="7"/>
  <c r="P20" i="7"/>
  <c r="P21" i="7"/>
  <c r="S8" i="7" s="1"/>
  <c r="P22" i="7"/>
  <c r="P23" i="7"/>
  <c r="P24" i="7"/>
  <c r="P25" i="7"/>
  <c r="S7" i="7" s="1"/>
  <c r="P26" i="7"/>
  <c r="P27" i="7"/>
  <c r="S3" i="7" s="1"/>
  <c r="P28" i="7"/>
  <c r="S2" i="7" s="1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O10" i="7"/>
  <c r="S4" i="7" l="1"/>
  <c r="S5" i="7"/>
  <c r="S6" i="7" l="1"/>
  <c r="J12" i="7" l="1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1" i="7"/>
  <c r="H413" i="7"/>
  <c r="H414" i="7"/>
  <c r="H461" i="7"/>
  <c r="H514" i="7"/>
  <c r="H912" i="7"/>
  <c r="H972" i="7"/>
  <c r="H974" i="7"/>
  <c r="H992" i="7"/>
  <c r="H1273" i="7"/>
  <c r="H1573" i="7"/>
  <c r="H1574" i="7"/>
  <c r="H1753" i="7"/>
  <c r="H1814" i="7"/>
  <c r="H1874" i="7"/>
  <c r="G2" i="7"/>
  <c r="H2" i="7" s="1"/>
  <c r="G3" i="7"/>
  <c r="H3" i="7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G40" i="7"/>
  <c r="H40" i="7" s="1"/>
  <c r="G41" i="7"/>
  <c r="H41" i="7" s="1"/>
  <c r="G42" i="7"/>
  <c r="H42" i="7" s="1"/>
  <c r="G43" i="7"/>
  <c r="H43" i="7" s="1"/>
  <c r="G44" i="7"/>
  <c r="H44" i="7" s="1"/>
  <c r="G45" i="7"/>
  <c r="H45" i="7" s="1"/>
  <c r="G46" i="7"/>
  <c r="H46" i="7" s="1"/>
  <c r="G47" i="7"/>
  <c r="H47" i="7" s="1"/>
  <c r="G48" i="7"/>
  <c r="H48" i="7" s="1"/>
  <c r="G49" i="7"/>
  <c r="H49" i="7" s="1"/>
  <c r="G50" i="7"/>
  <c r="H50" i="7" s="1"/>
  <c r="G51" i="7"/>
  <c r="H51" i="7" s="1"/>
  <c r="G52" i="7"/>
  <c r="H52" i="7" s="1"/>
  <c r="G53" i="7"/>
  <c r="H53" i="7" s="1"/>
  <c r="G54" i="7"/>
  <c r="H54" i="7" s="1"/>
  <c r="G55" i="7"/>
  <c r="H55" i="7" s="1"/>
  <c r="G56" i="7"/>
  <c r="H56" i="7" s="1"/>
  <c r="G57" i="7"/>
  <c r="H57" i="7" s="1"/>
  <c r="G58" i="7"/>
  <c r="H58" i="7" s="1"/>
  <c r="G59" i="7"/>
  <c r="H59" i="7" s="1"/>
  <c r="G60" i="7"/>
  <c r="H60" i="7" s="1"/>
  <c r="G61" i="7"/>
  <c r="H61" i="7" s="1"/>
  <c r="G62" i="7"/>
  <c r="H62" i="7" s="1"/>
  <c r="G63" i="7"/>
  <c r="H63" i="7" s="1"/>
  <c r="G64" i="7"/>
  <c r="H64" i="7" s="1"/>
  <c r="G65" i="7"/>
  <c r="H65" i="7" s="1"/>
  <c r="G66" i="7"/>
  <c r="H66" i="7" s="1"/>
  <c r="G67" i="7"/>
  <c r="H67" i="7" s="1"/>
  <c r="G68" i="7"/>
  <c r="H68" i="7" s="1"/>
  <c r="G69" i="7"/>
  <c r="H69" i="7" s="1"/>
  <c r="G70" i="7"/>
  <c r="H70" i="7" s="1"/>
  <c r="G71" i="7"/>
  <c r="H71" i="7" s="1"/>
  <c r="G72" i="7"/>
  <c r="H72" i="7" s="1"/>
  <c r="G73" i="7"/>
  <c r="H73" i="7" s="1"/>
  <c r="G74" i="7"/>
  <c r="H74" i="7" s="1"/>
  <c r="G75" i="7"/>
  <c r="H75" i="7" s="1"/>
  <c r="G76" i="7"/>
  <c r="H76" i="7" s="1"/>
  <c r="G77" i="7"/>
  <c r="H77" i="7" s="1"/>
  <c r="G78" i="7"/>
  <c r="H78" i="7" s="1"/>
  <c r="G79" i="7"/>
  <c r="H79" i="7" s="1"/>
  <c r="G80" i="7"/>
  <c r="H80" i="7" s="1"/>
  <c r="G81" i="7"/>
  <c r="H81" i="7" s="1"/>
  <c r="G82" i="7"/>
  <c r="H82" i="7" s="1"/>
  <c r="G83" i="7"/>
  <c r="H83" i="7" s="1"/>
  <c r="G84" i="7"/>
  <c r="H84" i="7" s="1"/>
  <c r="G85" i="7"/>
  <c r="H85" i="7" s="1"/>
  <c r="G86" i="7"/>
  <c r="H86" i="7" s="1"/>
  <c r="G87" i="7"/>
  <c r="H87" i="7" s="1"/>
  <c r="G88" i="7"/>
  <c r="H88" i="7" s="1"/>
  <c r="G89" i="7"/>
  <c r="H89" i="7" s="1"/>
  <c r="G90" i="7"/>
  <c r="H90" i="7" s="1"/>
  <c r="G91" i="7"/>
  <c r="H91" i="7" s="1"/>
  <c r="G92" i="7"/>
  <c r="H92" i="7" s="1"/>
  <c r="G93" i="7"/>
  <c r="H93" i="7" s="1"/>
  <c r="G94" i="7"/>
  <c r="H94" i="7" s="1"/>
  <c r="G95" i="7"/>
  <c r="H95" i="7" s="1"/>
  <c r="G96" i="7"/>
  <c r="H96" i="7" s="1"/>
  <c r="G97" i="7"/>
  <c r="H97" i="7" s="1"/>
  <c r="G98" i="7"/>
  <c r="H98" i="7" s="1"/>
  <c r="G99" i="7"/>
  <c r="H99" i="7" s="1"/>
  <c r="G100" i="7"/>
  <c r="H100" i="7" s="1"/>
  <c r="G101" i="7"/>
  <c r="H101" i="7" s="1"/>
  <c r="G102" i="7"/>
  <c r="H102" i="7" s="1"/>
  <c r="G103" i="7"/>
  <c r="H103" i="7" s="1"/>
  <c r="G104" i="7"/>
  <c r="H104" i="7" s="1"/>
  <c r="G105" i="7"/>
  <c r="H105" i="7" s="1"/>
  <c r="G106" i="7"/>
  <c r="H106" i="7" s="1"/>
  <c r="G107" i="7"/>
  <c r="H107" i="7" s="1"/>
  <c r="G108" i="7"/>
  <c r="H108" i="7" s="1"/>
  <c r="G109" i="7"/>
  <c r="H109" i="7" s="1"/>
  <c r="G110" i="7"/>
  <c r="H110" i="7" s="1"/>
  <c r="G111" i="7"/>
  <c r="H111" i="7" s="1"/>
  <c r="G112" i="7"/>
  <c r="H112" i="7" s="1"/>
  <c r="G113" i="7"/>
  <c r="H113" i="7" s="1"/>
  <c r="G114" i="7"/>
  <c r="H114" i="7" s="1"/>
  <c r="G115" i="7"/>
  <c r="H115" i="7" s="1"/>
  <c r="G116" i="7"/>
  <c r="H116" i="7" s="1"/>
  <c r="G117" i="7"/>
  <c r="H117" i="7" s="1"/>
  <c r="G118" i="7"/>
  <c r="H118" i="7" s="1"/>
  <c r="G119" i="7"/>
  <c r="H119" i="7" s="1"/>
  <c r="G120" i="7"/>
  <c r="H120" i="7" s="1"/>
  <c r="G121" i="7"/>
  <c r="H121" i="7" s="1"/>
  <c r="G122" i="7"/>
  <c r="H122" i="7" s="1"/>
  <c r="G123" i="7"/>
  <c r="H123" i="7" s="1"/>
  <c r="G124" i="7"/>
  <c r="H124" i="7" s="1"/>
  <c r="G125" i="7"/>
  <c r="H125" i="7" s="1"/>
  <c r="G126" i="7"/>
  <c r="H126" i="7" s="1"/>
  <c r="G127" i="7"/>
  <c r="H127" i="7" s="1"/>
  <c r="G128" i="7"/>
  <c r="H128" i="7" s="1"/>
  <c r="G129" i="7"/>
  <c r="H129" i="7" s="1"/>
  <c r="G130" i="7"/>
  <c r="H130" i="7" s="1"/>
  <c r="G131" i="7"/>
  <c r="H131" i="7" s="1"/>
  <c r="G132" i="7"/>
  <c r="H132" i="7" s="1"/>
  <c r="G133" i="7"/>
  <c r="H133" i="7" s="1"/>
  <c r="G134" i="7"/>
  <c r="H134" i="7" s="1"/>
  <c r="G135" i="7"/>
  <c r="H135" i="7" s="1"/>
  <c r="G136" i="7"/>
  <c r="H136" i="7" s="1"/>
  <c r="G137" i="7"/>
  <c r="H137" i="7" s="1"/>
  <c r="G138" i="7"/>
  <c r="H138" i="7" s="1"/>
  <c r="G139" i="7"/>
  <c r="H139" i="7" s="1"/>
  <c r="G140" i="7"/>
  <c r="H140" i="7" s="1"/>
  <c r="G141" i="7"/>
  <c r="H141" i="7" s="1"/>
  <c r="G142" i="7"/>
  <c r="H142" i="7" s="1"/>
  <c r="G143" i="7"/>
  <c r="H143" i="7" s="1"/>
  <c r="G144" i="7"/>
  <c r="H144" i="7" s="1"/>
  <c r="G145" i="7"/>
  <c r="H145" i="7" s="1"/>
  <c r="G146" i="7"/>
  <c r="H146" i="7" s="1"/>
  <c r="G147" i="7"/>
  <c r="H147" i="7" s="1"/>
  <c r="G148" i="7"/>
  <c r="H148" i="7" s="1"/>
  <c r="G149" i="7"/>
  <c r="H149" i="7" s="1"/>
  <c r="G150" i="7"/>
  <c r="H150" i="7" s="1"/>
  <c r="G151" i="7"/>
  <c r="H151" i="7" s="1"/>
  <c r="G152" i="7"/>
  <c r="H152" i="7" s="1"/>
  <c r="G153" i="7"/>
  <c r="H153" i="7" s="1"/>
  <c r="G154" i="7"/>
  <c r="H154" i="7" s="1"/>
  <c r="G155" i="7"/>
  <c r="H155" i="7" s="1"/>
  <c r="G156" i="7"/>
  <c r="H156" i="7" s="1"/>
  <c r="G157" i="7"/>
  <c r="H157" i="7" s="1"/>
  <c r="G158" i="7"/>
  <c r="H158" i="7" s="1"/>
  <c r="G159" i="7"/>
  <c r="H159" i="7" s="1"/>
  <c r="G160" i="7"/>
  <c r="H160" i="7" s="1"/>
  <c r="G161" i="7"/>
  <c r="H161" i="7" s="1"/>
  <c r="G162" i="7"/>
  <c r="H162" i="7" s="1"/>
  <c r="G163" i="7"/>
  <c r="H163" i="7" s="1"/>
  <c r="G164" i="7"/>
  <c r="H164" i="7" s="1"/>
  <c r="G165" i="7"/>
  <c r="H165" i="7" s="1"/>
  <c r="G166" i="7"/>
  <c r="H166" i="7" s="1"/>
  <c r="G167" i="7"/>
  <c r="H167" i="7" s="1"/>
  <c r="G168" i="7"/>
  <c r="H168" i="7" s="1"/>
  <c r="G169" i="7"/>
  <c r="H169" i="7" s="1"/>
  <c r="G170" i="7"/>
  <c r="H170" i="7" s="1"/>
  <c r="G171" i="7"/>
  <c r="H171" i="7" s="1"/>
  <c r="G172" i="7"/>
  <c r="H172" i="7" s="1"/>
  <c r="G173" i="7"/>
  <c r="H173" i="7" s="1"/>
  <c r="G174" i="7"/>
  <c r="H174" i="7" s="1"/>
  <c r="G175" i="7"/>
  <c r="H175" i="7" s="1"/>
  <c r="G176" i="7"/>
  <c r="H176" i="7" s="1"/>
  <c r="G177" i="7"/>
  <c r="H177" i="7" s="1"/>
  <c r="G178" i="7"/>
  <c r="H178" i="7" s="1"/>
  <c r="G179" i="7"/>
  <c r="H179" i="7" s="1"/>
  <c r="G180" i="7"/>
  <c r="H180" i="7" s="1"/>
  <c r="G181" i="7"/>
  <c r="H181" i="7" s="1"/>
  <c r="G182" i="7"/>
  <c r="H182" i="7" s="1"/>
  <c r="G183" i="7"/>
  <c r="H183" i="7" s="1"/>
  <c r="G184" i="7"/>
  <c r="H184" i="7" s="1"/>
  <c r="G185" i="7"/>
  <c r="H185" i="7" s="1"/>
  <c r="G186" i="7"/>
  <c r="H186" i="7" s="1"/>
  <c r="G187" i="7"/>
  <c r="H187" i="7" s="1"/>
  <c r="G188" i="7"/>
  <c r="H188" i="7" s="1"/>
  <c r="G189" i="7"/>
  <c r="H189" i="7" s="1"/>
  <c r="G190" i="7"/>
  <c r="H190" i="7" s="1"/>
  <c r="G191" i="7"/>
  <c r="H191" i="7" s="1"/>
  <c r="G192" i="7"/>
  <c r="H192" i="7" s="1"/>
  <c r="G193" i="7"/>
  <c r="H193" i="7" s="1"/>
  <c r="G194" i="7"/>
  <c r="H194" i="7" s="1"/>
  <c r="G195" i="7"/>
  <c r="H195" i="7" s="1"/>
  <c r="G196" i="7"/>
  <c r="H196" i="7" s="1"/>
  <c r="G197" i="7"/>
  <c r="H197" i="7" s="1"/>
  <c r="G198" i="7"/>
  <c r="H198" i="7" s="1"/>
  <c r="G199" i="7"/>
  <c r="H199" i="7" s="1"/>
  <c r="G200" i="7"/>
  <c r="H200" i="7" s="1"/>
  <c r="G201" i="7"/>
  <c r="H201" i="7" s="1"/>
  <c r="G202" i="7"/>
  <c r="H202" i="7" s="1"/>
  <c r="G203" i="7"/>
  <c r="H203" i="7" s="1"/>
  <c r="G204" i="7"/>
  <c r="H204" i="7" s="1"/>
  <c r="G205" i="7"/>
  <c r="H205" i="7" s="1"/>
  <c r="G206" i="7"/>
  <c r="H206" i="7" s="1"/>
  <c r="G207" i="7"/>
  <c r="H207" i="7" s="1"/>
  <c r="G208" i="7"/>
  <c r="H208" i="7" s="1"/>
  <c r="G209" i="7"/>
  <c r="H209" i="7" s="1"/>
  <c r="G210" i="7"/>
  <c r="H210" i="7" s="1"/>
  <c r="G211" i="7"/>
  <c r="H211" i="7" s="1"/>
  <c r="G212" i="7"/>
  <c r="H212" i="7" s="1"/>
  <c r="G213" i="7"/>
  <c r="H213" i="7" s="1"/>
  <c r="G214" i="7"/>
  <c r="H214" i="7" s="1"/>
  <c r="G215" i="7"/>
  <c r="H215" i="7" s="1"/>
  <c r="G216" i="7"/>
  <c r="H216" i="7" s="1"/>
  <c r="G217" i="7"/>
  <c r="H217" i="7" s="1"/>
  <c r="G218" i="7"/>
  <c r="H218" i="7" s="1"/>
  <c r="G219" i="7"/>
  <c r="H219" i="7" s="1"/>
  <c r="G220" i="7"/>
  <c r="H220" i="7" s="1"/>
  <c r="G221" i="7"/>
  <c r="H221" i="7" s="1"/>
  <c r="G222" i="7"/>
  <c r="H222" i="7" s="1"/>
  <c r="G223" i="7"/>
  <c r="H223" i="7" s="1"/>
  <c r="G224" i="7"/>
  <c r="H224" i="7" s="1"/>
  <c r="G225" i="7"/>
  <c r="H225" i="7" s="1"/>
  <c r="G226" i="7"/>
  <c r="H226" i="7" s="1"/>
  <c r="G227" i="7"/>
  <c r="H227" i="7" s="1"/>
  <c r="G228" i="7"/>
  <c r="H228" i="7" s="1"/>
  <c r="G229" i="7"/>
  <c r="H229" i="7" s="1"/>
  <c r="G230" i="7"/>
  <c r="H230" i="7" s="1"/>
  <c r="G231" i="7"/>
  <c r="H231" i="7" s="1"/>
  <c r="G232" i="7"/>
  <c r="H232" i="7" s="1"/>
  <c r="G233" i="7"/>
  <c r="H233" i="7" s="1"/>
  <c r="G234" i="7"/>
  <c r="H234" i="7" s="1"/>
  <c r="G235" i="7"/>
  <c r="H235" i="7" s="1"/>
  <c r="G236" i="7"/>
  <c r="H236" i="7" s="1"/>
  <c r="G237" i="7"/>
  <c r="H237" i="7" s="1"/>
  <c r="G238" i="7"/>
  <c r="H238" i="7" s="1"/>
  <c r="G239" i="7"/>
  <c r="H239" i="7" s="1"/>
  <c r="G240" i="7"/>
  <c r="H240" i="7" s="1"/>
  <c r="G241" i="7"/>
  <c r="H241" i="7" s="1"/>
  <c r="G242" i="7"/>
  <c r="H242" i="7" s="1"/>
  <c r="G243" i="7"/>
  <c r="H243" i="7" s="1"/>
  <c r="G244" i="7"/>
  <c r="H244" i="7" s="1"/>
  <c r="G245" i="7"/>
  <c r="H245" i="7" s="1"/>
  <c r="G246" i="7"/>
  <c r="H246" i="7" s="1"/>
  <c r="G247" i="7"/>
  <c r="H247" i="7" s="1"/>
  <c r="G248" i="7"/>
  <c r="H248" i="7" s="1"/>
  <c r="G249" i="7"/>
  <c r="H249" i="7" s="1"/>
  <c r="G250" i="7"/>
  <c r="H250" i="7" s="1"/>
  <c r="G251" i="7"/>
  <c r="H251" i="7" s="1"/>
  <c r="G252" i="7"/>
  <c r="H252" i="7" s="1"/>
  <c r="G253" i="7"/>
  <c r="H253" i="7" s="1"/>
  <c r="G254" i="7"/>
  <c r="H254" i="7" s="1"/>
  <c r="G255" i="7"/>
  <c r="H255" i="7" s="1"/>
  <c r="G256" i="7"/>
  <c r="H256" i="7" s="1"/>
  <c r="G257" i="7"/>
  <c r="H257" i="7" s="1"/>
  <c r="G258" i="7"/>
  <c r="H258" i="7" s="1"/>
  <c r="G259" i="7"/>
  <c r="H259" i="7" s="1"/>
  <c r="G260" i="7"/>
  <c r="H260" i="7" s="1"/>
  <c r="G261" i="7"/>
  <c r="H261" i="7" s="1"/>
  <c r="G262" i="7"/>
  <c r="H262" i="7" s="1"/>
  <c r="G263" i="7"/>
  <c r="H263" i="7" s="1"/>
  <c r="G264" i="7"/>
  <c r="H264" i="7" s="1"/>
  <c r="G265" i="7"/>
  <c r="H265" i="7" s="1"/>
  <c r="G266" i="7"/>
  <c r="H266" i="7" s="1"/>
  <c r="G267" i="7"/>
  <c r="H267" i="7" s="1"/>
  <c r="G268" i="7"/>
  <c r="H268" i="7" s="1"/>
  <c r="G269" i="7"/>
  <c r="H269" i="7" s="1"/>
  <c r="G270" i="7"/>
  <c r="H270" i="7" s="1"/>
  <c r="G271" i="7"/>
  <c r="H271" i="7" s="1"/>
  <c r="G272" i="7"/>
  <c r="H272" i="7" s="1"/>
  <c r="G273" i="7"/>
  <c r="H273" i="7" s="1"/>
  <c r="G274" i="7"/>
  <c r="H274" i="7" s="1"/>
  <c r="G275" i="7"/>
  <c r="H275" i="7" s="1"/>
  <c r="G276" i="7"/>
  <c r="H276" i="7" s="1"/>
  <c r="G277" i="7"/>
  <c r="H277" i="7" s="1"/>
  <c r="G278" i="7"/>
  <c r="H278" i="7" s="1"/>
  <c r="G279" i="7"/>
  <c r="H279" i="7" s="1"/>
  <c r="G280" i="7"/>
  <c r="H280" i="7" s="1"/>
  <c r="G281" i="7"/>
  <c r="H281" i="7" s="1"/>
  <c r="G282" i="7"/>
  <c r="H282" i="7" s="1"/>
  <c r="G283" i="7"/>
  <c r="H283" i="7" s="1"/>
  <c r="G284" i="7"/>
  <c r="H284" i="7" s="1"/>
  <c r="G285" i="7"/>
  <c r="H285" i="7" s="1"/>
  <c r="G286" i="7"/>
  <c r="H286" i="7" s="1"/>
  <c r="G287" i="7"/>
  <c r="H287" i="7" s="1"/>
  <c r="G288" i="7"/>
  <c r="H288" i="7" s="1"/>
  <c r="G289" i="7"/>
  <c r="H289" i="7" s="1"/>
  <c r="G290" i="7"/>
  <c r="H290" i="7" s="1"/>
  <c r="G291" i="7"/>
  <c r="H291" i="7" s="1"/>
  <c r="G292" i="7"/>
  <c r="H292" i="7" s="1"/>
  <c r="G293" i="7"/>
  <c r="H293" i="7" s="1"/>
  <c r="G294" i="7"/>
  <c r="H294" i="7" s="1"/>
  <c r="G295" i="7"/>
  <c r="H295" i="7" s="1"/>
  <c r="G296" i="7"/>
  <c r="H296" i="7" s="1"/>
  <c r="G297" i="7"/>
  <c r="H297" i="7" s="1"/>
  <c r="G298" i="7"/>
  <c r="H298" i="7" s="1"/>
  <c r="G299" i="7"/>
  <c r="H299" i="7" s="1"/>
  <c r="G300" i="7"/>
  <c r="H300" i="7" s="1"/>
  <c r="G301" i="7"/>
  <c r="H301" i="7" s="1"/>
  <c r="G302" i="7"/>
  <c r="H302" i="7" s="1"/>
  <c r="G303" i="7"/>
  <c r="H303" i="7" s="1"/>
  <c r="G304" i="7"/>
  <c r="H304" i="7" s="1"/>
  <c r="G305" i="7"/>
  <c r="H305" i="7" s="1"/>
  <c r="G306" i="7"/>
  <c r="H306" i="7" s="1"/>
  <c r="G307" i="7"/>
  <c r="H307" i="7" s="1"/>
  <c r="G308" i="7"/>
  <c r="H308" i="7" s="1"/>
  <c r="G309" i="7"/>
  <c r="H309" i="7" s="1"/>
  <c r="G310" i="7"/>
  <c r="H310" i="7" s="1"/>
  <c r="G311" i="7"/>
  <c r="H311" i="7" s="1"/>
  <c r="G312" i="7"/>
  <c r="H312" i="7" s="1"/>
  <c r="G313" i="7"/>
  <c r="H313" i="7" s="1"/>
  <c r="G314" i="7"/>
  <c r="H314" i="7" s="1"/>
  <c r="G315" i="7"/>
  <c r="H315" i="7" s="1"/>
  <c r="G316" i="7"/>
  <c r="H316" i="7" s="1"/>
  <c r="G317" i="7"/>
  <c r="H317" i="7" s="1"/>
  <c r="G318" i="7"/>
  <c r="H318" i="7" s="1"/>
  <c r="G319" i="7"/>
  <c r="H319" i="7" s="1"/>
  <c r="G320" i="7"/>
  <c r="H320" i="7" s="1"/>
  <c r="G321" i="7"/>
  <c r="H321" i="7" s="1"/>
  <c r="G322" i="7"/>
  <c r="H322" i="7" s="1"/>
  <c r="G323" i="7"/>
  <c r="H323" i="7" s="1"/>
  <c r="G324" i="7"/>
  <c r="H324" i="7" s="1"/>
  <c r="G325" i="7"/>
  <c r="H325" i="7" s="1"/>
  <c r="G326" i="7"/>
  <c r="H326" i="7" s="1"/>
  <c r="G327" i="7"/>
  <c r="H327" i="7" s="1"/>
  <c r="G328" i="7"/>
  <c r="H328" i="7" s="1"/>
  <c r="G329" i="7"/>
  <c r="H329" i="7" s="1"/>
  <c r="G330" i="7"/>
  <c r="H330" i="7" s="1"/>
  <c r="G331" i="7"/>
  <c r="H331" i="7" s="1"/>
  <c r="G332" i="7"/>
  <c r="H332" i="7" s="1"/>
  <c r="G333" i="7"/>
  <c r="H333" i="7" s="1"/>
  <c r="G334" i="7"/>
  <c r="H334" i="7" s="1"/>
  <c r="G335" i="7"/>
  <c r="H335" i="7" s="1"/>
  <c r="G336" i="7"/>
  <c r="H336" i="7" s="1"/>
  <c r="G337" i="7"/>
  <c r="H337" i="7" s="1"/>
  <c r="G338" i="7"/>
  <c r="H338" i="7" s="1"/>
  <c r="G339" i="7"/>
  <c r="H339" i="7" s="1"/>
  <c r="G340" i="7"/>
  <c r="H340" i="7" s="1"/>
  <c r="G341" i="7"/>
  <c r="H341" i="7" s="1"/>
  <c r="G342" i="7"/>
  <c r="H342" i="7" s="1"/>
  <c r="G343" i="7"/>
  <c r="H343" i="7" s="1"/>
  <c r="G344" i="7"/>
  <c r="H344" i="7" s="1"/>
  <c r="G345" i="7"/>
  <c r="H345" i="7" s="1"/>
  <c r="G346" i="7"/>
  <c r="H346" i="7" s="1"/>
  <c r="G347" i="7"/>
  <c r="H347" i="7" s="1"/>
  <c r="G348" i="7"/>
  <c r="H348" i="7" s="1"/>
  <c r="G349" i="7"/>
  <c r="H349" i="7" s="1"/>
  <c r="G350" i="7"/>
  <c r="H350" i="7" s="1"/>
  <c r="G351" i="7"/>
  <c r="H351" i="7" s="1"/>
  <c r="G352" i="7"/>
  <c r="H352" i="7" s="1"/>
  <c r="G353" i="7"/>
  <c r="H353" i="7" s="1"/>
  <c r="G354" i="7"/>
  <c r="H354" i="7" s="1"/>
  <c r="G355" i="7"/>
  <c r="H355" i="7" s="1"/>
  <c r="G356" i="7"/>
  <c r="H356" i="7" s="1"/>
  <c r="G357" i="7"/>
  <c r="H357" i="7" s="1"/>
  <c r="G358" i="7"/>
  <c r="H358" i="7" s="1"/>
  <c r="G359" i="7"/>
  <c r="H359" i="7" s="1"/>
  <c r="G360" i="7"/>
  <c r="H360" i="7" s="1"/>
  <c r="G361" i="7"/>
  <c r="H361" i="7" s="1"/>
  <c r="G362" i="7"/>
  <c r="H362" i="7" s="1"/>
  <c r="G363" i="7"/>
  <c r="H363" i="7" s="1"/>
  <c r="G364" i="7"/>
  <c r="H364" i="7" s="1"/>
  <c r="G365" i="7"/>
  <c r="H365" i="7" s="1"/>
  <c r="G366" i="7"/>
  <c r="H366" i="7" s="1"/>
  <c r="G367" i="7"/>
  <c r="H367" i="7" s="1"/>
  <c r="G368" i="7"/>
  <c r="H368" i="7" s="1"/>
  <c r="G369" i="7"/>
  <c r="H369" i="7" s="1"/>
  <c r="G370" i="7"/>
  <c r="H370" i="7" s="1"/>
  <c r="G371" i="7"/>
  <c r="H371" i="7" s="1"/>
  <c r="G372" i="7"/>
  <c r="H372" i="7" s="1"/>
  <c r="G373" i="7"/>
  <c r="H373" i="7" s="1"/>
  <c r="G374" i="7"/>
  <c r="H374" i="7" s="1"/>
  <c r="G375" i="7"/>
  <c r="H375" i="7" s="1"/>
  <c r="G376" i="7"/>
  <c r="H376" i="7" s="1"/>
  <c r="G377" i="7"/>
  <c r="H377" i="7" s="1"/>
  <c r="G378" i="7"/>
  <c r="H378" i="7" s="1"/>
  <c r="G379" i="7"/>
  <c r="H379" i="7" s="1"/>
  <c r="G380" i="7"/>
  <c r="H380" i="7" s="1"/>
  <c r="G381" i="7"/>
  <c r="H381" i="7" s="1"/>
  <c r="G382" i="7"/>
  <c r="H382" i="7" s="1"/>
  <c r="G383" i="7"/>
  <c r="H383" i="7" s="1"/>
  <c r="G384" i="7"/>
  <c r="H384" i="7" s="1"/>
  <c r="G385" i="7"/>
  <c r="H385" i="7" s="1"/>
  <c r="G386" i="7"/>
  <c r="H386" i="7" s="1"/>
  <c r="G387" i="7"/>
  <c r="H387" i="7" s="1"/>
  <c r="G388" i="7"/>
  <c r="H388" i="7" s="1"/>
  <c r="G389" i="7"/>
  <c r="H389" i="7" s="1"/>
  <c r="G390" i="7"/>
  <c r="H390" i="7" s="1"/>
  <c r="G391" i="7"/>
  <c r="H391" i="7" s="1"/>
  <c r="G392" i="7"/>
  <c r="H392" i="7" s="1"/>
  <c r="G393" i="7"/>
  <c r="H393" i="7" s="1"/>
  <c r="G394" i="7"/>
  <c r="H394" i="7" s="1"/>
  <c r="G395" i="7"/>
  <c r="H395" i="7" s="1"/>
  <c r="G396" i="7"/>
  <c r="H396" i="7" s="1"/>
  <c r="G397" i="7"/>
  <c r="H397" i="7" s="1"/>
  <c r="G398" i="7"/>
  <c r="H398" i="7" s="1"/>
  <c r="G399" i="7"/>
  <c r="H399" i="7" s="1"/>
  <c r="G400" i="7"/>
  <c r="H400" i="7" s="1"/>
  <c r="G401" i="7"/>
  <c r="H401" i="7" s="1"/>
  <c r="G402" i="7"/>
  <c r="H402" i="7" s="1"/>
  <c r="G403" i="7"/>
  <c r="H403" i="7" s="1"/>
  <c r="G404" i="7"/>
  <c r="H404" i="7" s="1"/>
  <c r="G405" i="7"/>
  <c r="H405" i="7" s="1"/>
  <c r="G406" i="7"/>
  <c r="H406" i="7" s="1"/>
  <c r="G407" i="7"/>
  <c r="H407" i="7" s="1"/>
  <c r="G408" i="7"/>
  <c r="H408" i="7" s="1"/>
  <c r="G409" i="7"/>
  <c r="H409" i="7" s="1"/>
  <c r="G410" i="7"/>
  <c r="H410" i="7" s="1"/>
  <c r="G411" i="7"/>
  <c r="H411" i="7" s="1"/>
  <c r="G412" i="7"/>
  <c r="H412" i="7" s="1"/>
  <c r="G413" i="7"/>
  <c r="G414" i="7"/>
  <c r="G415" i="7"/>
  <c r="H415" i="7" s="1"/>
  <c r="G416" i="7"/>
  <c r="H416" i="7" s="1"/>
  <c r="G417" i="7"/>
  <c r="H417" i="7" s="1"/>
  <c r="G418" i="7"/>
  <c r="H418" i="7" s="1"/>
  <c r="G419" i="7"/>
  <c r="H419" i="7" s="1"/>
  <c r="G420" i="7"/>
  <c r="H420" i="7" s="1"/>
  <c r="G421" i="7"/>
  <c r="H421" i="7" s="1"/>
  <c r="G422" i="7"/>
  <c r="H422" i="7" s="1"/>
  <c r="G423" i="7"/>
  <c r="H423" i="7" s="1"/>
  <c r="G424" i="7"/>
  <c r="H424" i="7" s="1"/>
  <c r="G425" i="7"/>
  <c r="H425" i="7" s="1"/>
  <c r="G426" i="7"/>
  <c r="H426" i="7" s="1"/>
  <c r="G427" i="7"/>
  <c r="H427" i="7" s="1"/>
  <c r="G428" i="7"/>
  <c r="H428" i="7" s="1"/>
  <c r="G429" i="7"/>
  <c r="H429" i="7" s="1"/>
  <c r="G430" i="7"/>
  <c r="H430" i="7" s="1"/>
  <c r="G431" i="7"/>
  <c r="H431" i="7" s="1"/>
  <c r="G432" i="7"/>
  <c r="H432" i="7" s="1"/>
  <c r="G433" i="7"/>
  <c r="H433" i="7" s="1"/>
  <c r="G434" i="7"/>
  <c r="H434" i="7" s="1"/>
  <c r="G435" i="7"/>
  <c r="H435" i="7" s="1"/>
  <c r="G436" i="7"/>
  <c r="H436" i="7" s="1"/>
  <c r="G437" i="7"/>
  <c r="H437" i="7" s="1"/>
  <c r="G438" i="7"/>
  <c r="H438" i="7" s="1"/>
  <c r="G439" i="7"/>
  <c r="H439" i="7" s="1"/>
  <c r="G440" i="7"/>
  <c r="H440" i="7" s="1"/>
  <c r="G441" i="7"/>
  <c r="H441" i="7" s="1"/>
  <c r="G442" i="7"/>
  <c r="H442" i="7" s="1"/>
  <c r="G443" i="7"/>
  <c r="H443" i="7" s="1"/>
  <c r="G444" i="7"/>
  <c r="H444" i="7" s="1"/>
  <c r="G445" i="7"/>
  <c r="H445" i="7" s="1"/>
  <c r="G446" i="7"/>
  <c r="H446" i="7" s="1"/>
  <c r="G447" i="7"/>
  <c r="H447" i="7" s="1"/>
  <c r="G448" i="7"/>
  <c r="H448" i="7" s="1"/>
  <c r="G449" i="7"/>
  <c r="H449" i="7" s="1"/>
  <c r="G450" i="7"/>
  <c r="H450" i="7" s="1"/>
  <c r="G451" i="7"/>
  <c r="H451" i="7" s="1"/>
  <c r="G452" i="7"/>
  <c r="H452" i="7" s="1"/>
  <c r="G453" i="7"/>
  <c r="H453" i="7" s="1"/>
  <c r="G454" i="7"/>
  <c r="H454" i="7" s="1"/>
  <c r="G455" i="7"/>
  <c r="H455" i="7" s="1"/>
  <c r="G456" i="7"/>
  <c r="H456" i="7" s="1"/>
  <c r="G457" i="7"/>
  <c r="H457" i="7" s="1"/>
  <c r="G458" i="7"/>
  <c r="H458" i="7" s="1"/>
  <c r="G459" i="7"/>
  <c r="H459" i="7" s="1"/>
  <c r="G460" i="7"/>
  <c r="H460" i="7" s="1"/>
  <c r="G461" i="7"/>
  <c r="G462" i="7"/>
  <c r="H462" i="7" s="1"/>
  <c r="G463" i="7"/>
  <c r="H463" i="7" s="1"/>
  <c r="G464" i="7"/>
  <c r="H464" i="7" s="1"/>
  <c r="G465" i="7"/>
  <c r="H465" i="7" s="1"/>
  <c r="G466" i="7"/>
  <c r="H466" i="7" s="1"/>
  <c r="G467" i="7"/>
  <c r="H467" i="7" s="1"/>
  <c r="G468" i="7"/>
  <c r="H468" i="7" s="1"/>
  <c r="G469" i="7"/>
  <c r="H469" i="7" s="1"/>
  <c r="G470" i="7"/>
  <c r="H470" i="7" s="1"/>
  <c r="G471" i="7"/>
  <c r="H471" i="7" s="1"/>
  <c r="G472" i="7"/>
  <c r="H472" i="7" s="1"/>
  <c r="G473" i="7"/>
  <c r="H473" i="7" s="1"/>
  <c r="G474" i="7"/>
  <c r="H474" i="7" s="1"/>
  <c r="G475" i="7"/>
  <c r="H475" i="7" s="1"/>
  <c r="G476" i="7"/>
  <c r="H476" i="7" s="1"/>
  <c r="G477" i="7"/>
  <c r="H477" i="7" s="1"/>
  <c r="G478" i="7"/>
  <c r="H478" i="7" s="1"/>
  <c r="G479" i="7"/>
  <c r="H479" i="7" s="1"/>
  <c r="G480" i="7"/>
  <c r="H480" i="7" s="1"/>
  <c r="G481" i="7"/>
  <c r="H481" i="7" s="1"/>
  <c r="G482" i="7"/>
  <c r="H482" i="7" s="1"/>
  <c r="G483" i="7"/>
  <c r="H483" i="7" s="1"/>
  <c r="G484" i="7"/>
  <c r="H484" i="7" s="1"/>
  <c r="G485" i="7"/>
  <c r="H485" i="7" s="1"/>
  <c r="G486" i="7"/>
  <c r="H486" i="7" s="1"/>
  <c r="G487" i="7"/>
  <c r="H487" i="7" s="1"/>
  <c r="G488" i="7"/>
  <c r="H488" i="7" s="1"/>
  <c r="G489" i="7"/>
  <c r="H489" i="7" s="1"/>
  <c r="G490" i="7"/>
  <c r="H490" i="7" s="1"/>
  <c r="G491" i="7"/>
  <c r="H491" i="7" s="1"/>
  <c r="G492" i="7"/>
  <c r="H492" i="7" s="1"/>
  <c r="G493" i="7"/>
  <c r="H493" i="7" s="1"/>
  <c r="G494" i="7"/>
  <c r="H494" i="7" s="1"/>
  <c r="G495" i="7"/>
  <c r="H495" i="7" s="1"/>
  <c r="G496" i="7"/>
  <c r="H496" i="7" s="1"/>
  <c r="G497" i="7"/>
  <c r="H497" i="7" s="1"/>
  <c r="G498" i="7"/>
  <c r="H498" i="7" s="1"/>
  <c r="G499" i="7"/>
  <c r="H499" i="7" s="1"/>
  <c r="G500" i="7"/>
  <c r="H500" i="7" s="1"/>
  <c r="G501" i="7"/>
  <c r="H501" i="7" s="1"/>
  <c r="G502" i="7"/>
  <c r="H502" i="7" s="1"/>
  <c r="G503" i="7"/>
  <c r="H503" i="7" s="1"/>
  <c r="G504" i="7"/>
  <c r="H504" i="7" s="1"/>
  <c r="G505" i="7"/>
  <c r="H505" i="7" s="1"/>
  <c r="G506" i="7"/>
  <c r="H506" i="7" s="1"/>
  <c r="G507" i="7"/>
  <c r="H507" i="7" s="1"/>
  <c r="G508" i="7"/>
  <c r="H508" i="7" s="1"/>
  <c r="G509" i="7"/>
  <c r="H509" i="7" s="1"/>
  <c r="G510" i="7"/>
  <c r="H510" i="7" s="1"/>
  <c r="G511" i="7"/>
  <c r="H511" i="7" s="1"/>
  <c r="G512" i="7"/>
  <c r="H512" i="7" s="1"/>
  <c r="G513" i="7"/>
  <c r="H513" i="7" s="1"/>
  <c r="G514" i="7"/>
  <c r="G515" i="7"/>
  <c r="H515" i="7" s="1"/>
  <c r="G516" i="7"/>
  <c r="H516" i="7" s="1"/>
  <c r="G517" i="7"/>
  <c r="H517" i="7" s="1"/>
  <c r="G518" i="7"/>
  <c r="H518" i="7" s="1"/>
  <c r="G519" i="7"/>
  <c r="H519" i="7" s="1"/>
  <c r="G520" i="7"/>
  <c r="H520" i="7" s="1"/>
  <c r="G521" i="7"/>
  <c r="H521" i="7" s="1"/>
  <c r="G522" i="7"/>
  <c r="H522" i="7" s="1"/>
  <c r="G523" i="7"/>
  <c r="H523" i="7" s="1"/>
  <c r="G524" i="7"/>
  <c r="H524" i="7" s="1"/>
  <c r="G525" i="7"/>
  <c r="H525" i="7" s="1"/>
  <c r="G526" i="7"/>
  <c r="H526" i="7" s="1"/>
  <c r="G527" i="7"/>
  <c r="H527" i="7" s="1"/>
  <c r="G528" i="7"/>
  <c r="H528" i="7" s="1"/>
  <c r="G529" i="7"/>
  <c r="H529" i="7" s="1"/>
  <c r="G530" i="7"/>
  <c r="H530" i="7" s="1"/>
  <c r="G531" i="7"/>
  <c r="H531" i="7" s="1"/>
  <c r="G532" i="7"/>
  <c r="H532" i="7" s="1"/>
  <c r="G533" i="7"/>
  <c r="H533" i="7" s="1"/>
  <c r="G534" i="7"/>
  <c r="H534" i="7" s="1"/>
  <c r="G535" i="7"/>
  <c r="H535" i="7" s="1"/>
  <c r="G536" i="7"/>
  <c r="H536" i="7" s="1"/>
  <c r="G537" i="7"/>
  <c r="H537" i="7" s="1"/>
  <c r="G538" i="7"/>
  <c r="H538" i="7" s="1"/>
  <c r="G539" i="7"/>
  <c r="H539" i="7" s="1"/>
  <c r="G540" i="7"/>
  <c r="H540" i="7" s="1"/>
  <c r="G541" i="7"/>
  <c r="H541" i="7" s="1"/>
  <c r="G542" i="7"/>
  <c r="H542" i="7" s="1"/>
  <c r="G543" i="7"/>
  <c r="H543" i="7" s="1"/>
  <c r="G544" i="7"/>
  <c r="H544" i="7" s="1"/>
  <c r="G545" i="7"/>
  <c r="H545" i="7" s="1"/>
  <c r="G546" i="7"/>
  <c r="H546" i="7" s="1"/>
  <c r="G547" i="7"/>
  <c r="H547" i="7" s="1"/>
  <c r="G548" i="7"/>
  <c r="H548" i="7" s="1"/>
  <c r="G549" i="7"/>
  <c r="H549" i="7" s="1"/>
  <c r="G550" i="7"/>
  <c r="H550" i="7" s="1"/>
  <c r="G551" i="7"/>
  <c r="H551" i="7" s="1"/>
  <c r="G552" i="7"/>
  <c r="H552" i="7" s="1"/>
  <c r="G553" i="7"/>
  <c r="H553" i="7" s="1"/>
  <c r="G554" i="7"/>
  <c r="H554" i="7" s="1"/>
  <c r="G555" i="7"/>
  <c r="H555" i="7" s="1"/>
  <c r="G556" i="7"/>
  <c r="H556" i="7" s="1"/>
  <c r="G557" i="7"/>
  <c r="H557" i="7" s="1"/>
  <c r="G558" i="7"/>
  <c r="H558" i="7" s="1"/>
  <c r="G559" i="7"/>
  <c r="H559" i="7" s="1"/>
  <c r="G560" i="7"/>
  <c r="H560" i="7" s="1"/>
  <c r="G561" i="7"/>
  <c r="H561" i="7" s="1"/>
  <c r="G562" i="7"/>
  <c r="H562" i="7" s="1"/>
  <c r="G563" i="7"/>
  <c r="H563" i="7" s="1"/>
  <c r="G564" i="7"/>
  <c r="H564" i="7" s="1"/>
  <c r="G565" i="7"/>
  <c r="H565" i="7" s="1"/>
  <c r="G566" i="7"/>
  <c r="H566" i="7" s="1"/>
  <c r="G567" i="7"/>
  <c r="H567" i="7" s="1"/>
  <c r="G568" i="7"/>
  <c r="H568" i="7" s="1"/>
  <c r="G569" i="7"/>
  <c r="H569" i="7" s="1"/>
  <c r="G570" i="7"/>
  <c r="H570" i="7" s="1"/>
  <c r="G571" i="7"/>
  <c r="H571" i="7" s="1"/>
  <c r="G572" i="7"/>
  <c r="H572" i="7" s="1"/>
  <c r="G573" i="7"/>
  <c r="H573" i="7" s="1"/>
  <c r="G574" i="7"/>
  <c r="H574" i="7" s="1"/>
  <c r="G575" i="7"/>
  <c r="H575" i="7" s="1"/>
  <c r="G576" i="7"/>
  <c r="H576" i="7" s="1"/>
  <c r="G577" i="7"/>
  <c r="H577" i="7" s="1"/>
  <c r="G578" i="7"/>
  <c r="H578" i="7" s="1"/>
  <c r="G579" i="7"/>
  <c r="H579" i="7" s="1"/>
  <c r="G580" i="7"/>
  <c r="H580" i="7" s="1"/>
  <c r="G581" i="7"/>
  <c r="H581" i="7" s="1"/>
  <c r="G582" i="7"/>
  <c r="H582" i="7" s="1"/>
  <c r="G583" i="7"/>
  <c r="H583" i="7" s="1"/>
  <c r="G584" i="7"/>
  <c r="H584" i="7" s="1"/>
  <c r="G585" i="7"/>
  <c r="H585" i="7" s="1"/>
  <c r="G586" i="7"/>
  <c r="H586" i="7" s="1"/>
  <c r="G587" i="7"/>
  <c r="H587" i="7" s="1"/>
  <c r="G588" i="7"/>
  <c r="H588" i="7" s="1"/>
  <c r="G589" i="7"/>
  <c r="H589" i="7" s="1"/>
  <c r="G590" i="7"/>
  <c r="H590" i="7" s="1"/>
  <c r="G591" i="7"/>
  <c r="H591" i="7" s="1"/>
  <c r="G592" i="7"/>
  <c r="H592" i="7" s="1"/>
  <c r="G593" i="7"/>
  <c r="H593" i="7" s="1"/>
  <c r="G594" i="7"/>
  <c r="H594" i="7" s="1"/>
  <c r="G595" i="7"/>
  <c r="H595" i="7" s="1"/>
  <c r="G596" i="7"/>
  <c r="H596" i="7" s="1"/>
  <c r="G597" i="7"/>
  <c r="H597" i="7" s="1"/>
  <c r="G598" i="7"/>
  <c r="H598" i="7" s="1"/>
  <c r="G599" i="7"/>
  <c r="H599" i="7" s="1"/>
  <c r="G600" i="7"/>
  <c r="H600" i="7" s="1"/>
  <c r="G601" i="7"/>
  <c r="H601" i="7" s="1"/>
  <c r="G602" i="7"/>
  <c r="H602" i="7" s="1"/>
  <c r="G603" i="7"/>
  <c r="H603" i="7" s="1"/>
  <c r="G604" i="7"/>
  <c r="H604" i="7" s="1"/>
  <c r="G605" i="7"/>
  <c r="H605" i="7" s="1"/>
  <c r="G606" i="7"/>
  <c r="H606" i="7" s="1"/>
  <c r="G607" i="7"/>
  <c r="H607" i="7" s="1"/>
  <c r="G608" i="7"/>
  <c r="H608" i="7" s="1"/>
  <c r="G609" i="7"/>
  <c r="H609" i="7" s="1"/>
  <c r="G610" i="7"/>
  <c r="H610" i="7" s="1"/>
  <c r="G611" i="7"/>
  <c r="H611" i="7" s="1"/>
  <c r="G612" i="7"/>
  <c r="H612" i="7" s="1"/>
  <c r="G613" i="7"/>
  <c r="H613" i="7" s="1"/>
  <c r="G614" i="7"/>
  <c r="H614" i="7" s="1"/>
  <c r="G615" i="7"/>
  <c r="H615" i="7" s="1"/>
  <c r="G616" i="7"/>
  <c r="H616" i="7" s="1"/>
  <c r="G617" i="7"/>
  <c r="H617" i="7" s="1"/>
  <c r="G618" i="7"/>
  <c r="H618" i="7" s="1"/>
  <c r="G619" i="7"/>
  <c r="H619" i="7" s="1"/>
  <c r="G620" i="7"/>
  <c r="H620" i="7" s="1"/>
  <c r="G621" i="7"/>
  <c r="H621" i="7" s="1"/>
  <c r="G622" i="7"/>
  <c r="H622" i="7" s="1"/>
  <c r="G623" i="7"/>
  <c r="H623" i="7" s="1"/>
  <c r="G624" i="7"/>
  <c r="H624" i="7" s="1"/>
  <c r="G625" i="7"/>
  <c r="H625" i="7" s="1"/>
  <c r="G626" i="7"/>
  <c r="H626" i="7" s="1"/>
  <c r="G627" i="7"/>
  <c r="H627" i="7" s="1"/>
  <c r="G628" i="7"/>
  <c r="H628" i="7" s="1"/>
  <c r="G629" i="7"/>
  <c r="H629" i="7" s="1"/>
  <c r="G630" i="7"/>
  <c r="H630" i="7" s="1"/>
  <c r="G631" i="7"/>
  <c r="H631" i="7" s="1"/>
  <c r="G632" i="7"/>
  <c r="H632" i="7" s="1"/>
  <c r="G633" i="7"/>
  <c r="H633" i="7" s="1"/>
  <c r="G634" i="7"/>
  <c r="H634" i="7" s="1"/>
  <c r="G635" i="7"/>
  <c r="H635" i="7" s="1"/>
  <c r="G636" i="7"/>
  <c r="H636" i="7" s="1"/>
  <c r="G637" i="7"/>
  <c r="H637" i="7" s="1"/>
  <c r="G638" i="7"/>
  <c r="H638" i="7" s="1"/>
  <c r="G639" i="7"/>
  <c r="H639" i="7" s="1"/>
  <c r="G640" i="7"/>
  <c r="H640" i="7" s="1"/>
  <c r="G641" i="7"/>
  <c r="H641" i="7" s="1"/>
  <c r="G642" i="7"/>
  <c r="H642" i="7" s="1"/>
  <c r="G643" i="7"/>
  <c r="H643" i="7" s="1"/>
  <c r="G644" i="7"/>
  <c r="H644" i="7" s="1"/>
  <c r="G645" i="7"/>
  <c r="H645" i="7" s="1"/>
  <c r="G646" i="7"/>
  <c r="H646" i="7" s="1"/>
  <c r="G647" i="7"/>
  <c r="H647" i="7" s="1"/>
  <c r="G648" i="7"/>
  <c r="H648" i="7" s="1"/>
  <c r="G649" i="7"/>
  <c r="H649" i="7" s="1"/>
  <c r="G650" i="7"/>
  <c r="H650" i="7" s="1"/>
  <c r="G651" i="7"/>
  <c r="H651" i="7" s="1"/>
  <c r="G652" i="7"/>
  <c r="H652" i="7" s="1"/>
  <c r="G653" i="7"/>
  <c r="H653" i="7" s="1"/>
  <c r="G654" i="7"/>
  <c r="H654" i="7" s="1"/>
  <c r="G655" i="7"/>
  <c r="H655" i="7" s="1"/>
  <c r="G656" i="7"/>
  <c r="H656" i="7" s="1"/>
  <c r="G657" i="7"/>
  <c r="H657" i="7" s="1"/>
  <c r="G658" i="7"/>
  <c r="H658" i="7" s="1"/>
  <c r="G659" i="7"/>
  <c r="H659" i="7" s="1"/>
  <c r="G660" i="7"/>
  <c r="H660" i="7" s="1"/>
  <c r="G661" i="7"/>
  <c r="H661" i="7" s="1"/>
  <c r="G662" i="7"/>
  <c r="H662" i="7" s="1"/>
  <c r="G663" i="7"/>
  <c r="H663" i="7" s="1"/>
  <c r="G664" i="7"/>
  <c r="H664" i="7" s="1"/>
  <c r="G665" i="7"/>
  <c r="H665" i="7" s="1"/>
  <c r="G666" i="7"/>
  <c r="H666" i="7" s="1"/>
  <c r="G667" i="7"/>
  <c r="H667" i="7" s="1"/>
  <c r="G668" i="7"/>
  <c r="H668" i="7" s="1"/>
  <c r="G669" i="7"/>
  <c r="H669" i="7" s="1"/>
  <c r="G670" i="7"/>
  <c r="H670" i="7" s="1"/>
  <c r="G671" i="7"/>
  <c r="H671" i="7" s="1"/>
  <c r="G672" i="7"/>
  <c r="H672" i="7" s="1"/>
  <c r="G673" i="7"/>
  <c r="H673" i="7" s="1"/>
  <c r="G674" i="7"/>
  <c r="H674" i="7" s="1"/>
  <c r="G675" i="7"/>
  <c r="H675" i="7" s="1"/>
  <c r="G676" i="7"/>
  <c r="H676" i="7" s="1"/>
  <c r="G677" i="7"/>
  <c r="H677" i="7" s="1"/>
  <c r="G678" i="7"/>
  <c r="H678" i="7" s="1"/>
  <c r="G679" i="7"/>
  <c r="H679" i="7" s="1"/>
  <c r="G680" i="7"/>
  <c r="H680" i="7" s="1"/>
  <c r="G681" i="7"/>
  <c r="H681" i="7" s="1"/>
  <c r="G682" i="7"/>
  <c r="H682" i="7" s="1"/>
  <c r="G683" i="7"/>
  <c r="H683" i="7" s="1"/>
  <c r="G684" i="7"/>
  <c r="H684" i="7" s="1"/>
  <c r="G685" i="7"/>
  <c r="H685" i="7" s="1"/>
  <c r="G686" i="7"/>
  <c r="H686" i="7" s="1"/>
  <c r="G687" i="7"/>
  <c r="H687" i="7" s="1"/>
  <c r="G688" i="7"/>
  <c r="H688" i="7" s="1"/>
  <c r="G689" i="7"/>
  <c r="H689" i="7" s="1"/>
  <c r="G690" i="7"/>
  <c r="H690" i="7" s="1"/>
  <c r="G691" i="7"/>
  <c r="H691" i="7" s="1"/>
  <c r="G692" i="7"/>
  <c r="H692" i="7" s="1"/>
  <c r="G693" i="7"/>
  <c r="H693" i="7" s="1"/>
  <c r="G694" i="7"/>
  <c r="H694" i="7" s="1"/>
  <c r="G695" i="7"/>
  <c r="H695" i="7" s="1"/>
  <c r="G696" i="7"/>
  <c r="H696" i="7" s="1"/>
  <c r="G697" i="7"/>
  <c r="H697" i="7" s="1"/>
  <c r="G698" i="7"/>
  <c r="H698" i="7" s="1"/>
  <c r="G699" i="7"/>
  <c r="H699" i="7" s="1"/>
  <c r="G700" i="7"/>
  <c r="H700" i="7" s="1"/>
  <c r="G701" i="7"/>
  <c r="H701" i="7" s="1"/>
  <c r="G702" i="7"/>
  <c r="H702" i="7" s="1"/>
  <c r="G703" i="7"/>
  <c r="H703" i="7" s="1"/>
  <c r="G704" i="7"/>
  <c r="H704" i="7" s="1"/>
  <c r="G705" i="7"/>
  <c r="H705" i="7" s="1"/>
  <c r="G706" i="7"/>
  <c r="H706" i="7" s="1"/>
  <c r="G707" i="7"/>
  <c r="H707" i="7" s="1"/>
  <c r="G708" i="7"/>
  <c r="H708" i="7" s="1"/>
  <c r="G709" i="7"/>
  <c r="H709" i="7" s="1"/>
  <c r="G710" i="7"/>
  <c r="H710" i="7" s="1"/>
  <c r="G711" i="7"/>
  <c r="H711" i="7" s="1"/>
  <c r="G712" i="7"/>
  <c r="H712" i="7" s="1"/>
  <c r="G713" i="7"/>
  <c r="H713" i="7" s="1"/>
  <c r="G714" i="7"/>
  <c r="H714" i="7" s="1"/>
  <c r="G715" i="7"/>
  <c r="H715" i="7" s="1"/>
  <c r="G716" i="7"/>
  <c r="H716" i="7" s="1"/>
  <c r="G717" i="7"/>
  <c r="H717" i="7" s="1"/>
  <c r="G718" i="7"/>
  <c r="H718" i="7" s="1"/>
  <c r="G719" i="7"/>
  <c r="H719" i="7" s="1"/>
  <c r="G720" i="7"/>
  <c r="H720" i="7" s="1"/>
  <c r="G721" i="7"/>
  <c r="H721" i="7" s="1"/>
  <c r="G722" i="7"/>
  <c r="H722" i="7" s="1"/>
  <c r="G723" i="7"/>
  <c r="H723" i="7" s="1"/>
  <c r="G724" i="7"/>
  <c r="H724" i="7" s="1"/>
  <c r="G725" i="7"/>
  <c r="H725" i="7" s="1"/>
  <c r="G726" i="7"/>
  <c r="H726" i="7" s="1"/>
  <c r="G727" i="7"/>
  <c r="H727" i="7" s="1"/>
  <c r="G728" i="7"/>
  <c r="H728" i="7" s="1"/>
  <c r="G729" i="7"/>
  <c r="H729" i="7" s="1"/>
  <c r="G730" i="7"/>
  <c r="H730" i="7" s="1"/>
  <c r="G731" i="7"/>
  <c r="H731" i="7" s="1"/>
  <c r="G732" i="7"/>
  <c r="H732" i="7" s="1"/>
  <c r="G733" i="7"/>
  <c r="H733" i="7" s="1"/>
  <c r="G734" i="7"/>
  <c r="H734" i="7" s="1"/>
  <c r="G735" i="7"/>
  <c r="H735" i="7" s="1"/>
  <c r="G736" i="7"/>
  <c r="H736" i="7" s="1"/>
  <c r="G737" i="7"/>
  <c r="H737" i="7" s="1"/>
  <c r="G738" i="7"/>
  <c r="H738" i="7" s="1"/>
  <c r="G739" i="7"/>
  <c r="H739" i="7" s="1"/>
  <c r="G740" i="7"/>
  <c r="H740" i="7" s="1"/>
  <c r="G741" i="7"/>
  <c r="H741" i="7" s="1"/>
  <c r="G742" i="7"/>
  <c r="H742" i="7" s="1"/>
  <c r="G743" i="7"/>
  <c r="H743" i="7" s="1"/>
  <c r="G744" i="7"/>
  <c r="H744" i="7" s="1"/>
  <c r="G745" i="7"/>
  <c r="H745" i="7" s="1"/>
  <c r="G746" i="7"/>
  <c r="H746" i="7" s="1"/>
  <c r="G747" i="7"/>
  <c r="H747" i="7" s="1"/>
  <c r="G748" i="7"/>
  <c r="H748" i="7" s="1"/>
  <c r="G749" i="7"/>
  <c r="H749" i="7" s="1"/>
  <c r="G750" i="7"/>
  <c r="H750" i="7" s="1"/>
  <c r="G751" i="7"/>
  <c r="H751" i="7" s="1"/>
  <c r="G752" i="7"/>
  <c r="H752" i="7" s="1"/>
  <c r="G753" i="7"/>
  <c r="H753" i="7" s="1"/>
  <c r="G754" i="7"/>
  <c r="H754" i="7" s="1"/>
  <c r="G755" i="7"/>
  <c r="H755" i="7" s="1"/>
  <c r="G756" i="7"/>
  <c r="H756" i="7" s="1"/>
  <c r="G757" i="7"/>
  <c r="H757" i="7" s="1"/>
  <c r="G758" i="7"/>
  <c r="H758" i="7" s="1"/>
  <c r="G759" i="7"/>
  <c r="H759" i="7" s="1"/>
  <c r="G760" i="7"/>
  <c r="H760" i="7" s="1"/>
  <c r="G761" i="7"/>
  <c r="H761" i="7" s="1"/>
  <c r="G762" i="7"/>
  <c r="H762" i="7" s="1"/>
  <c r="G763" i="7"/>
  <c r="H763" i="7" s="1"/>
  <c r="G764" i="7"/>
  <c r="H764" i="7" s="1"/>
  <c r="G765" i="7"/>
  <c r="H765" i="7" s="1"/>
  <c r="G766" i="7"/>
  <c r="H766" i="7" s="1"/>
  <c r="G767" i="7"/>
  <c r="H767" i="7" s="1"/>
  <c r="G768" i="7"/>
  <c r="H768" i="7" s="1"/>
  <c r="G769" i="7"/>
  <c r="H769" i="7" s="1"/>
  <c r="G770" i="7"/>
  <c r="H770" i="7" s="1"/>
  <c r="G771" i="7"/>
  <c r="H771" i="7" s="1"/>
  <c r="G772" i="7"/>
  <c r="H772" i="7" s="1"/>
  <c r="G773" i="7"/>
  <c r="H773" i="7" s="1"/>
  <c r="G774" i="7"/>
  <c r="H774" i="7" s="1"/>
  <c r="G775" i="7"/>
  <c r="H775" i="7" s="1"/>
  <c r="G776" i="7"/>
  <c r="H776" i="7" s="1"/>
  <c r="G777" i="7"/>
  <c r="H777" i="7" s="1"/>
  <c r="G778" i="7"/>
  <c r="H778" i="7" s="1"/>
  <c r="G779" i="7"/>
  <c r="H779" i="7" s="1"/>
  <c r="G780" i="7"/>
  <c r="H780" i="7" s="1"/>
  <c r="G781" i="7"/>
  <c r="H781" i="7" s="1"/>
  <c r="G782" i="7"/>
  <c r="H782" i="7" s="1"/>
  <c r="G783" i="7"/>
  <c r="H783" i="7" s="1"/>
  <c r="G784" i="7"/>
  <c r="H784" i="7" s="1"/>
  <c r="G785" i="7"/>
  <c r="H785" i="7" s="1"/>
  <c r="G786" i="7"/>
  <c r="H786" i="7" s="1"/>
  <c r="G787" i="7"/>
  <c r="H787" i="7" s="1"/>
  <c r="G788" i="7"/>
  <c r="H788" i="7" s="1"/>
  <c r="G789" i="7"/>
  <c r="H789" i="7" s="1"/>
  <c r="G790" i="7"/>
  <c r="H790" i="7" s="1"/>
  <c r="G791" i="7"/>
  <c r="H791" i="7" s="1"/>
  <c r="G792" i="7"/>
  <c r="H792" i="7" s="1"/>
  <c r="G793" i="7"/>
  <c r="H793" i="7" s="1"/>
  <c r="G794" i="7"/>
  <c r="H794" i="7" s="1"/>
  <c r="G795" i="7"/>
  <c r="H795" i="7" s="1"/>
  <c r="G796" i="7"/>
  <c r="H796" i="7" s="1"/>
  <c r="G797" i="7"/>
  <c r="H797" i="7" s="1"/>
  <c r="G798" i="7"/>
  <c r="H798" i="7" s="1"/>
  <c r="G799" i="7"/>
  <c r="H799" i="7" s="1"/>
  <c r="G800" i="7"/>
  <c r="H800" i="7" s="1"/>
  <c r="G801" i="7"/>
  <c r="H801" i="7" s="1"/>
  <c r="G802" i="7"/>
  <c r="H802" i="7" s="1"/>
  <c r="G803" i="7"/>
  <c r="H803" i="7" s="1"/>
  <c r="G804" i="7"/>
  <c r="H804" i="7" s="1"/>
  <c r="G805" i="7"/>
  <c r="H805" i="7" s="1"/>
  <c r="G806" i="7"/>
  <c r="H806" i="7" s="1"/>
  <c r="G807" i="7"/>
  <c r="H807" i="7" s="1"/>
  <c r="G808" i="7"/>
  <c r="H808" i="7" s="1"/>
  <c r="G809" i="7"/>
  <c r="H809" i="7" s="1"/>
  <c r="G810" i="7"/>
  <c r="H810" i="7" s="1"/>
  <c r="G811" i="7"/>
  <c r="H811" i="7" s="1"/>
  <c r="G812" i="7"/>
  <c r="H812" i="7" s="1"/>
  <c r="G813" i="7"/>
  <c r="H813" i="7" s="1"/>
  <c r="G814" i="7"/>
  <c r="H814" i="7" s="1"/>
  <c r="G815" i="7"/>
  <c r="H815" i="7" s="1"/>
  <c r="G816" i="7"/>
  <c r="H816" i="7" s="1"/>
  <c r="G817" i="7"/>
  <c r="H817" i="7" s="1"/>
  <c r="G818" i="7"/>
  <c r="H818" i="7" s="1"/>
  <c r="G819" i="7"/>
  <c r="H819" i="7" s="1"/>
  <c r="G820" i="7"/>
  <c r="H820" i="7" s="1"/>
  <c r="G821" i="7"/>
  <c r="H821" i="7" s="1"/>
  <c r="G822" i="7"/>
  <c r="H822" i="7" s="1"/>
  <c r="G823" i="7"/>
  <c r="H823" i="7" s="1"/>
  <c r="G824" i="7"/>
  <c r="H824" i="7" s="1"/>
  <c r="G825" i="7"/>
  <c r="H825" i="7" s="1"/>
  <c r="G826" i="7"/>
  <c r="H826" i="7" s="1"/>
  <c r="G827" i="7"/>
  <c r="H827" i="7" s="1"/>
  <c r="G828" i="7"/>
  <c r="H828" i="7" s="1"/>
  <c r="G829" i="7"/>
  <c r="H829" i="7" s="1"/>
  <c r="G830" i="7"/>
  <c r="H830" i="7" s="1"/>
  <c r="G831" i="7"/>
  <c r="H831" i="7" s="1"/>
  <c r="G832" i="7"/>
  <c r="H832" i="7" s="1"/>
  <c r="G833" i="7"/>
  <c r="H833" i="7" s="1"/>
  <c r="G834" i="7"/>
  <c r="H834" i="7" s="1"/>
  <c r="G835" i="7"/>
  <c r="H835" i="7" s="1"/>
  <c r="G836" i="7"/>
  <c r="H836" i="7" s="1"/>
  <c r="G837" i="7"/>
  <c r="H837" i="7" s="1"/>
  <c r="G838" i="7"/>
  <c r="H838" i="7" s="1"/>
  <c r="G839" i="7"/>
  <c r="H839" i="7" s="1"/>
  <c r="G840" i="7"/>
  <c r="H840" i="7" s="1"/>
  <c r="G841" i="7"/>
  <c r="H841" i="7" s="1"/>
  <c r="G842" i="7"/>
  <c r="H842" i="7" s="1"/>
  <c r="G843" i="7"/>
  <c r="H843" i="7" s="1"/>
  <c r="G844" i="7"/>
  <c r="H844" i="7" s="1"/>
  <c r="G845" i="7"/>
  <c r="H845" i="7" s="1"/>
  <c r="G846" i="7"/>
  <c r="H846" i="7" s="1"/>
  <c r="G847" i="7"/>
  <c r="H847" i="7" s="1"/>
  <c r="G848" i="7"/>
  <c r="H848" i="7" s="1"/>
  <c r="G849" i="7"/>
  <c r="H849" i="7" s="1"/>
  <c r="G850" i="7"/>
  <c r="H850" i="7" s="1"/>
  <c r="G851" i="7"/>
  <c r="H851" i="7" s="1"/>
  <c r="G852" i="7"/>
  <c r="H852" i="7" s="1"/>
  <c r="G853" i="7"/>
  <c r="H853" i="7" s="1"/>
  <c r="G854" i="7"/>
  <c r="H854" i="7" s="1"/>
  <c r="G855" i="7"/>
  <c r="H855" i="7" s="1"/>
  <c r="G856" i="7"/>
  <c r="H856" i="7" s="1"/>
  <c r="G857" i="7"/>
  <c r="H857" i="7" s="1"/>
  <c r="G858" i="7"/>
  <c r="H858" i="7" s="1"/>
  <c r="G859" i="7"/>
  <c r="H859" i="7" s="1"/>
  <c r="G860" i="7"/>
  <c r="H860" i="7" s="1"/>
  <c r="G861" i="7"/>
  <c r="H861" i="7" s="1"/>
  <c r="G862" i="7"/>
  <c r="H862" i="7" s="1"/>
  <c r="G863" i="7"/>
  <c r="H863" i="7" s="1"/>
  <c r="G864" i="7"/>
  <c r="H864" i="7" s="1"/>
  <c r="G865" i="7"/>
  <c r="H865" i="7" s="1"/>
  <c r="G866" i="7"/>
  <c r="H866" i="7" s="1"/>
  <c r="G867" i="7"/>
  <c r="H867" i="7" s="1"/>
  <c r="G868" i="7"/>
  <c r="H868" i="7" s="1"/>
  <c r="G869" i="7"/>
  <c r="H869" i="7" s="1"/>
  <c r="G870" i="7"/>
  <c r="H870" i="7" s="1"/>
  <c r="G871" i="7"/>
  <c r="H871" i="7" s="1"/>
  <c r="G872" i="7"/>
  <c r="H872" i="7" s="1"/>
  <c r="G873" i="7"/>
  <c r="H873" i="7" s="1"/>
  <c r="G874" i="7"/>
  <c r="H874" i="7" s="1"/>
  <c r="G875" i="7"/>
  <c r="H875" i="7" s="1"/>
  <c r="G876" i="7"/>
  <c r="H876" i="7" s="1"/>
  <c r="G877" i="7"/>
  <c r="H877" i="7" s="1"/>
  <c r="G878" i="7"/>
  <c r="H878" i="7" s="1"/>
  <c r="G879" i="7"/>
  <c r="H879" i="7" s="1"/>
  <c r="G880" i="7"/>
  <c r="H880" i="7" s="1"/>
  <c r="G881" i="7"/>
  <c r="H881" i="7" s="1"/>
  <c r="G882" i="7"/>
  <c r="H882" i="7" s="1"/>
  <c r="G883" i="7"/>
  <c r="H883" i="7" s="1"/>
  <c r="G884" i="7"/>
  <c r="H884" i="7" s="1"/>
  <c r="G885" i="7"/>
  <c r="H885" i="7" s="1"/>
  <c r="G886" i="7"/>
  <c r="H886" i="7" s="1"/>
  <c r="G887" i="7"/>
  <c r="H887" i="7" s="1"/>
  <c r="G888" i="7"/>
  <c r="H888" i="7" s="1"/>
  <c r="G889" i="7"/>
  <c r="H889" i="7" s="1"/>
  <c r="G890" i="7"/>
  <c r="H890" i="7" s="1"/>
  <c r="G891" i="7"/>
  <c r="H891" i="7" s="1"/>
  <c r="G892" i="7"/>
  <c r="H892" i="7" s="1"/>
  <c r="G893" i="7"/>
  <c r="H893" i="7" s="1"/>
  <c r="G894" i="7"/>
  <c r="H894" i="7" s="1"/>
  <c r="G895" i="7"/>
  <c r="H895" i="7" s="1"/>
  <c r="G896" i="7"/>
  <c r="H896" i="7" s="1"/>
  <c r="G897" i="7"/>
  <c r="H897" i="7" s="1"/>
  <c r="G898" i="7"/>
  <c r="H898" i="7" s="1"/>
  <c r="G899" i="7"/>
  <c r="H899" i="7" s="1"/>
  <c r="G900" i="7"/>
  <c r="H900" i="7" s="1"/>
  <c r="G901" i="7"/>
  <c r="H901" i="7" s="1"/>
  <c r="G902" i="7"/>
  <c r="H902" i="7" s="1"/>
  <c r="G903" i="7"/>
  <c r="H903" i="7" s="1"/>
  <c r="G904" i="7"/>
  <c r="H904" i="7" s="1"/>
  <c r="G905" i="7"/>
  <c r="H905" i="7" s="1"/>
  <c r="G906" i="7"/>
  <c r="H906" i="7" s="1"/>
  <c r="G907" i="7"/>
  <c r="H907" i="7" s="1"/>
  <c r="G908" i="7"/>
  <c r="H908" i="7" s="1"/>
  <c r="G909" i="7"/>
  <c r="H909" i="7" s="1"/>
  <c r="G910" i="7"/>
  <c r="H910" i="7" s="1"/>
  <c r="G911" i="7"/>
  <c r="H911" i="7" s="1"/>
  <c r="G912" i="7"/>
  <c r="G913" i="7"/>
  <c r="H913" i="7" s="1"/>
  <c r="G914" i="7"/>
  <c r="H914" i="7" s="1"/>
  <c r="G915" i="7"/>
  <c r="H915" i="7" s="1"/>
  <c r="G916" i="7"/>
  <c r="H916" i="7" s="1"/>
  <c r="G917" i="7"/>
  <c r="H917" i="7" s="1"/>
  <c r="G918" i="7"/>
  <c r="H918" i="7" s="1"/>
  <c r="G919" i="7"/>
  <c r="H919" i="7" s="1"/>
  <c r="G920" i="7"/>
  <c r="H920" i="7" s="1"/>
  <c r="G921" i="7"/>
  <c r="H921" i="7" s="1"/>
  <c r="G922" i="7"/>
  <c r="H922" i="7" s="1"/>
  <c r="G923" i="7"/>
  <c r="H923" i="7" s="1"/>
  <c r="G924" i="7"/>
  <c r="H924" i="7" s="1"/>
  <c r="G925" i="7"/>
  <c r="H925" i="7" s="1"/>
  <c r="G926" i="7"/>
  <c r="H926" i="7" s="1"/>
  <c r="G927" i="7"/>
  <c r="H927" i="7" s="1"/>
  <c r="G928" i="7"/>
  <c r="H928" i="7" s="1"/>
  <c r="G929" i="7"/>
  <c r="H929" i="7" s="1"/>
  <c r="G930" i="7"/>
  <c r="H930" i="7" s="1"/>
  <c r="G931" i="7"/>
  <c r="H931" i="7" s="1"/>
  <c r="G932" i="7"/>
  <c r="H932" i="7" s="1"/>
  <c r="G933" i="7"/>
  <c r="H933" i="7" s="1"/>
  <c r="G934" i="7"/>
  <c r="H934" i="7" s="1"/>
  <c r="G935" i="7"/>
  <c r="H935" i="7" s="1"/>
  <c r="G936" i="7"/>
  <c r="H936" i="7" s="1"/>
  <c r="G937" i="7"/>
  <c r="H937" i="7" s="1"/>
  <c r="G938" i="7"/>
  <c r="H938" i="7" s="1"/>
  <c r="G939" i="7"/>
  <c r="H939" i="7" s="1"/>
  <c r="G940" i="7"/>
  <c r="H940" i="7" s="1"/>
  <c r="G941" i="7"/>
  <c r="H941" i="7" s="1"/>
  <c r="G942" i="7"/>
  <c r="H942" i="7" s="1"/>
  <c r="G943" i="7"/>
  <c r="H943" i="7" s="1"/>
  <c r="G944" i="7"/>
  <c r="H944" i="7" s="1"/>
  <c r="G945" i="7"/>
  <c r="H945" i="7" s="1"/>
  <c r="G946" i="7"/>
  <c r="H946" i="7" s="1"/>
  <c r="G947" i="7"/>
  <c r="H947" i="7" s="1"/>
  <c r="G948" i="7"/>
  <c r="H948" i="7" s="1"/>
  <c r="G949" i="7"/>
  <c r="H949" i="7" s="1"/>
  <c r="G950" i="7"/>
  <c r="H950" i="7" s="1"/>
  <c r="G951" i="7"/>
  <c r="H951" i="7" s="1"/>
  <c r="G952" i="7"/>
  <c r="H952" i="7" s="1"/>
  <c r="G953" i="7"/>
  <c r="H953" i="7" s="1"/>
  <c r="G954" i="7"/>
  <c r="H954" i="7" s="1"/>
  <c r="G955" i="7"/>
  <c r="H955" i="7" s="1"/>
  <c r="G956" i="7"/>
  <c r="H956" i="7" s="1"/>
  <c r="G957" i="7"/>
  <c r="H957" i="7" s="1"/>
  <c r="G958" i="7"/>
  <c r="H958" i="7" s="1"/>
  <c r="G959" i="7"/>
  <c r="H959" i="7" s="1"/>
  <c r="G960" i="7"/>
  <c r="H960" i="7" s="1"/>
  <c r="G961" i="7"/>
  <c r="H961" i="7" s="1"/>
  <c r="G962" i="7"/>
  <c r="H962" i="7" s="1"/>
  <c r="G963" i="7"/>
  <c r="H963" i="7" s="1"/>
  <c r="G964" i="7"/>
  <c r="H964" i="7" s="1"/>
  <c r="G965" i="7"/>
  <c r="H965" i="7" s="1"/>
  <c r="G966" i="7"/>
  <c r="H966" i="7" s="1"/>
  <c r="G967" i="7"/>
  <c r="H967" i="7" s="1"/>
  <c r="G968" i="7"/>
  <c r="H968" i="7" s="1"/>
  <c r="G969" i="7"/>
  <c r="H969" i="7" s="1"/>
  <c r="G970" i="7"/>
  <c r="H970" i="7" s="1"/>
  <c r="G971" i="7"/>
  <c r="H971" i="7" s="1"/>
  <c r="G972" i="7"/>
  <c r="G973" i="7"/>
  <c r="H973" i="7" s="1"/>
  <c r="G974" i="7"/>
  <c r="G975" i="7"/>
  <c r="H975" i="7" s="1"/>
  <c r="G976" i="7"/>
  <c r="H976" i="7" s="1"/>
  <c r="G977" i="7"/>
  <c r="H977" i="7" s="1"/>
  <c r="G978" i="7"/>
  <c r="H978" i="7" s="1"/>
  <c r="G979" i="7"/>
  <c r="H979" i="7" s="1"/>
  <c r="G980" i="7"/>
  <c r="H980" i="7" s="1"/>
  <c r="G981" i="7"/>
  <c r="H981" i="7" s="1"/>
  <c r="G982" i="7"/>
  <c r="H982" i="7" s="1"/>
  <c r="G983" i="7"/>
  <c r="H983" i="7" s="1"/>
  <c r="G984" i="7"/>
  <c r="H984" i="7" s="1"/>
  <c r="G985" i="7"/>
  <c r="H985" i="7" s="1"/>
  <c r="G986" i="7"/>
  <c r="H986" i="7" s="1"/>
  <c r="G987" i="7"/>
  <c r="H987" i="7" s="1"/>
  <c r="G988" i="7"/>
  <c r="H988" i="7" s="1"/>
  <c r="G989" i="7"/>
  <c r="H989" i="7" s="1"/>
  <c r="G990" i="7"/>
  <c r="H990" i="7" s="1"/>
  <c r="G991" i="7"/>
  <c r="H991" i="7" s="1"/>
  <c r="G992" i="7"/>
  <c r="G993" i="7"/>
  <c r="H993" i="7" s="1"/>
  <c r="G994" i="7"/>
  <c r="H994" i="7" s="1"/>
  <c r="G995" i="7"/>
  <c r="H995" i="7" s="1"/>
  <c r="G996" i="7"/>
  <c r="H996" i="7" s="1"/>
  <c r="G997" i="7"/>
  <c r="H997" i="7" s="1"/>
  <c r="G998" i="7"/>
  <c r="H998" i="7" s="1"/>
  <c r="G999" i="7"/>
  <c r="H999" i="7" s="1"/>
  <c r="G1000" i="7"/>
  <c r="H1000" i="7" s="1"/>
  <c r="G1001" i="7"/>
  <c r="H1001" i="7" s="1"/>
  <c r="G1002" i="7"/>
  <c r="H1002" i="7" s="1"/>
  <c r="G1003" i="7"/>
  <c r="H1003" i="7" s="1"/>
  <c r="G1004" i="7"/>
  <c r="H1004" i="7" s="1"/>
  <c r="G1005" i="7"/>
  <c r="H1005" i="7" s="1"/>
  <c r="G1006" i="7"/>
  <c r="H1006" i="7" s="1"/>
  <c r="G1007" i="7"/>
  <c r="H1007" i="7" s="1"/>
  <c r="G1008" i="7"/>
  <c r="H1008" i="7" s="1"/>
  <c r="G1009" i="7"/>
  <c r="H1009" i="7" s="1"/>
  <c r="G1010" i="7"/>
  <c r="H1010" i="7" s="1"/>
  <c r="G1011" i="7"/>
  <c r="H1011" i="7" s="1"/>
  <c r="G1012" i="7"/>
  <c r="H1012" i="7" s="1"/>
  <c r="G1013" i="7"/>
  <c r="H1013" i="7" s="1"/>
  <c r="G1014" i="7"/>
  <c r="H1014" i="7" s="1"/>
  <c r="G1015" i="7"/>
  <c r="H1015" i="7" s="1"/>
  <c r="G1016" i="7"/>
  <c r="H1016" i="7" s="1"/>
  <c r="G1017" i="7"/>
  <c r="H1017" i="7" s="1"/>
  <c r="G1018" i="7"/>
  <c r="H1018" i="7" s="1"/>
  <c r="G1019" i="7"/>
  <c r="H1019" i="7" s="1"/>
  <c r="G1020" i="7"/>
  <c r="H1020" i="7" s="1"/>
  <c r="G1021" i="7"/>
  <c r="H1021" i="7" s="1"/>
  <c r="G1022" i="7"/>
  <c r="H1022" i="7" s="1"/>
  <c r="G1023" i="7"/>
  <c r="H1023" i="7" s="1"/>
  <c r="G1024" i="7"/>
  <c r="H1024" i="7" s="1"/>
  <c r="G1025" i="7"/>
  <c r="H1025" i="7" s="1"/>
  <c r="G1026" i="7"/>
  <c r="H1026" i="7" s="1"/>
  <c r="G1027" i="7"/>
  <c r="H1027" i="7" s="1"/>
  <c r="G1028" i="7"/>
  <c r="H1028" i="7" s="1"/>
  <c r="G1029" i="7"/>
  <c r="H1029" i="7" s="1"/>
  <c r="G1030" i="7"/>
  <c r="H1030" i="7" s="1"/>
  <c r="G1031" i="7"/>
  <c r="H1031" i="7" s="1"/>
  <c r="G1032" i="7"/>
  <c r="H1032" i="7" s="1"/>
  <c r="G1033" i="7"/>
  <c r="H1033" i="7" s="1"/>
  <c r="G1034" i="7"/>
  <c r="H1034" i="7" s="1"/>
  <c r="G1035" i="7"/>
  <c r="H1035" i="7" s="1"/>
  <c r="G1036" i="7"/>
  <c r="H1036" i="7" s="1"/>
  <c r="G1037" i="7"/>
  <c r="H1037" i="7" s="1"/>
  <c r="G1038" i="7"/>
  <c r="H1038" i="7" s="1"/>
  <c r="G1039" i="7"/>
  <c r="H1039" i="7" s="1"/>
  <c r="G1040" i="7"/>
  <c r="H1040" i="7" s="1"/>
  <c r="G1041" i="7"/>
  <c r="H1041" i="7" s="1"/>
  <c r="G1042" i="7"/>
  <c r="H1042" i="7" s="1"/>
  <c r="G1043" i="7"/>
  <c r="H1043" i="7" s="1"/>
  <c r="G1044" i="7"/>
  <c r="H1044" i="7" s="1"/>
  <c r="G1045" i="7"/>
  <c r="H1045" i="7" s="1"/>
  <c r="G1046" i="7"/>
  <c r="H1046" i="7" s="1"/>
  <c r="G1047" i="7"/>
  <c r="H1047" i="7" s="1"/>
  <c r="G1048" i="7"/>
  <c r="H1048" i="7" s="1"/>
  <c r="G1049" i="7"/>
  <c r="H1049" i="7" s="1"/>
  <c r="G1050" i="7"/>
  <c r="H1050" i="7" s="1"/>
  <c r="G1051" i="7"/>
  <c r="H1051" i="7" s="1"/>
  <c r="G1052" i="7"/>
  <c r="H1052" i="7" s="1"/>
  <c r="G1053" i="7"/>
  <c r="H1053" i="7" s="1"/>
  <c r="G1054" i="7"/>
  <c r="H1054" i="7" s="1"/>
  <c r="G1055" i="7"/>
  <c r="H1055" i="7" s="1"/>
  <c r="G1056" i="7"/>
  <c r="H1056" i="7" s="1"/>
  <c r="G1057" i="7"/>
  <c r="H1057" i="7" s="1"/>
  <c r="G1058" i="7"/>
  <c r="H1058" i="7" s="1"/>
  <c r="G1059" i="7"/>
  <c r="H1059" i="7" s="1"/>
  <c r="G1060" i="7"/>
  <c r="H1060" i="7" s="1"/>
  <c r="G1061" i="7"/>
  <c r="H1061" i="7" s="1"/>
  <c r="G1062" i="7"/>
  <c r="H1062" i="7" s="1"/>
  <c r="G1063" i="7"/>
  <c r="H1063" i="7" s="1"/>
  <c r="G1064" i="7"/>
  <c r="H1064" i="7" s="1"/>
  <c r="G1065" i="7"/>
  <c r="H1065" i="7" s="1"/>
  <c r="G1066" i="7"/>
  <c r="H1066" i="7" s="1"/>
  <c r="G1067" i="7"/>
  <c r="H1067" i="7" s="1"/>
  <c r="G1068" i="7"/>
  <c r="H1068" i="7" s="1"/>
  <c r="G1069" i="7"/>
  <c r="H1069" i="7" s="1"/>
  <c r="G1070" i="7"/>
  <c r="H1070" i="7" s="1"/>
  <c r="G1071" i="7"/>
  <c r="H1071" i="7" s="1"/>
  <c r="G1072" i="7"/>
  <c r="H1072" i="7" s="1"/>
  <c r="G1073" i="7"/>
  <c r="H1073" i="7" s="1"/>
  <c r="G1074" i="7"/>
  <c r="H1074" i="7" s="1"/>
  <c r="G1075" i="7"/>
  <c r="H1075" i="7" s="1"/>
  <c r="G1076" i="7"/>
  <c r="H1076" i="7" s="1"/>
  <c r="G1077" i="7"/>
  <c r="H1077" i="7" s="1"/>
  <c r="G1078" i="7"/>
  <c r="H1078" i="7" s="1"/>
  <c r="G1079" i="7"/>
  <c r="H1079" i="7" s="1"/>
  <c r="G1080" i="7"/>
  <c r="H1080" i="7" s="1"/>
  <c r="G1081" i="7"/>
  <c r="H1081" i="7" s="1"/>
  <c r="G1082" i="7"/>
  <c r="H1082" i="7" s="1"/>
  <c r="G1083" i="7"/>
  <c r="H1083" i="7" s="1"/>
  <c r="G1084" i="7"/>
  <c r="H1084" i="7" s="1"/>
  <c r="G1085" i="7"/>
  <c r="H1085" i="7" s="1"/>
  <c r="G1086" i="7"/>
  <c r="H1086" i="7" s="1"/>
  <c r="G1087" i="7"/>
  <c r="H1087" i="7" s="1"/>
  <c r="G1088" i="7"/>
  <c r="H1088" i="7" s="1"/>
  <c r="G1089" i="7"/>
  <c r="H1089" i="7" s="1"/>
  <c r="G1090" i="7"/>
  <c r="H1090" i="7" s="1"/>
  <c r="G1091" i="7"/>
  <c r="H1091" i="7" s="1"/>
  <c r="G1092" i="7"/>
  <c r="H1092" i="7" s="1"/>
  <c r="G1093" i="7"/>
  <c r="H1093" i="7" s="1"/>
  <c r="G1094" i="7"/>
  <c r="H1094" i="7" s="1"/>
  <c r="G1095" i="7"/>
  <c r="H1095" i="7" s="1"/>
  <c r="G1096" i="7"/>
  <c r="H1096" i="7" s="1"/>
  <c r="G1097" i="7"/>
  <c r="H1097" i="7" s="1"/>
  <c r="G1098" i="7"/>
  <c r="H1098" i="7" s="1"/>
  <c r="G1099" i="7"/>
  <c r="H1099" i="7" s="1"/>
  <c r="G1100" i="7"/>
  <c r="H1100" i="7" s="1"/>
  <c r="G1101" i="7"/>
  <c r="H1101" i="7" s="1"/>
  <c r="G1102" i="7"/>
  <c r="H1102" i="7" s="1"/>
  <c r="G1103" i="7"/>
  <c r="H1103" i="7" s="1"/>
  <c r="G1104" i="7"/>
  <c r="H1104" i="7" s="1"/>
  <c r="G1105" i="7"/>
  <c r="H1105" i="7" s="1"/>
  <c r="G1106" i="7"/>
  <c r="H1106" i="7" s="1"/>
  <c r="G1107" i="7"/>
  <c r="H1107" i="7" s="1"/>
  <c r="G1108" i="7"/>
  <c r="H1108" i="7" s="1"/>
  <c r="G1109" i="7"/>
  <c r="H1109" i="7" s="1"/>
  <c r="G1110" i="7"/>
  <c r="H1110" i="7" s="1"/>
  <c r="G1111" i="7"/>
  <c r="H1111" i="7" s="1"/>
  <c r="G1112" i="7"/>
  <c r="H1112" i="7" s="1"/>
  <c r="G1113" i="7"/>
  <c r="H1113" i="7" s="1"/>
  <c r="G1114" i="7"/>
  <c r="H1114" i="7" s="1"/>
  <c r="G1115" i="7"/>
  <c r="H1115" i="7" s="1"/>
  <c r="G1116" i="7"/>
  <c r="H1116" i="7" s="1"/>
  <c r="G1117" i="7"/>
  <c r="H1117" i="7" s="1"/>
  <c r="G1118" i="7"/>
  <c r="H1118" i="7" s="1"/>
  <c r="G1119" i="7"/>
  <c r="H1119" i="7" s="1"/>
  <c r="G1120" i="7"/>
  <c r="H1120" i="7" s="1"/>
  <c r="G1121" i="7"/>
  <c r="H1121" i="7" s="1"/>
  <c r="G1122" i="7"/>
  <c r="H1122" i="7" s="1"/>
  <c r="G1123" i="7"/>
  <c r="H1123" i="7" s="1"/>
  <c r="G1124" i="7"/>
  <c r="H1124" i="7" s="1"/>
  <c r="G1125" i="7"/>
  <c r="H1125" i="7" s="1"/>
  <c r="G1126" i="7"/>
  <c r="H1126" i="7" s="1"/>
  <c r="G1127" i="7"/>
  <c r="H1127" i="7" s="1"/>
  <c r="G1128" i="7"/>
  <c r="H1128" i="7" s="1"/>
  <c r="G1129" i="7"/>
  <c r="H1129" i="7" s="1"/>
  <c r="G1130" i="7"/>
  <c r="H1130" i="7" s="1"/>
  <c r="G1131" i="7"/>
  <c r="H1131" i="7" s="1"/>
  <c r="G1132" i="7"/>
  <c r="H1132" i="7" s="1"/>
  <c r="G1133" i="7"/>
  <c r="H1133" i="7" s="1"/>
  <c r="G1134" i="7"/>
  <c r="H1134" i="7" s="1"/>
  <c r="G1135" i="7"/>
  <c r="H1135" i="7" s="1"/>
  <c r="G1136" i="7"/>
  <c r="H1136" i="7" s="1"/>
  <c r="G1137" i="7"/>
  <c r="H1137" i="7" s="1"/>
  <c r="G1138" i="7"/>
  <c r="H1138" i="7" s="1"/>
  <c r="G1139" i="7"/>
  <c r="H1139" i="7" s="1"/>
  <c r="G1140" i="7"/>
  <c r="H1140" i="7" s="1"/>
  <c r="G1141" i="7"/>
  <c r="H1141" i="7" s="1"/>
  <c r="G1142" i="7"/>
  <c r="H1142" i="7" s="1"/>
  <c r="G1143" i="7"/>
  <c r="H1143" i="7" s="1"/>
  <c r="G1144" i="7"/>
  <c r="H1144" i="7" s="1"/>
  <c r="G1145" i="7"/>
  <c r="H1145" i="7" s="1"/>
  <c r="G1146" i="7"/>
  <c r="H1146" i="7" s="1"/>
  <c r="G1147" i="7"/>
  <c r="H1147" i="7" s="1"/>
  <c r="G1148" i="7"/>
  <c r="H1148" i="7" s="1"/>
  <c r="G1149" i="7"/>
  <c r="H1149" i="7" s="1"/>
  <c r="G1150" i="7"/>
  <c r="H1150" i="7" s="1"/>
  <c r="G1151" i="7"/>
  <c r="H1151" i="7" s="1"/>
  <c r="G1152" i="7"/>
  <c r="H1152" i="7" s="1"/>
  <c r="G1153" i="7"/>
  <c r="H1153" i="7" s="1"/>
  <c r="G1154" i="7"/>
  <c r="H1154" i="7" s="1"/>
  <c r="G1155" i="7"/>
  <c r="H1155" i="7" s="1"/>
  <c r="G1156" i="7"/>
  <c r="H1156" i="7" s="1"/>
  <c r="G1157" i="7"/>
  <c r="H1157" i="7" s="1"/>
  <c r="G1158" i="7"/>
  <c r="H1158" i="7" s="1"/>
  <c r="G1159" i="7"/>
  <c r="H1159" i="7" s="1"/>
  <c r="G1160" i="7"/>
  <c r="H1160" i="7" s="1"/>
  <c r="G1161" i="7"/>
  <c r="H1161" i="7" s="1"/>
  <c r="G1162" i="7"/>
  <c r="H1162" i="7" s="1"/>
  <c r="G1163" i="7"/>
  <c r="H1163" i="7" s="1"/>
  <c r="G1164" i="7"/>
  <c r="H1164" i="7" s="1"/>
  <c r="G1165" i="7"/>
  <c r="H1165" i="7" s="1"/>
  <c r="G1166" i="7"/>
  <c r="H1166" i="7" s="1"/>
  <c r="G1167" i="7"/>
  <c r="H1167" i="7" s="1"/>
  <c r="G1168" i="7"/>
  <c r="H1168" i="7" s="1"/>
  <c r="G1169" i="7"/>
  <c r="H1169" i="7" s="1"/>
  <c r="G1170" i="7"/>
  <c r="H1170" i="7" s="1"/>
  <c r="G1171" i="7"/>
  <c r="H1171" i="7" s="1"/>
  <c r="G1172" i="7"/>
  <c r="H1172" i="7" s="1"/>
  <c r="G1173" i="7"/>
  <c r="H1173" i="7" s="1"/>
  <c r="G1174" i="7"/>
  <c r="H1174" i="7" s="1"/>
  <c r="G1175" i="7"/>
  <c r="H1175" i="7" s="1"/>
  <c r="G1176" i="7"/>
  <c r="H1176" i="7" s="1"/>
  <c r="G1177" i="7"/>
  <c r="H1177" i="7" s="1"/>
  <c r="G1178" i="7"/>
  <c r="H1178" i="7" s="1"/>
  <c r="G1179" i="7"/>
  <c r="H1179" i="7" s="1"/>
  <c r="G1180" i="7"/>
  <c r="H1180" i="7" s="1"/>
  <c r="G1181" i="7"/>
  <c r="H1181" i="7" s="1"/>
  <c r="G1182" i="7"/>
  <c r="H1182" i="7" s="1"/>
  <c r="G1183" i="7"/>
  <c r="H1183" i="7" s="1"/>
  <c r="G1184" i="7"/>
  <c r="H1184" i="7" s="1"/>
  <c r="G1185" i="7"/>
  <c r="H1185" i="7" s="1"/>
  <c r="G1186" i="7"/>
  <c r="H1186" i="7" s="1"/>
  <c r="G1187" i="7"/>
  <c r="H1187" i="7" s="1"/>
  <c r="G1188" i="7"/>
  <c r="H1188" i="7" s="1"/>
  <c r="G1189" i="7"/>
  <c r="H1189" i="7" s="1"/>
  <c r="G1190" i="7"/>
  <c r="H1190" i="7" s="1"/>
  <c r="G1191" i="7"/>
  <c r="H1191" i="7" s="1"/>
  <c r="G1192" i="7"/>
  <c r="H1192" i="7" s="1"/>
  <c r="G1193" i="7"/>
  <c r="H1193" i="7" s="1"/>
  <c r="G1194" i="7"/>
  <c r="H1194" i="7" s="1"/>
  <c r="G1195" i="7"/>
  <c r="H1195" i="7" s="1"/>
  <c r="G1196" i="7"/>
  <c r="H1196" i="7" s="1"/>
  <c r="G1197" i="7"/>
  <c r="H1197" i="7" s="1"/>
  <c r="G1198" i="7"/>
  <c r="H1198" i="7" s="1"/>
  <c r="G1199" i="7"/>
  <c r="H1199" i="7" s="1"/>
  <c r="G1200" i="7"/>
  <c r="H1200" i="7" s="1"/>
  <c r="G1201" i="7"/>
  <c r="H1201" i="7" s="1"/>
  <c r="G1202" i="7"/>
  <c r="H1202" i="7" s="1"/>
  <c r="G1203" i="7"/>
  <c r="H1203" i="7" s="1"/>
  <c r="G1204" i="7"/>
  <c r="H1204" i="7" s="1"/>
  <c r="G1205" i="7"/>
  <c r="H1205" i="7" s="1"/>
  <c r="G1206" i="7"/>
  <c r="H1206" i="7" s="1"/>
  <c r="G1207" i="7"/>
  <c r="H1207" i="7" s="1"/>
  <c r="G1208" i="7"/>
  <c r="H1208" i="7" s="1"/>
  <c r="G1209" i="7"/>
  <c r="H1209" i="7" s="1"/>
  <c r="G1210" i="7"/>
  <c r="H1210" i="7" s="1"/>
  <c r="G1211" i="7"/>
  <c r="H1211" i="7" s="1"/>
  <c r="G1212" i="7"/>
  <c r="H1212" i="7" s="1"/>
  <c r="G1213" i="7"/>
  <c r="H1213" i="7" s="1"/>
  <c r="G1214" i="7"/>
  <c r="H1214" i="7" s="1"/>
  <c r="G1215" i="7"/>
  <c r="H1215" i="7" s="1"/>
  <c r="G1216" i="7"/>
  <c r="H1216" i="7" s="1"/>
  <c r="G1217" i="7"/>
  <c r="H1217" i="7" s="1"/>
  <c r="G1218" i="7"/>
  <c r="H1218" i="7" s="1"/>
  <c r="G1219" i="7"/>
  <c r="H1219" i="7" s="1"/>
  <c r="G1220" i="7"/>
  <c r="H1220" i="7" s="1"/>
  <c r="G1221" i="7"/>
  <c r="H1221" i="7" s="1"/>
  <c r="G1222" i="7"/>
  <c r="H1222" i="7" s="1"/>
  <c r="G1223" i="7"/>
  <c r="H1223" i="7" s="1"/>
  <c r="G1224" i="7"/>
  <c r="H1224" i="7" s="1"/>
  <c r="G1225" i="7"/>
  <c r="H1225" i="7" s="1"/>
  <c r="G1226" i="7"/>
  <c r="H1226" i="7" s="1"/>
  <c r="G1227" i="7"/>
  <c r="H1227" i="7" s="1"/>
  <c r="G1228" i="7"/>
  <c r="H1228" i="7" s="1"/>
  <c r="G1229" i="7"/>
  <c r="H1229" i="7" s="1"/>
  <c r="G1230" i="7"/>
  <c r="H1230" i="7" s="1"/>
  <c r="G1231" i="7"/>
  <c r="H1231" i="7" s="1"/>
  <c r="G1232" i="7"/>
  <c r="H1232" i="7" s="1"/>
  <c r="G1233" i="7"/>
  <c r="H1233" i="7" s="1"/>
  <c r="G1234" i="7"/>
  <c r="H1234" i="7" s="1"/>
  <c r="G1235" i="7"/>
  <c r="H1235" i="7" s="1"/>
  <c r="G1236" i="7"/>
  <c r="H1236" i="7" s="1"/>
  <c r="G1237" i="7"/>
  <c r="H1237" i="7" s="1"/>
  <c r="G1238" i="7"/>
  <c r="H1238" i="7" s="1"/>
  <c r="G1239" i="7"/>
  <c r="H1239" i="7" s="1"/>
  <c r="G1240" i="7"/>
  <c r="H1240" i="7" s="1"/>
  <c r="G1241" i="7"/>
  <c r="H1241" i="7" s="1"/>
  <c r="G1242" i="7"/>
  <c r="H1242" i="7" s="1"/>
  <c r="G1243" i="7"/>
  <c r="H1243" i="7" s="1"/>
  <c r="G1244" i="7"/>
  <c r="H1244" i="7" s="1"/>
  <c r="G1245" i="7"/>
  <c r="H1245" i="7" s="1"/>
  <c r="G1246" i="7"/>
  <c r="H1246" i="7" s="1"/>
  <c r="G1247" i="7"/>
  <c r="H1247" i="7" s="1"/>
  <c r="G1248" i="7"/>
  <c r="H1248" i="7" s="1"/>
  <c r="G1249" i="7"/>
  <c r="H1249" i="7" s="1"/>
  <c r="G1250" i="7"/>
  <c r="H1250" i="7" s="1"/>
  <c r="G1251" i="7"/>
  <c r="H1251" i="7" s="1"/>
  <c r="G1252" i="7"/>
  <c r="H1252" i="7" s="1"/>
  <c r="G1253" i="7"/>
  <c r="H1253" i="7" s="1"/>
  <c r="G1254" i="7"/>
  <c r="H1254" i="7" s="1"/>
  <c r="G1255" i="7"/>
  <c r="H1255" i="7" s="1"/>
  <c r="G1256" i="7"/>
  <c r="H1256" i="7" s="1"/>
  <c r="G1257" i="7"/>
  <c r="H1257" i="7" s="1"/>
  <c r="G1258" i="7"/>
  <c r="H1258" i="7" s="1"/>
  <c r="G1259" i="7"/>
  <c r="H1259" i="7" s="1"/>
  <c r="G1260" i="7"/>
  <c r="H1260" i="7" s="1"/>
  <c r="G1261" i="7"/>
  <c r="H1261" i="7" s="1"/>
  <c r="G1262" i="7"/>
  <c r="H1262" i="7" s="1"/>
  <c r="G1263" i="7"/>
  <c r="H1263" i="7" s="1"/>
  <c r="G1264" i="7"/>
  <c r="H1264" i="7" s="1"/>
  <c r="G1265" i="7"/>
  <c r="H1265" i="7" s="1"/>
  <c r="G1266" i="7"/>
  <c r="H1266" i="7" s="1"/>
  <c r="G1267" i="7"/>
  <c r="H1267" i="7" s="1"/>
  <c r="G1268" i="7"/>
  <c r="H1268" i="7" s="1"/>
  <c r="G1269" i="7"/>
  <c r="H1269" i="7" s="1"/>
  <c r="G1270" i="7"/>
  <c r="H1270" i="7" s="1"/>
  <c r="G1271" i="7"/>
  <c r="H1271" i="7" s="1"/>
  <c r="G1272" i="7"/>
  <c r="H1272" i="7" s="1"/>
  <c r="G1273" i="7"/>
  <c r="G1274" i="7"/>
  <c r="H1274" i="7" s="1"/>
  <c r="G1275" i="7"/>
  <c r="H1275" i="7" s="1"/>
  <c r="G1276" i="7"/>
  <c r="H1276" i="7" s="1"/>
  <c r="G1277" i="7"/>
  <c r="H1277" i="7" s="1"/>
  <c r="G1278" i="7"/>
  <c r="H1278" i="7" s="1"/>
  <c r="G1279" i="7"/>
  <c r="H1279" i="7" s="1"/>
  <c r="G1280" i="7"/>
  <c r="H1280" i="7" s="1"/>
  <c r="G1281" i="7"/>
  <c r="H1281" i="7" s="1"/>
  <c r="G1282" i="7"/>
  <c r="H1282" i="7" s="1"/>
  <c r="G1283" i="7"/>
  <c r="H1283" i="7" s="1"/>
  <c r="G1284" i="7"/>
  <c r="H1284" i="7" s="1"/>
  <c r="G1285" i="7"/>
  <c r="H1285" i="7" s="1"/>
  <c r="G1286" i="7"/>
  <c r="H1286" i="7" s="1"/>
  <c r="G1287" i="7"/>
  <c r="H1287" i="7" s="1"/>
  <c r="G1288" i="7"/>
  <c r="H1288" i="7" s="1"/>
  <c r="G1289" i="7"/>
  <c r="H1289" i="7" s="1"/>
  <c r="G1290" i="7"/>
  <c r="H1290" i="7" s="1"/>
  <c r="G1291" i="7"/>
  <c r="H1291" i="7" s="1"/>
  <c r="G1292" i="7"/>
  <c r="H1292" i="7" s="1"/>
  <c r="G1293" i="7"/>
  <c r="H1293" i="7" s="1"/>
  <c r="G1294" i="7"/>
  <c r="H1294" i="7" s="1"/>
  <c r="G1295" i="7"/>
  <c r="H1295" i="7" s="1"/>
  <c r="G1296" i="7"/>
  <c r="H1296" i="7" s="1"/>
  <c r="G1297" i="7"/>
  <c r="H1297" i="7" s="1"/>
  <c r="G1298" i="7"/>
  <c r="H1298" i="7" s="1"/>
  <c r="G1299" i="7"/>
  <c r="H1299" i="7" s="1"/>
  <c r="G1300" i="7"/>
  <c r="H1300" i="7" s="1"/>
  <c r="G1301" i="7"/>
  <c r="H1301" i="7" s="1"/>
  <c r="G1302" i="7"/>
  <c r="H1302" i="7" s="1"/>
  <c r="G1303" i="7"/>
  <c r="H1303" i="7" s="1"/>
  <c r="G1304" i="7"/>
  <c r="H1304" i="7" s="1"/>
  <c r="G1305" i="7"/>
  <c r="H1305" i="7" s="1"/>
  <c r="G1306" i="7"/>
  <c r="H1306" i="7" s="1"/>
  <c r="G1307" i="7"/>
  <c r="H1307" i="7" s="1"/>
  <c r="G1308" i="7"/>
  <c r="H1308" i="7" s="1"/>
  <c r="G1309" i="7"/>
  <c r="H1309" i="7" s="1"/>
  <c r="G1310" i="7"/>
  <c r="H1310" i="7" s="1"/>
  <c r="G1311" i="7"/>
  <c r="H1311" i="7" s="1"/>
  <c r="G1312" i="7"/>
  <c r="H1312" i="7" s="1"/>
  <c r="G1313" i="7"/>
  <c r="H1313" i="7" s="1"/>
  <c r="G1314" i="7"/>
  <c r="H1314" i="7" s="1"/>
  <c r="G1315" i="7"/>
  <c r="H1315" i="7" s="1"/>
  <c r="G1316" i="7"/>
  <c r="H1316" i="7" s="1"/>
  <c r="G1317" i="7"/>
  <c r="H1317" i="7" s="1"/>
  <c r="G1318" i="7"/>
  <c r="H1318" i="7" s="1"/>
  <c r="G1319" i="7"/>
  <c r="H1319" i="7" s="1"/>
  <c r="G1320" i="7"/>
  <c r="H1320" i="7" s="1"/>
  <c r="G1321" i="7"/>
  <c r="H1321" i="7" s="1"/>
  <c r="G1322" i="7"/>
  <c r="H1322" i="7" s="1"/>
  <c r="G1323" i="7"/>
  <c r="H1323" i="7" s="1"/>
  <c r="G1324" i="7"/>
  <c r="H1324" i="7" s="1"/>
  <c r="G1325" i="7"/>
  <c r="H1325" i="7" s="1"/>
  <c r="G1326" i="7"/>
  <c r="H1326" i="7" s="1"/>
  <c r="G1327" i="7"/>
  <c r="H1327" i="7" s="1"/>
  <c r="G1328" i="7"/>
  <c r="H1328" i="7" s="1"/>
  <c r="G1329" i="7"/>
  <c r="H1329" i="7" s="1"/>
  <c r="G1330" i="7"/>
  <c r="H1330" i="7" s="1"/>
  <c r="G1331" i="7"/>
  <c r="H1331" i="7" s="1"/>
  <c r="G1332" i="7"/>
  <c r="H1332" i="7" s="1"/>
  <c r="G1333" i="7"/>
  <c r="H1333" i="7" s="1"/>
  <c r="G1334" i="7"/>
  <c r="H1334" i="7" s="1"/>
  <c r="G1335" i="7"/>
  <c r="H1335" i="7" s="1"/>
  <c r="G1336" i="7"/>
  <c r="H1336" i="7" s="1"/>
  <c r="G1337" i="7"/>
  <c r="H1337" i="7" s="1"/>
  <c r="G1338" i="7"/>
  <c r="H1338" i="7" s="1"/>
  <c r="G1339" i="7"/>
  <c r="H1339" i="7" s="1"/>
  <c r="G1340" i="7"/>
  <c r="H1340" i="7" s="1"/>
  <c r="G1341" i="7"/>
  <c r="H1341" i="7" s="1"/>
  <c r="G1342" i="7"/>
  <c r="H1342" i="7" s="1"/>
  <c r="G1343" i="7"/>
  <c r="H1343" i="7" s="1"/>
  <c r="G1344" i="7"/>
  <c r="H1344" i="7" s="1"/>
  <c r="G1345" i="7"/>
  <c r="H1345" i="7" s="1"/>
  <c r="G1346" i="7"/>
  <c r="H1346" i="7" s="1"/>
  <c r="G1347" i="7"/>
  <c r="H1347" i="7" s="1"/>
  <c r="G1348" i="7"/>
  <c r="H1348" i="7" s="1"/>
  <c r="G1349" i="7"/>
  <c r="H1349" i="7" s="1"/>
  <c r="G1350" i="7"/>
  <c r="H1350" i="7" s="1"/>
  <c r="G1351" i="7"/>
  <c r="H1351" i="7" s="1"/>
  <c r="G1352" i="7"/>
  <c r="H1352" i="7" s="1"/>
  <c r="G1353" i="7"/>
  <c r="H1353" i="7" s="1"/>
  <c r="G1354" i="7"/>
  <c r="H1354" i="7" s="1"/>
  <c r="G1355" i="7"/>
  <c r="H1355" i="7" s="1"/>
  <c r="G1356" i="7"/>
  <c r="H1356" i="7" s="1"/>
  <c r="G1357" i="7"/>
  <c r="H1357" i="7" s="1"/>
  <c r="G1358" i="7"/>
  <c r="H1358" i="7" s="1"/>
  <c r="G1359" i="7"/>
  <c r="H1359" i="7" s="1"/>
  <c r="G1360" i="7"/>
  <c r="H1360" i="7" s="1"/>
  <c r="G1361" i="7"/>
  <c r="H1361" i="7" s="1"/>
  <c r="G1362" i="7"/>
  <c r="H1362" i="7" s="1"/>
  <c r="G1363" i="7"/>
  <c r="H1363" i="7" s="1"/>
  <c r="G1364" i="7"/>
  <c r="H1364" i="7" s="1"/>
  <c r="G1365" i="7"/>
  <c r="H1365" i="7" s="1"/>
  <c r="G1366" i="7"/>
  <c r="H1366" i="7" s="1"/>
  <c r="G1367" i="7"/>
  <c r="H1367" i="7" s="1"/>
  <c r="G1368" i="7"/>
  <c r="H1368" i="7" s="1"/>
  <c r="G1369" i="7"/>
  <c r="H1369" i="7" s="1"/>
  <c r="G1370" i="7"/>
  <c r="H1370" i="7" s="1"/>
  <c r="G1371" i="7"/>
  <c r="H1371" i="7" s="1"/>
  <c r="G1372" i="7"/>
  <c r="H1372" i="7" s="1"/>
  <c r="G1373" i="7"/>
  <c r="H1373" i="7" s="1"/>
  <c r="G1374" i="7"/>
  <c r="H1374" i="7" s="1"/>
  <c r="G1375" i="7"/>
  <c r="H1375" i="7" s="1"/>
  <c r="G1376" i="7"/>
  <c r="H1376" i="7" s="1"/>
  <c r="G1377" i="7"/>
  <c r="H1377" i="7" s="1"/>
  <c r="G1378" i="7"/>
  <c r="H1378" i="7" s="1"/>
  <c r="G1379" i="7"/>
  <c r="H1379" i="7" s="1"/>
  <c r="G1380" i="7"/>
  <c r="H1380" i="7" s="1"/>
  <c r="G1381" i="7"/>
  <c r="H1381" i="7" s="1"/>
  <c r="G1382" i="7"/>
  <c r="H1382" i="7" s="1"/>
  <c r="G1383" i="7"/>
  <c r="H1383" i="7" s="1"/>
  <c r="G1384" i="7"/>
  <c r="H1384" i="7" s="1"/>
  <c r="G1385" i="7"/>
  <c r="H1385" i="7" s="1"/>
  <c r="G1386" i="7"/>
  <c r="H1386" i="7" s="1"/>
  <c r="G1387" i="7"/>
  <c r="H1387" i="7" s="1"/>
  <c r="G1388" i="7"/>
  <c r="H1388" i="7" s="1"/>
  <c r="G1389" i="7"/>
  <c r="H1389" i="7" s="1"/>
  <c r="G1390" i="7"/>
  <c r="H1390" i="7" s="1"/>
  <c r="G1391" i="7"/>
  <c r="H1391" i="7" s="1"/>
  <c r="G1392" i="7"/>
  <c r="H1392" i="7" s="1"/>
  <c r="G1393" i="7"/>
  <c r="H1393" i="7" s="1"/>
  <c r="G1394" i="7"/>
  <c r="H1394" i="7" s="1"/>
  <c r="G1395" i="7"/>
  <c r="H1395" i="7" s="1"/>
  <c r="G1396" i="7"/>
  <c r="H1396" i="7" s="1"/>
  <c r="G1397" i="7"/>
  <c r="H1397" i="7" s="1"/>
  <c r="G1398" i="7"/>
  <c r="H1398" i="7" s="1"/>
  <c r="G1399" i="7"/>
  <c r="H1399" i="7" s="1"/>
  <c r="G1400" i="7"/>
  <c r="H1400" i="7" s="1"/>
  <c r="G1401" i="7"/>
  <c r="H1401" i="7" s="1"/>
  <c r="G1402" i="7"/>
  <c r="H1402" i="7" s="1"/>
  <c r="G1403" i="7"/>
  <c r="H1403" i="7" s="1"/>
  <c r="G1404" i="7"/>
  <c r="H1404" i="7" s="1"/>
  <c r="G1405" i="7"/>
  <c r="H1405" i="7" s="1"/>
  <c r="G1406" i="7"/>
  <c r="H1406" i="7" s="1"/>
  <c r="G1407" i="7"/>
  <c r="H1407" i="7" s="1"/>
  <c r="G1408" i="7"/>
  <c r="H1408" i="7" s="1"/>
  <c r="G1409" i="7"/>
  <c r="H1409" i="7" s="1"/>
  <c r="G1410" i="7"/>
  <c r="H1410" i="7" s="1"/>
  <c r="G1411" i="7"/>
  <c r="H1411" i="7" s="1"/>
  <c r="G1412" i="7"/>
  <c r="H1412" i="7" s="1"/>
  <c r="G1413" i="7"/>
  <c r="H1413" i="7" s="1"/>
  <c r="G1414" i="7"/>
  <c r="H1414" i="7" s="1"/>
  <c r="G1415" i="7"/>
  <c r="H1415" i="7" s="1"/>
  <c r="G1416" i="7"/>
  <c r="H1416" i="7" s="1"/>
  <c r="G1417" i="7"/>
  <c r="H1417" i="7" s="1"/>
  <c r="G1418" i="7"/>
  <c r="H1418" i="7" s="1"/>
  <c r="G1419" i="7"/>
  <c r="H1419" i="7" s="1"/>
  <c r="G1420" i="7"/>
  <c r="H1420" i="7" s="1"/>
  <c r="G1421" i="7"/>
  <c r="H1421" i="7" s="1"/>
  <c r="G1422" i="7"/>
  <c r="H1422" i="7" s="1"/>
  <c r="G1423" i="7"/>
  <c r="H1423" i="7" s="1"/>
  <c r="G1424" i="7"/>
  <c r="H1424" i="7" s="1"/>
  <c r="G1425" i="7"/>
  <c r="H1425" i="7" s="1"/>
  <c r="G1426" i="7"/>
  <c r="H1426" i="7" s="1"/>
  <c r="G1427" i="7"/>
  <c r="H1427" i="7" s="1"/>
  <c r="G1428" i="7"/>
  <c r="H1428" i="7" s="1"/>
  <c r="G1429" i="7"/>
  <c r="H1429" i="7" s="1"/>
  <c r="G1430" i="7"/>
  <c r="H1430" i="7" s="1"/>
  <c r="G1431" i="7"/>
  <c r="H1431" i="7" s="1"/>
  <c r="G1432" i="7"/>
  <c r="H1432" i="7" s="1"/>
  <c r="G1433" i="7"/>
  <c r="H1433" i="7" s="1"/>
  <c r="G1434" i="7"/>
  <c r="H1434" i="7" s="1"/>
  <c r="G1435" i="7"/>
  <c r="H1435" i="7" s="1"/>
  <c r="G1436" i="7"/>
  <c r="H1436" i="7" s="1"/>
  <c r="G1437" i="7"/>
  <c r="H1437" i="7" s="1"/>
  <c r="G1438" i="7"/>
  <c r="H1438" i="7" s="1"/>
  <c r="G1439" i="7"/>
  <c r="H1439" i="7" s="1"/>
  <c r="G1440" i="7"/>
  <c r="H1440" i="7" s="1"/>
  <c r="G1441" i="7"/>
  <c r="H1441" i="7" s="1"/>
  <c r="G1442" i="7"/>
  <c r="H1442" i="7" s="1"/>
  <c r="G1443" i="7"/>
  <c r="H1443" i="7" s="1"/>
  <c r="G1444" i="7"/>
  <c r="H1444" i="7" s="1"/>
  <c r="G1445" i="7"/>
  <c r="H1445" i="7" s="1"/>
  <c r="G1446" i="7"/>
  <c r="H1446" i="7" s="1"/>
  <c r="G1447" i="7"/>
  <c r="H1447" i="7" s="1"/>
  <c r="G1448" i="7"/>
  <c r="H1448" i="7" s="1"/>
  <c r="G1449" i="7"/>
  <c r="H1449" i="7" s="1"/>
  <c r="G1450" i="7"/>
  <c r="H1450" i="7" s="1"/>
  <c r="G1451" i="7"/>
  <c r="H1451" i="7" s="1"/>
  <c r="G1452" i="7"/>
  <c r="H1452" i="7" s="1"/>
  <c r="G1453" i="7"/>
  <c r="H1453" i="7" s="1"/>
  <c r="G1454" i="7"/>
  <c r="H1454" i="7" s="1"/>
  <c r="G1455" i="7"/>
  <c r="H1455" i="7" s="1"/>
  <c r="G1456" i="7"/>
  <c r="H1456" i="7" s="1"/>
  <c r="G1457" i="7"/>
  <c r="H1457" i="7" s="1"/>
  <c r="G1458" i="7"/>
  <c r="H1458" i="7" s="1"/>
  <c r="G1459" i="7"/>
  <c r="H1459" i="7" s="1"/>
  <c r="G1460" i="7"/>
  <c r="H1460" i="7" s="1"/>
  <c r="G1461" i="7"/>
  <c r="H1461" i="7" s="1"/>
  <c r="G1462" i="7"/>
  <c r="H1462" i="7" s="1"/>
  <c r="G1463" i="7"/>
  <c r="H1463" i="7" s="1"/>
  <c r="G1464" i="7"/>
  <c r="H1464" i="7" s="1"/>
  <c r="G1465" i="7"/>
  <c r="H1465" i="7" s="1"/>
  <c r="G1466" i="7"/>
  <c r="H1466" i="7" s="1"/>
  <c r="G1467" i="7"/>
  <c r="H1467" i="7" s="1"/>
  <c r="G1468" i="7"/>
  <c r="H1468" i="7" s="1"/>
  <c r="G1469" i="7"/>
  <c r="H1469" i="7" s="1"/>
  <c r="G1470" i="7"/>
  <c r="H1470" i="7" s="1"/>
  <c r="G1471" i="7"/>
  <c r="H1471" i="7" s="1"/>
  <c r="G1472" i="7"/>
  <c r="H1472" i="7" s="1"/>
  <c r="G1473" i="7"/>
  <c r="H1473" i="7" s="1"/>
  <c r="G1474" i="7"/>
  <c r="H1474" i="7" s="1"/>
  <c r="G1475" i="7"/>
  <c r="H1475" i="7" s="1"/>
  <c r="G1476" i="7"/>
  <c r="H1476" i="7" s="1"/>
  <c r="G1477" i="7"/>
  <c r="H1477" i="7" s="1"/>
  <c r="G1478" i="7"/>
  <c r="H1478" i="7" s="1"/>
  <c r="G1479" i="7"/>
  <c r="H1479" i="7" s="1"/>
  <c r="G1480" i="7"/>
  <c r="H1480" i="7" s="1"/>
  <c r="G1481" i="7"/>
  <c r="H1481" i="7" s="1"/>
  <c r="G1482" i="7"/>
  <c r="H1482" i="7" s="1"/>
  <c r="G1483" i="7"/>
  <c r="H1483" i="7" s="1"/>
  <c r="G1484" i="7"/>
  <c r="H1484" i="7" s="1"/>
  <c r="G1485" i="7"/>
  <c r="H1485" i="7" s="1"/>
  <c r="G1486" i="7"/>
  <c r="H1486" i="7" s="1"/>
  <c r="G1487" i="7"/>
  <c r="H1487" i="7" s="1"/>
  <c r="G1488" i="7"/>
  <c r="H1488" i="7" s="1"/>
  <c r="G1489" i="7"/>
  <c r="H1489" i="7" s="1"/>
  <c r="G1490" i="7"/>
  <c r="H1490" i="7" s="1"/>
  <c r="G1491" i="7"/>
  <c r="H1491" i="7" s="1"/>
  <c r="G1492" i="7"/>
  <c r="H1492" i="7" s="1"/>
  <c r="G1493" i="7"/>
  <c r="H1493" i="7" s="1"/>
  <c r="G1494" i="7"/>
  <c r="H1494" i="7" s="1"/>
  <c r="G1495" i="7"/>
  <c r="H1495" i="7" s="1"/>
  <c r="G1496" i="7"/>
  <c r="H1496" i="7" s="1"/>
  <c r="G1497" i="7"/>
  <c r="H1497" i="7" s="1"/>
  <c r="G1498" i="7"/>
  <c r="H1498" i="7" s="1"/>
  <c r="G1499" i="7"/>
  <c r="H1499" i="7" s="1"/>
  <c r="G1500" i="7"/>
  <c r="H1500" i="7" s="1"/>
  <c r="G1501" i="7"/>
  <c r="H1501" i="7" s="1"/>
  <c r="G1502" i="7"/>
  <c r="H1502" i="7" s="1"/>
  <c r="G1503" i="7"/>
  <c r="H1503" i="7" s="1"/>
  <c r="G1504" i="7"/>
  <c r="H1504" i="7" s="1"/>
  <c r="G1505" i="7"/>
  <c r="H1505" i="7" s="1"/>
  <c r="G1506" i="7"/>
  <c r="H1506" i="7" s="1"/>
  <c r="G1507" i="7"/>
  <c r="H1507" i="7" s="1"/>
  <c r="G1508" i="7"/>
  <c r="H1508" i="7" s="1"/>
  <c r="G1509" i="7"/>
  <c r="H1509" i="7" s="1"/>
  <c r="G1510" i="7"/>
  <c r="H1510" i="7" s="1"/>
  <c r="G1511" i="7"/>
  <c r="H1511" i="7" s="1"/>
  <c r="G1512" i="7"/>
  <c r="H1512" i="7" s="1"/>
  <c r="G1513" i="7"/>
  <c r="H1513" i="7" s="1"/>
  <c r="G1514" i="7"/>
  <c r="H1514" i="7" s="1"/>
  <c r="G1515" i="7"/>
  <c r="H1515" i="7" s="1"/>
  <c r="G1516" i="7"/>
  <c r="H1516" i="7" s="1"/>
  <c r="G1517" i="7"/>
  <c r="H1517" i="7" s="1"/>
  <c r="G1518" i="7"/>
  <c r="H1518" i="7" s="1"/>
  <c r="G1519" i="7"/>
  <c r="H1519" i="7" s="1"/>
  <c r="G1520" i="7"/>
  <c r="H1520" i="7" s="1"/>
  <c r="G1521" i="7"/>
  <c r="H1521" i="7" s="1"/>
  <c r="G1522" i="7"/>
  <c r="H1522" i="7" s="1"/>
  <c r="G1523" i="7"/>
  <c r="H1523" i="7" s="1"/>
  <c r="G1524" i="7"/>
  <c r="H1524" i="7" s="1"/>
  <c r="G1525" i="7"/>
  <c r="H1525" i="7" s="1"/>
  <c r="G1526" i="7"/>
  <c r="H1526" i="7" s="1"/>
  <c r="G1527" i="7"/>
  <c r="H1527" i="7" s="1"/>
  <c r="G1528" i="7"/>
  <c r="H1528" i="7" s="1"/>
  <c r="G1529" i="7"/>
  <c r="H1529" i="7" s="1"/>
  <c r="G1530" i="7"/>
  <c r="H1530" i="7" s="1"/>
  <c r="G1531" i="7"/>
  <c r="H1531" i="7" s="1"/>
  <c r="G1532" i="7"/>
  <c r="H1532" i="7" s="1"/>
  <c r="G1533" i="7"/>
  <c r="H1533" i="7" s="1"/>
  <c r="G1534" i="7"/>
  <c r="H1534" i="7" s="1"/>
  <c r="G1535" i="7"/>
  <c r="H1535" i="7" s="1"/>
  <c r="G1536" i="7"/>
  <c r="H1536" i="7" s="1"/>
  <c r="G1537" i="7"/>
  <c r="H1537" i="7" s="1"/>
  <c r="G1538" i="7"/>
  <c r="H1538" i="7" s="1"/>
  <c r="G1539" i="7"/>
  <c r="H1539" i="7" s="1"/>
  <c r="G1540" i="7"/>
  <c r="H1540" i="7" s="1"/>
  <c r="G1541" i="7"/>
  <c r="H1541" i="7" s="1"/>
  <c r="G1542" i="7"/>
  <c r="H1542" i="7" s="1"/>
  <c r="G1543" i="7"/>
  <c r="H1543" i="7" s="1"/>
  <c r="G1544" i="7"/>
  <c r="H1544" i="7" s="1"/>
  <c r="G1545" i="7"/>
  <c r="H1545" i="7" s="1"/>
  <c r="G1546" i="7"/>
  <c r="H1546" i="7" s="1"/>
  <c r="G1547" i="7"/>
  <c r="H1547" i="7" s="1"/>
  <c r="G1548" i="7"/>
  <c r="H1548" i="7" s="1"/>
  <c r="G1549" i="7"/>
  <c r="H1549" i="7" s="1"/>
  <c r="G1550" i="7"/>
  <c r="H1550" i="7" s="1"/>
  <c r="G1551" i="7"/>
  <c r="H1551" i="7" s="1"/>
  <c r="G1552" i="7"/>
  <c r="H1552" i="7" s="1"/>
  <c r="G1553" i="7"/>
  <c r="H1553" i="7" s="1"/>
  <c r="G1554" i="7"/>
  <c r="H1554" i="7" s="1"/>
  <c r="G1555" i="7"/>
  <c r="H1555" i="7" s="1"/>
  <c r="G1556" i="7"/>
  <c r="H1556" i="7" s="1"/>
  <c r="G1557" i="7"/>
  <c r="H1557" i="7" s="1"/>
  <c r="G1558" i="7"/>
  <c r="H1558" i="7" s="1"/>
  <c r="G1559" i="7"/>
  <c r="H1559" i="7" s="1"/>
  <c r="G1560" i="7"/>
  <c r="H1560" i="7" s="1"/>
  <c r="G1561" i="7"/>
  <c r="H1561" i="7" s="1"/>
  <c r="G1562" i="7"/>
  <c r="H1562" i="7" s="1"/>
  <c r="G1563" i="7"/>
  <c r="H1563" i="7" s="1"/>
  <c r="G1564" i="7"/>
  <c r="H1564" i="7" s="1"/>
  <c r="G1565" i="7"/>
  <c r="H1565" i="7" s="1"/>
  <c r="G1566" i="7"/>
  <c r="H1566" i="7" s="1"/>
  <c r="G1567" i="7"/>
  <c r="H1567" i="7" s="1"/>
  <c r="G1568" i="7"/>
  <c r="H1568" i="7" s="1"/>
  <c r="G1569" i="7"/>
  <c r="H1569" i="7" s="1"/>
  <c r="G1570" i="7"/>
  <c r="H1570" i="7" s="1"/>
  <c r="G1571" i="7"/>
  <c r="H1571" i="7" s="1"/>
  <c r="G1572" i="7"/>
  <c r="H1572" i="7" s="1"/>
  <c r="G1573" i="7"/>
  <c r="G1574" i="7"/>
  <c r="G1575" i="7"/>
  <c r="H1575" i="7" s="1"/>
  <c r="G1576" i="7"/>
  <c r="H1576" i="7" s="1"/>
  <c r="G1577" i="7"/>
  <c r="H1577" i="7" s="1"/>
  <c r="G1578" i="7"/>
  <c r="H1578" i="7" s="1"/>
  <c r="G1579" i="7"/>
  <c r="H1579" i="7" s="1"/>
  <c r="G1580" i="7"/>
  <c r="H1580" i="7" s="1"/>
  <c r="G1581" i="7"/>
  <c r="H1581" i="7" s="1"/>
  <c r="G1582" i="7"/>
  <c r="H1582" i="7" s="1"/>
  <c r="G1583" i="7"/>
  <c r="H1583" i="7" s="1"/>
  <c r="G1584" i="7"/>
  <c r="H1584" i="7" s="1"/>
  <c r="G1585" i="7"/>
  <c r="H1585" i="7" s="1"/>
  <c r="G1586" i="7"/>
  <c r="H1586" i="7" s="1"/>
  <c r="G1587" i="7"/>
  <c r="H1587" i="7" s="1"/>
  <c r="G1588" i="7"/>
  <c r="H1588" i="7" s="1"/>
  <c r="G1589" i="7"/>
  <c r="H1589" i="7" s="1"/>
  <c r="G1590" i="7"/>
  <c r="H1590" i="7" s="1"/>
  <c r="G1591" i="7"/>
  <c r="H1591" i="7" s="1"/>
  <c r="G1592" i="7"/>
  <c r="H1592" i="7" s="1"/>
  <c r="G1593" i="7"/>
  <c r="H1593" i="7" s="1"/>
  <c r="G1594" i="7"/>
  <c r="H1594" i="7" s="1"/>
  <c r="G1595" i="7"/>
  <c r="H1595" i="7" s="1"/>
  <c r="G1596" i="7"/>
  <c r="H1596" i="7" s="1"/>
  <c r="G1597" i="7"/>
  <c r="H1597" i="7" s="1"/>
  <c r="G1598" i="7"/>
  <c r="H1598" i="7" s="1"/>
  <c r="G1599" i="7"/>
  <c r="H1599" i="7" s="1"/>
  <c r="G1600" i="7"/>
  <c r="H1600" i="7" s="1"/>
  <c r="G1601" i="7"/>
  <c r="H1601" i="7" s="1"/>
  <c r="G1602" i="7"/>
  <c r="H1602" i="7" s="1"/>
  <c r="G1603" i="7"/>
  <c r="H1603" i="7" s="1"/>
  <c r="G1604" i="7"/>
  <c r="H1604" i="7" s="1"/>
  <c r="G1605" i="7"/>
  <c r="H1605" i="7" s="1"/>
  <c r="G1606" i="7"/>
  <c r="H1606" i="7" s="1"/>
  <c r="G1607" i="7"/>
  <c r="H1607" i="7" s="1"/>
  <c r="G1608" i="7"/>
  <c r="H1608" i="7" s="1"/>
  <c r="G1609" i="7"/>
  <c r="H1609" i="7" s="1"/>
  <c r="G1610" i="7"/>
  <c r="H1610" i="7" s="1"/>
  <c r="G1611" i="7"/>
  <c r="H1611" i="7" s="1"/>
  <c r="G1612" i="7"/>
  <c r="H1612" i="7" s="1"/>
  <c r="G1613" i="7"/>
  <c r="H1613" i="7" s="1"/>
  <c r="G1614" i="7"/>
  <c r="H1614" i="7" s="1"/>
  <c r="G1615" i="7"/>
  <c r="H1615" i="7" s="1"/>
  <c r="G1616" i="7"/>
  <c r="H1616" i="7" s="1"/>
  <c r="G1617" i="7"/>
  <c r="H1617" i="7" s="1"/>
  <c r="G1618" i="7"/>
  <c r="H1618" i="7" s="1"/>
  <c r="G1619" i="7"/>
  <c r="H1619" i="7" s="1"/>
  <c r="G1620" i="7"/>
  <c r="H1620" i="7" s="1"/>
  <c r="G1621" i="7"/>
  <c r="H1621" i="7" s="1"/>
  <c r="G1622" i="7"/>
  <c r="H1622" i="7" s="1"/>
  <c r="G1623" i="7"/>
  <c r="H1623" i="7" s="1"/>
  <c r="G1624" i="7"/>
  <c r="H1624" i="7" s="1"/>
  <c r="G1625" i="7"/>
  <c r="H1625" i="7" s="1"/>
  <c r="G1626" i="7"/>
  <c r="H1626" i="7" s="1"/>
  <c r="G1627" i="7"/>
  <c r="H1627" i="7" s="1"/>
  <c r="G1628" i="7"/>
  <c r="H1628" i="7" s="1"/>
  <c r="G1629" i="7"/>
  <c r="H1629" i="7" s="1"/>
  <c r="G1630" i="7"/>
  <c r="H1630" i="7" s="1"/>
  <c r="G1631" i="7"/>
  <c r="H1631" i="7" s="1"/>
  <c r="G1632" i="7"/>
  <c r="H1632" i="7" s="1"/>
  <c r="G1633" i="7"/>
  <c r="H1633" i="7" s="1"/>
  <c r="G1634" i="7"/>
  <c r="H1634" i="7" s="1"/>
  <c r="G1635" i="7"/>
  <c r="H1635" i="7" s="1"/>
  <c r="G1636" i="7"/>
  <c r="H1636" i="7" s="1"/>
  <c r="G1637" i="7"/>
  <c r="H1637" i="7" s="1"/>
  <c r="G1638" i="7"/>
  <c r="H1638" i="7" s="1"/>
  <c r="G1639" i="7"/>
  <c r="H1639" i="7" s="1"/>
  <c r="G1640" i="7"/>
  <c r="H1640" i="7" s="1"/>
  <c r="G1641" i="7"/>
  <c r="H1641" i="7" s="1"/>
  <c r="G1642" i="7"/>
  <c r="H1642" i="7" s="1"/>
  <c r="G1643" i="7"/>
  <c r="H1643" i="7" s="1"/>
  <c r="G1644" i="7"/>
  <c r="H1644" i="7" s="1"/>
  <c r="G1645" i="7"/>
  <c r="H1645" i="7" s="1"/>
  <c r="G1646" i="7"/>
  <c r="H1646" i="7" s="1"/>
  <c r="G1647" i="7"/>
  <c r="H1647" i="7" s="1"/>
  <c r="G1648" i="7"/>
  <c r="H1648" i="7" s="1"/>
  <c r="G1649" i="7"/>
  <c r="H1649" i="7" s="1"/>
  <c r="G1650" i="7"/>
  <c r="H1650" i="7" s="1"/>
  <c r="G1651" i="7"/>
  <c r="H1651" i="7" s="1"/>
  <c r="G1652" i="7"/>
  <c r="H1652" i="7" s="1"/>
  <c r="G1653" i="7"/>
  <c r="H1653" i="7" s="1"/>
  <c r="G1654" i="7"/>
  <c r="H1654" i="7" s="1"/>
  <c r="G1655" i="7"/>
  <c r="H1655" i="7" s="1"/>
  <c r="G1656" i="7"/>
  <c r="H1656" i="7" s="1"/>
  <c r="G1657" i="7"/>
  <c r="H1657" i="7" s="1"/>
  <c r="G1658" i="7"/>
  <c r="H1658" i="7" s="1"/>
  <c r="G1659" i="7"/>
  <c r="H1659" i="7" s="1"/>
  <c r="G1660" i="7"/>
  <c r="H1660" i="7" s="1"/>
  <c r="G1661" i="7"/>
  <c r="H1661" i="7" s="1"/>
  <c r="G1662" i="7"/>
  <c r="H1662" i="7" s="1"/>
  <c r="G1663" i="7"/>
  <c r="H1663" i="7" s="1"/>
  <c r="G1664" i="7"/>
  <c r="H1664" i="7" s="1"/>
  <c r="G1665" i="7"/>
  <c r="H1665" i="7" s="1"/>
  <c r="G1666" i="7"/>
  <c r="H1666" i="7" s="1"/>
  <c r="G1667" i="7"/>
  <c r="H1667" i="7" s="1"/>
  <c r="G1668" i="7"/>
  <c r="H1668" i="7" s="1"/>
  <c r="G1669" i="7"/>
  <c r="H1669" i="7" s="1"/>
  <c r="G1670" i="7"/>
  <c r="H1670" i="7" s="1"/>
  <c r="G1671" i="7"/>
  <c r="H1671" i="7" s="1"/>
  <c r="G1672" i="7"/>
  <c r="H1672" i="7" s="1"/>
  <c r="G1673" i="7"/>
  <c r="H1673" i="7" s="1"/>
  <c r="G1674" i="7"/>
  <c r="H1674" i="7" s="1"/>
  <c r="G1675" i="7"/>
  <c r="H1675" i="7" s="1"/>
  <c r="G1676" i="7"/>
  <c r="H1676" i="7" s="1"/>
  <c r="G1677" i="7"/>
  <c r="H1677" i="7" s="1"/>
  <c r="G1678" i="7"/>
  <c r="H1678" i="7" s="1"/>
  <c r="G1679" i="7"/>
  <c r="H1679" i="7" s="1"/>
  <c r="G1680" i="7"/>
  <c r="H1680" i="7" s="1"/>
  <c r="G1681" i="7"/>
  <c r="H1681" i="7" s="1"/>
  <c r="G1682" i="7"/>
  <c r="H1682" i="7" s="1"/>
  <c r="G1683" i="7"/>
  <c r="H1683" i="7" s="1"/>
  <c r="G1684" i="7"/>
  <c r="H1684" i="7" s="1"/>
  <c r="G1685" i="7"/>
  <c r="H1685" i="7" s="1"/>
  <c r="G1686" i="7"/>
  <c r="H1686" i="7" s="1"/>
  <c r="G1687" i="7"/>
  <c r="H1687" i="7" s="1"/>
  <c r="G1688" i="7"/>
  <c r="H1688" i="7" s="1"/>
  <c r="G1689" i="7"/>
  <c r="H1689" i="7" s="1"/>
  <c r="G1690" i="7"/>
  <c r="H1690" i="7" s="1"/>
  <c r="G1691" i="7"/>
  <c r="H1691" i="7" s="1"/>
  <c r="G1692" i="7"/>
  <c r="H1692" i="7" s="1"/>
  <c r="G1693" i="7"/>
  <c r="H1693" i="7" s="1"/>
  <c r="G1694" i="7"/>
  <c r="H1694" i="7" s="1"/>
  <c r="G1695" i="7"/>
  <c r="H1695" i="7" s="1"/>
  <c r="G1696" i="7"/>
  <c r="H1696" i="7" s="1"/>
  <c r="G1697" i="7"/>
  <c r="H1697" i="7" s="1"/>
  <c r="G1698" i="7"/>
  <c r="H1698" i="7" s="1"/>
  <c r="G1699" i="7"/>
  <c r="H1699" i="7" s="1"/>
  <c r="G1700" i="7"/>
  <c r="H1700" i="7" s="1"/>
  <c r="G1701" i="7"/>
  <c r="H1701" i="7" s="1"/>
  <c r="G1702" i="7"/>
  <c r="H1702" i="7" s="1"/>
  <c r="G1703" i="7"/>
  <c r="H1703" i="7" s="1"/>
  <c r="G1704" i="7"/>
  <c r="H1704" i="7" s="1"/>
  <c r="G1705" i="7"/>
  <c r="H1705" i="7" s="1"/>
  <c r="G1706" i="7"/>
  <c r="H1706" i="7" s="1"/>
  <c r="G1707" i="7"/>
  <c r="H1707" i="7" s="1"/>
  <c r="G1708" i="7"/>
  <c r="H1708" i="7" s="1"/>
  <c r="G1709" i="7"/>
  <c r="H1709" i="7" s="1"/>
  <c r="G1710" i="7"/>
  <c r="H1710" i="7" s="1"/>
  <c r="G1711" i="7"/>
  <c r="H1711" i="7" s="1"/>
  <c r="G1712" i="7"/>
  <c r="H1712" i="7" s="1"/>
  <c r="G1713" i="7"/>
  <c r="H1713" i="7" s="1"/>
  <c r="G1714" i="7"/>
  <c r="H1714" i="7" s="1"/>
  <c r="G1715" i="7"/>
  <c r="H1715" i="7" s="1"/>
  <c r="G1716" i="7"/>
  <c r="H1716" i="7" s="1"/>
  <c r="G1717" i="7"/>
  <c r="H1717" i="7" s="1"/>
  <c r="G1718" i="7"/>
  <c r="H1718" i="7" s="1"/>
  <c r="G1719" i="7"/>
  <c r="H1719" i="7" s="1"/>
  <c r="G1720" i="7"/>
  <c r="H1720" i="7" s="1"/>
  <c r="G1721" i="7"/>
  <c r="H1721" i="7" s="1"/>
  <c r="G1722" i="7"/>
  <c r="H1722" i="7" s="1"/>
  <c r="G1723" i="7"/>
  <c r="H1723" i="7" s="1"/>
  <c r="G1724" i="7"/>
  <c r="H1724" i="7" s="1"/>
  <c r="G1725" i="7"/>
  <c r="H1725" i="7" s="1"/>
  <c r="G1726" i="7"/>
  <c r="H1726" i="7" s="1"/>
  <c r="G1727" i="7"/>
  <c r="H1727" i="7" s="1"/>
  <c r="G1728" i="7"/>
  <c r="H1728" i="7" s="1"/>
  <c r="G1729" i="7"/>
  <c r="H1729" i="7" s="1"/>
  <c r="G1730" i="7"/>
  <c r="H1730" i="7" s="1"/>
  <c r="G1731" i="7"/>
  <c r="H1731" i="7" s="1"/>
  <c r="G1732" i="7"/>
  <c r="H1732" i="7" s="1"/>
  <c r="G1733" i="7"/>
  <c r="H1733" i="7" s="1"/>
  <c r="G1734" i="7"/>
  <c r="H1734" i="7" s="1"/>
  <c r="G1735" i="7"/>
  <c r="H1735" i="7" s="1"/>
  <c r="G1736" i="7"/>
  <c r="H1736" i="7" s="1"/>
  <c r="G1737" i="7"/>
  <c r="H1737" i="7" s="1"/>
  <c r="G1738" i="7"/>
  <c r="H1738" i="7" s="1"/>
  <c r="G1739" i="7"/>
  <c r="H1739" i="7" s="1"/>
  <c r="G1740" i="7"/>
  <c r="H1740" i="7" s="1"/>
  <c r="G1741" i="7"/>
  <c r="H1741" i="7" s="1"/>
  <c r="G1742" i="7"/>
  <c r="H1742" i="7" s="1"/>
  <c r="G1743" i="7"/>
  <c r="H1743" i="7" s="1"/>
  <c r="G1744" i="7"/>
  <c r="H1744" i="7" s="1"/>
  <c r="G1745" i="7"/>
  <c r="H1745" i="7" s="1"/>
  <c r="G1746" i="7"/>
  <c r="H1746" i="7" s="1"/>
  <c r="G1747" i="7"/>
  <c r="H1747" i="7" s="1"/>
  <c r="G1748" i="7"/>
  <c r="H1748" i="7" s="1"/>
  <c r="G1749" i="7"/>
  <c r="H1749" i="7" s="1"/>
  <c r="G1750" i="7"/>
  <c r="H1750" i="7" s="1"/>
  <c r="G1751" i="7"/>
  <c r="H1751" i="7" s="1"/>
  <c r="G1752" i="7"/>
  <c r="H1752" i="7" s="1"/>
  <c r="G1753" i="7"/>
  <c r="G1754" i="7"/>
  <c r="H1754" i="7" s="1"/>
  <c r="G1755" i="7"/>
  <c r="H1755" i="7" s="1"/>
  <c r="G1756" i="7"/>
  <c r="H1756" i="7" s="1"/>
  <c r="G1757" i="7"/>
  <c r="H1757" i="7" s="1"/>
  <c r="G1758" i="7"/>
  <c r="H1758" i="7" s="1"/>
  <c r="G1759" i="7"/>
  <c r="H1759" i="7" s="1"/>
  <c r="G1760" i="7"/>
  <c r="H1760" i="7" s="1"/>
  <c r="G1761" i="7"/>
  <c r="H1761" i="7" s="1"/>
  <c r="G1762" i="7"/>
  <c r="H1762" i="7" s="1"/>
  <c r="G1763" i="7"/>
  <c r="H1763" i="7" s="1"/>
  <c r="G1764" i="7"/>
  <c r="H1764" i="7" s="1"/>
  <c r="G1765" i="7"/>
  <c r="H1765" i="7" s="1"/>
  <c r="G1766" i="7"/>
  <c r="H1766" i="7" s="1"/>
  <c r="G1767" i="7"/>
  <c r="H1767" i="7" s="1"/>
  <c r="G1768" i="7"/>
  <c r="H1768" i="7" s="1"/>
  <c r="G1769" i="7"/>
  <c r="H1769" i="7" s="1"/>
  <c r="G1770" i="7"/>
  <c r="H1770" i="7" s="1"/>
  <c r="G1771" i="7"/>
  <c r="H1771" i="7" s="1"/>
  <c r="G1772" i="7"/>
  <c r="H1772" i="7" s="1"/>
  <c r="G1773" i="7"/>
  <c r="H1773" i="7" s="1"/>
  <c r="G1774" i="7"/>
  <c r="H1774" i="7" s="1"/>
  <c r="G1775" i="7"/>
  <c r="H1775" i="7" s="1"/>
  <c r="G1776" i="7"/>
  <c r="H1776" i="7" s="1"/>
  <c r="G1777" i="7"/>
  <c r="H1777" i="7" s="1"/>
  <c r="G1778" i="7"/>
  <c r="H1778" i="7" s="1"/>
  <c r="G1779" i="7"/>
  <c r="H1779" i="7" s="1"/>
  <c r="G1780" i="7"/>
  <c r="H1780" i="7" s="1"/>
  <c r="G1781" i="7"/>
  <c r="H1781" i="7" s="1"/>
  <c r="G1782" i="7"/>
  <c r="H1782" i="7" s="1"/>
  <c r="G1783" i="7"/>
  <c r="H1783" i="7" s="1"/>
  <c r="G1784" i="7"/>
  <c r="H1784" i="7" s="1"/>
  <c r="G1785" i="7"/>
  <c r="H1785" i="7" s="1"/>
  <c r="G1786" i="7"/>
  <c r="H1786" i="7" s="1"/>
  <c r="G1787" i="7"/>
  <c r="H1787" i="7" s="1"/>
  <c r="G1788" i="7"/>
  <c r="H1788" i="7" s="1"/>
  <c r="G1789" i="7"/>
  <c r="H1789" i="7" s="1"/>
  <c r="G1790" i="7"/>
  <c r="H1790" i="7" s="1"/>
  <c r="G1791" i="7"/>
  <c r="H1791" i="7" s="1"/>
  <c r="G1792" i="7"/>
  <c r="H1792" i="7" s="1"/>
  <c r="G1793" i="7"/>
  <c r="H1793" i="7" s="1"/>
  <c r="G1794" i="7"/>
  <c r="H1794" i="7" s="1"/>
  <c r="G1795" i="7"/>
  <c r="H1795" i="7" s="1"/>
  <c r="G1796" i="7"/>
  <c r="H1796" i="7" s="1"/>
  <c r="G1797" i="7"/>
  <c r="H1797" i="7" s="1"/>
  <c r="G1798" i="7"/>
  <c r="H1798" i="7" s="1"/>
  <c r="G1799" i="7"/>
  <c r="H1799" i="7" s="1"/>
  <c r="G1800" i="7"/>
  <c r="H1800" i="7" s="1"/>
  <c r="G1801" i="7"/>
  <c r="H1801" i="7" s="1"/>
  <c r="G1802" i="7"/>
  <c r="H1802" i="7" s="1"/>
  <c r="G1803" i="7"/>
  <c r="H1803" i="7" s="1"/>
  <c r="G1804" i="7"/>
  <c r="H1804" i="7" s="1"/>
  <c r="G1805" i="7"/>
  <c r="H1805" i="7" s="1"/>
  <c r="G1806" i="7"/>
  <c r="H1806" i="7" s="1"/>
  <c r="G1807" i="7"/>
  <c r="H1807" i="7" s="1"/>
  <c r="G1808" i="7"/>
  <c r="H1808" i="7" s="1"/>
  <c r="G1809" i="7"/>
  <c r="H1809" i="7" s="1"/>
  <c r="G1810" i="7"/>
  <c r="H1810" i="7" s="1"/>
  <c r="G1811" i="7"/>
  <c r="H1811" i="7" s="1"/>
  <c r="G1812" i="7"/>
  <c r="H1812" i="7" s="1"/>
  <c r="G1813" i="7"/>
  <c r="H1813" i="7" s="1"/>
  <c r="G1814" i="7"/>
  <c r="G1815" i="7"/>
  <c r="H1815" i="7" s="1"/>
  <c r="G1816" i="7"/>
  <c r="H1816" i="7" s="1"/>
  <c r="G1817" i="7"/>
  <c r="H1817" i="7" s="1"/>
  <c r="G1818" i="7"/>
  <c r="H1818" i="7" s="1"/>
  <c r="G1819" i="7"/>
  <c r="H1819" i="7" s="1"/>
  <c r="G1820" i="7"/>
  <c r="H1820" i="7" s="1"/>
  <c r="G1821" i="7"/>
  <c r="H1821" i="7" s="1"/>
  <c r="G1822" i="7"/>
  <c r="H1822" i="7" s="1"/>
  <c r="G1823" i="7"/>
  <c r="H1823" i="7" s="1"/>
  <c r="G1824" i="7"/>
  <c r="H1824" i="7" s="1"/>
  <c r="G1825" i="7"/>
  <c r="H1825" i="7" s="1"/>
  <c r="G1826" i="7"/>
  <c r="H1826" i="7" s="1"/>
  <c r="G1827" i="7"/>
  <c r="H1827" i="7" s="1"/>
  <c r="G1828" i="7"/>
  <c r="H1828" i="7" s="1"/>
  <c r="G1829" i="7"/>
  <c r="H1829" i="7" s="1"/>
  <c r="G1830" i="7"/>
  <c r="H1830" i="7" s="1"/>
  <c r="G1831" i="7"/>
  <c r="H1831" i="7" s="1"/>
  <c r="G1832" i="7"/>
  <c r="H1832" i="7" s="1"/>
  <c r="G1833" i="7"/>
  <c r="H1833" i="7" s="1"/>
  <c r="G1834" i="7"/>
  <c r="H1834" i="7" s="1"/>
  <c r="G1835" i="7"/>
  <c r="H1835" i="7" s="1"/>
  <c r="G1836" i="7"/>
  <c r="H1836" i="7" s="1"/>
  <c r="G1837" i="7"/>
  <c r="H1837" i="7" s="1"/>
  <c r="G1838" i="7"/>
  <c r="H1838" i="7" s="1"/>
  <c r="G1839" i="7"/>
  <c r="H1839" i="7" s="1"/>
  <c r="G1840" i="7"/>
  <c r="H1840" i="7" s="1"/>
  <c r="G1841" i="7"/>
  <c r="H1841" i="7" s="1"/>
  <c r="G1842" i="7"/>
  <c r="H1842" i="7" s="1"/>
  <c r="G1843" i="7"/>
  <c r="H1843" i="7" s="1"/>
  <c r="G1844" i="7"/>
  <c r="H1844" i="7" s="1"/>
  <c r="G1845" i="7"/>
  <c r="H1845" i="7" s="1"/>
  <c r="G1846" i="7"/>
  <c r="H1846" i="7" s="1"/>
  <c r="G1847" i="7"/>
  <c r="H1847" i="7" s="1"/>
  <c r="G1848" i="7"/>
  <c r="H1848" i="7" s="1"/>
  <c r="G1849" i="7"/>
  <c r="H1849" i="7" s="1"/>
  <c r="G1850" i="7"/>
  <c r="H1850" i="7" s="1"/>
  <c r="G1851" i="7"/>
  <c r="H1851" i="7" s="1"/>
  <c r="G1852" i="7"/>
  <c r="H1852" i="7" s="1"/>
  <c r="G1853" i="7"/>
  <c r="H1853" i="7" s="1"/>
  <c r="G1854" i="7"/>
  <c r="H1854" i="7" s="1"/>
  <c r="G1855" i="7"/>
  <c r="H1855" i="7" s="1"/>
  <c r="G1856" i="7"/>
  <c r="H1856" i="7" s="1"/>
  <c r="G1857" i="7"/>
  <c r="H1857" i="7" s="1"/>
  <c r="G1858" i="7"/>
  <c r="H1858" i="7" s="1"/>
  <c r="G1859" i="7"/>
  <c r="H1859" i="7" s="1"/>
  <c r="G1860" i="7"/>
  <c r="H1860" i="7" s="1"/>
  <c r="G1861" i="7"/>
  <c r="H1861" i="7" s="1"/>
  <c r="G1862" i="7"/>
  <c r="H1862" i="7" s="1"/>
  <c r="G1863" i="7"/>
  <c r="H1863" i="7" s="1"/>
  <c r="G1864" i="7"/>
  <c r="H1864" i="7" s="1"/>
  <c r="G1865" i="7"/>
  <c r="H1865" i="7" s="1"/>
  <c r="G1866" i="7"/>
  <c r="H1866" i="7" s="1"/>
  <c r="G1867" i="7"/>
  <c r="H1867" i="7" s="1"/>
  <c r="G1868" i="7"/>
  <c r="H1868" i="7" s="1"/>
  <c r="G1869" i="7"/>
  <c r="H1869" i="7" s="1"/>
  <c r="G1870" i="7"/>
  <c r="H1870" i="7" s="1"/>
  <c r="G1871" i="7"/>
  <c r="H1871" i="7" s="1"/>
  <c r="G1872" i="7"/>
  <c r="H1872" i="7" s="1"/>
  <c r="G1873" i="7"/>
  <c r="H1873" i="7" s="1"/>
  <c r="G1874" i="7"/>
  <c r="G1875" i="7"/>
  <c r="H1875" i="7" s="1"/>
  <c r="G1876" i="7"/>
  <c r="H1876" i="7" s="1"/>
  <c r="G1877" i="7"/>
  <c r="H1877" i="7" s="1"/>
  <c r="G1878" i="7"/>
  <c r="H1878" i="7" s="1"/>
  <c r="G1879" i="7"/>
  <c r="H1879" i="7" s="1"/>
  <c r="G1880" i="7"/>
  <c r="H1880" i="7" s="1"/>
  <c r="G1881" i="7"/>
  <c r="H1881" i="7" s="1"/>
  <c r="G1882" i="7"/>
  <c r="H1882" i="7" s="1"/>
  <c r="G1883" i="7"/>
  <c r="H1883" i="7" s="1"/>
  <c r="G1884" i="7"/>
  <c r="H1884" i="7" s="1"/>
  <c r="G1885" i="7"/>
  <c r="H1885" i="7" s="1"/>
  <c r="G1886" i="7"/>
  <c r="H1886" i="7" s="1"/>
  <c r="G1887" i="7"/>
  <c r="H1887" i="7" s="1"/>
  <c r="G1888" i="7"/>
  <c r="H1888" i="7" s="1"/>
  <c r="G1889" i="7"/>
  <c r="H1889" i="7" s="1"/>
  <c r="G1890" i="7"/>
  <c r="H1890" i="7" s="1"/>
  <c r="G1891" i="7"/>
  <c r="H1891" i="7" s="1"/>
  <c r="G1892" i="7"/>
  <c r="H1892" i="7" s="1"/>
  <c r="G1893" i="7"/>
  <c r="H1893" i="7" s="1"/>
  <c r="G1894" i="7"/>
  <c r="H1894" i="7" s="1"/>
  <c r="G1895" i="7"/>
  <c r="H1895" i="7" s="1"/>
  <c r="G1896" i="7"/>
  <c r="H1896" i="7" s="1"/>
  <c r="G1897" i="7"/>
  <c r="H1897" i="7" s="1"/>
  <c r="G1898" i="7"/>
  <c r="H1898" i="7" s="1"/>
  <c r="G1899" i="7"/>
  <c r="H1899" i="7" s="1"/>
  <c r="G1900" i="7"/>
  <c r="H1900" i="7" s="1"/>
  <c r="G1901" i="7"/>
  <c r="H1901" i="7" s="1"/>
  <c r="G1902" i="7"/>
  <c r="H1902" i="7" s="1"/>
  <c r="G1903" i="7"/>
  <c r="H1903" i="7" s="1"/>
  <c r="G1904" i="7"/>
  <c r="H1904" i="7" s="1"/>
  <c r="G1905" i="7"/>
  <c r="H1905" i="7" s="1"/>
  <c r="G1906" i="7"/>
  <c r="H1906" i="7" s="1"/>
  <c r="G1907" i="7"/>
  <c r="H1907" i="7" s="1"/>
  <c r="G1908" i="7"/>
  <c r="H1908" i="7" s="1"/>
  <c r="G1909" i="7"/>
  <c r="H1909" i="7" s="1"/>
  <c r="G1910" i="7"/>
  <c r="H1910" i="7" s="1"/>
  <c r="G1911" i="7"/>
  <c r="H1911" i="7" s="1"/>
  <c r="G1912" i="7"/>
  <c r="H1912" i="7" s="1"/>
  <c r="G1913" i="7"/>
  <c r="H1913" i="7" s="1"/>
  <c r="G1914" i="7"/>
  <c r="H1914" i="7" s="1"/>
  <c r="G1915" i="7"/>
  <c r="H1915" i="7" s="1"/>
  <c r="G1916" i="7"/>
  <c r="H1916" i="7" s="1"/>
  <c r="G1917" i="7"/>
  <c r="H1917" i="7" s="1"/>
  <c r="G1918" i="7"/>
  <c r="H1918" i="7" s="1"/>
  <c r="G1919" i="7"/>
  <c r="H1919" i="7" s="1"/>
  <c r="G1920" i="7"/>
  <c r="H1920" i="7" s="1"/>
  <c r="G1921" i="7"/>
  <c r="H1921" i="7" s="1"/>
  <c r="G1922" i="7"/>
  <c r="H1922" i="7" s="1"/>
  <c r="G1923" i="7"/>
  <c r="H1923" i="7" s="1"/>
  <c r="G1924" i="7"/>
  <c r="H1924" i="7" s="1"/>
  <c r="G1925" i="7"/>
  <c r="H1925" i="7" s="1"/>
  <c r="G1926" i="7"/>
  <c r="H1926" i="7" s="1"/>
  <c r="G1927" i="7"/>
  <c r="H1927" i="7" s="1"/>
  <c r="G1928" i="7"/>
  <c r="H1928" i="7" s="1"/>
  <c r="G1929" i="7"/>
  <c r="H1929" i="7" s="1"/>
  <c r="G1930" i="7"/>
  <c r="H1930" i="7" s="1"/>
  <c r="G1931" i="7"/>
  <c r="H1931" i="7" s="1"/>
  <c r="G1932" i="7"/>
  <c r="H1932" i="7" s="1"/>
  <c r="G1933" i="7"/>
  <c r="H1933" i="7" s="1"/>
  <c r="G1934" i="7"/>
  <c r="H1934" i="7" s="1"/>
  <c r="G1935" i="7"/>
  <c r="H1935" i="7" s="1"/>
  <c r="G1936" i="7"/>
  <c r="H1936" i="7" s="1"/>
  <c r="G1937" i="7"/>
  <c r="H1937" i="7" s="1"/>
  <c r="G1938" i="7"/>
  <c r="H1938" i="7" s="1"/>
  <c r="G1939" i="7"/>
  <c r="H1939" i="7" s="1"/>
  <c r="G1940" i="7"/>
  <c r="H1940" i="7" s="1"/>
  <c r="G1941" i="7"/>
  <c r="H1941" i="7" s="1"/>
  <c r="G1942" i="7"/>
  <c r="H1942" i="7" s="1"/>
  <c r="G1943" i="7"/>
  <c r="H1943" i="7" s="1"/>
  <c r="G1944" i="7"/>
  <c r="H1944" i="7" s="1"/>
  <c r="G1945" i="7"/>
  <c r="H1945" i="7" s="1"/>
  <c r="G1946" i="7"/>
  <c r="H1946" i="7" s="1"/>
  <c r="G1947" i="7"/>
  <c r="H1947" i="7" s="1"/>
  <c r="G1948" i="7"/>
  <c r="H1948" i="7" s="1"/>
  <c r="G1949" i="7"/>
  <c r="H1949" i="7" s="1"/>
  <c r="G1950" i="7"/>
  <c r="H1950" i="7" s="1"/>
  <c r="G1951" i="7"/>
  <c r="H1951" i="7" s="1"/>
  <c r="G1952" i="7"/>
  <c r="H1952" i="7" s="1"/>
  <c r="G1953" i="7"/>
  <c r="H1953" i="7" s="1"/>
  <c r="G1954" i="7"/>
  <c r="H1954" i="7" s="1"/>
  <c r="G1955" i="7"/>
  <c r="H1955" i="7" s="1"/>
  <c r="G1956" i="7"/>
  <c r="H1956" i="7" s="1"/>
  <c r="G1957" i="7"/>
  <c r="H1957" i="7" s="1"/>
  <c r="G1958" i="7"/>
  <c r="H1958" i="7" s="1"/>
  <c r="G1959" i="7"/>
  <c r="H1959" i="7" s="1"/>
  <c r="G1960" i="7"/>
  <c r="H1960" i="7" s="1"/>
  <c r="G1961" i="7"/>
  <c r="H1961" i="7" s="1"/>
  <c r="G1962" i="7"/>
  <c r="H1962" i="7" s="1"/>
  <c r="G1963" i="7"/>
  <c r="H1963" i="7" s="1"/>
  <c r="G1964" i="7"/>
  <c r="H1964" i="7" s="1"/>
  <c r="G1965" i="7"/>
  <c r="H1965" i="7" s="1"/>
  <c r="G1966" i="7"/>
  <c r="H1966" i="7" s="1"/>
  <c r="G1967" i="7"/>
  <c r="H1967" i="7" s="1"/>
  <c r="G1968" i="7"/>
  <c r="H1968" i="7" s="1"/>
  <c r="G1969" i="7"/>
  <c r="H1969" i="7" s="1"/>
  <c r="G1970" i="7"/>
  <c r="H1970" i="7" s="1"/>
  <c r="G1971" i="7"/>
  <c r="H1971" i="7" s="1"/>
  <c r="G1972" i="7"/>
  <c r="H1972" i="7" s="1"/>
  <c r="G1973" i="7"/>
  <c r="H1973" i="7" s="1"/>
  <c r="G1974" i="7"/>
  <c r="H1974" i="7" s="1"/>
  <c r="G1975" i="7"/>
  <c r="H1975" i="7" s="1"/>
  <c r="G1976" i="7"/>
  <c r="H1976" i="7" s="1"/>
  <c r="G1977" i="7"/>
  <c r="H1977" i="7" s="1"/>
  <c r="G1978" i="7"/>
  <c r="H1978" i="7" s="1"/>
  <c r="G1979" i="7"/>
  <c r="H1979" i="7" s="1"/>
  <c r="G1980" i="7"/>
  <c r="H1980" i="7" s="1"/>
  <c r="G1981" i="7"/>
  <c r="H1981" i="7" s="1"/>
  <c r="G1982" i="7"/>
  <c r="H1982" i="7" s="1"/>
  <c r="G1983" i="7"/>
  <c r="H1983" i="7" s="1"/>
  <c r="G1984" i="7"/>
  <c r="H1984" i="7" s="1"/>
  <c r="G1985" i="7"/>
  <c r="H1985" i="7" s="1"/>
  <c r="G1986" i="7"/>
  <c r="H1986" i="7" s="1"/>
  <c r="G1987" i="7"/>
  <c r="H1987" i="7" s="1"/>
  <c r="G1988" i="7"/>
  <c r="H1988" i="7" s="1"/>
  <c r="I297" i="7" l="1"/>
  <c r="K297" i="7" s="1"/>
  <c r="L297" i="7" s="1"/>
  <c r="I11" i="7"/>
  <c r="K11" i="7" s="1"/>
  <c r="L11" i="7" s="1"/>
  <c r="M11" i="7" s="1"/>
  <c r="I681" i="7"/>
  <c r="K681" i="7" s="1"/>
  <c r="L681" i="7" s="1"/>
  <c r="I1846" i="7"/>
  <c r="K1846" i="7" s="1"/>
  <c r="L1846" i="7" s="1"/>
  <c r="I1667" i="7"/>
  <c r="K1667" i="7" s="1"/>
  <c r="L1667" i="7" s="1"/>
  <c r="I556" i="7"/>
  <c r="K556" i="7" s="1"/>
  <c r="L556" i="7" s="1"/>
  <c r="I1555" i="7"/>
  <c r="K1555" i="7" s="1"/>
  <c r="L1555" i="7" s="1"/>
  <c r="I1148" i="7"/>
  <c r="K1148" i="7" s="1"/>
  <c r="L1148" i="7" s="1"/>
  <c r="I399" i="7"/>
  <c r="K399" i="7" s="1"/>
  <c r="L399" i="7" s="1"/>
  <c r="I1406" i="7"/>
  <c r="K1406" i="7" s="1"/>
  <c r="L1406" i="7" s="1"/>
  <c r="I1086" i="7"/>
  <c r="K1086" i="7" s="1"/>
  <c r="L1086" i="7" s="1"/>
  <c r="M1086" i="7" s="1"/>
  <c r="I126" i="7"/>
  <c r="K126" i="7" s="1"/>
  <c r="L126" i="7" s="1"/>
  <c r="I1636" i="7"/>
  <c r="K1636" i="7" s="1"/>
  <c r="L1636" i="7" s="1"/>
  <c r="I1603" i="7"/>
  <c r="K1603" i="7" s="1"/>
  <c r="L1603" i="7" s="1"/>
  <c r="I1303" i="7"/>
  <c r="K1303" i="7" s="1"/>
  <c r="L1303" i="7" s="1"/>
  <c r="M1303" i="7" s="1"/>
  <c r="I1843" i="7"/>
  <c r="K1843" i="7" s="1"/>
  <c r="L1843" i="7" s="1"/>
  <c r="I584" i="7"/>
  <c r="K584" i="7" s="1"/>
  <c r="L584" i="7" s="1"/>
  <c r="M584" i="7" s="1"/>
  <c r="I265" i="7"/>
  <c r="K265" i="7" s="1"/>
  <c r="L265" i="7" s="1"/>
  <c r="I299" i="7"/>
  <c r="K299" i="7" s="1"/>
  <c r="L299" i="7" s="1"/>
  <c r="I1602" i="7"/>
  <c r="K1602" i="7" s="1"/>
  <c r="L1602" i="7" s="1"/>
  <c r="M1602" i="7" s="1"/>
  <c r="I1924" i="7"/>
  <c r="K1924" i="7" s="1"/>
  <c r="L1924" i="7" s="1"/>
  <c r="I1304" i="7"/>
  <c r="K1304" i="7" s="1"/>
  <c r="L1304" i="7" s="1"/>
  <c r="I1841" i="7"/>
  <c r="K1841" i="7" s="1"/>
  <c r="L1841" i="7" s="1"/>
  <c r="I1781" i="7"/>
  <c r="K1781" i="7" s="1"/>
  <c r="L1781" i="7" s="1"/>
  <c r="I906" i="7"/>
  <c r="K906" i="7" s="1"/>
  <c r="L906" i="7" s="1"/>
  <c r="I1288" i="7"/>
  <c r="K1288" i="7" s="1"/>
  <c r="L1288" i="7" s="1"/>
  <c r="I622" i="7"/>
  <c r="K622" i="7" s="1"/>
  <c r="L622" i="7" s="1"/>
  <c r="I644" i="7"/>
  <c r="K644" i="7" s="1"/>
  <c r="L644" i="7" s="1"/>
  <c r="I334" i="7"/>
  <c r="K334" i="7" s="1"/>
  <c r="L334" i="7" s="1"/>
  <c r="I1813" i="7"/>
  <c r="K1813" i="7" s="1"/>
  <c r="L1813" i="7" s="1"/>
  <c r="M1813" i="7" s="1"/>
  <c r="I1605" i="7"/>
  <c r="K1605" i="7" s="1"/>
  <c r="L1605" i="7" s="1"/>
  <c r="I605" i="7"/>
  <c r="K605" i="7" s="1"/>
  <c r="L605" i="7" s="1"/>
  <c r="I1328" i="7"/>
  <c r="K1328" i="7" s="1"/>
  <c r="L1328" i="7" s="1"/>
  <c r="I242" i="7"/>
  <c r="K242" i="7" s="1"/>
  <c r="L242" i="7" s="1"/>
  <c r="M242" i="7" s="1"/>
  <c r="N242" i="7" s="1"/>
  <c r="I444" i="7"/>
  <c r="K444" i="7" s="1"/>
  <c r="L444" i="7" s="1"/>
  <c r="M444" i="7" s="1"/>
  <c r="I819" i="7"/>
  <c r="K819" i="7" s="1"/>
  <c r="L819" i="7" s="1"/>
  <c r="M819" i="7" s="1"/>
  <c r="I1522" i="7"/>
  <c r="K1522" i="7" s="1"/>
  <c r="L1522" i="7" s="1"/>
  <c r="M1522" i="7" s="1"/>
  <c r="I1524" i="7"/>
  <c r="K1524" i="7" s="1"/>
  <c r="L1524" i="7" s="1"/>
  <c r="I1604" i="7"/>
  <c r="K1604" i="7" s="1"/>
  <c r="L1604" i="7" s="1"/>
  <c r="I821" i="7"/>
  <c r="K821" i="7" s="1"/>
  <c r="L821" i="7" s="1"/>
  <c r="I1005" i="7"/>
  <c r="K1005" i="7" s="1"/>
  <c r="L1005" i="7" s="1"/>
  <c r="I1824" i="7"/>
  <c r="K1824" i="7" s="1"/>
  <c r="L1824" i="7" s="1"/>
  <c r="I1521" i="7"/>
  <c r="K1521" i="7" s="1"/>
  <c r="L1521" i="7" s="1"/>
  <c r="I1701" i="7"/>
  <c r="K1701" i="7" s="1"/>
  <c r="L1701" i="7" s="1"/>
  <c r="I1601" i="7"/>
  <c r="K1601" i="7" s="1"/>
  <c r="L1601" i="7" s="1"/>
  <c r="I1938" i="7"/>
  <c r="K1938" i="7" s="1"/>
  <c r="L1938" i="7" s="1"/>
  <c r="I1940" i="7"/>
  <c r="K1940" i="7" s="1"/>
  <c r="L1940" i="7" s="1"/>
  <c r="I1699" i="7"/>
  <c r="K1699" i="7" s="1"/>
  <c r="L1699" i="7" s="1"/>
  <c r="I1936" i="7"/>
  <c r="K1936" i="7" s="1"/>
  <c r="L1936" i="7" s="1"/>
  <c r="I1698" i="7"/>
  <c r="K1698" i="7" s="1"/>
  <c r="L1698" i="7" s="1"/>
  <c r="I1121" i="7"/>
  <c r="K1121" i="7" s="1"/>
  <c r="L1121" i="7" s="1"/>
  <c r="I503" i="7"/>
  <c r="K503" i="7" s="1"/>
  <c r="L503" i="7" s="1"/>
  <c r="I395" i="7"/>
  <c r="K395" i="7" s="1"/>
  <c r="L395" i="7" s="1"/>
  <c r="M395" i="7" s="1"/>
  <c r="I1302" i="7"/>
  <c r="K1302" i="7" s="1"/>
  <c r="L1302" i="7" s="1"/>
  <c r="I901" i="7"/>
  <c r="K901" i="7" s="1"/>
  <c r="L901" i="7" s="1"/>
  <c r="M901" i="7" s="1"/>
  <c r="I1840" i="7"/>
  <c r="K1840" i="7" s="1"/>
  <c r="L1840" i="7" s="1"/>
  <c r="M1840" i="7" s="1"/>
  <c r="I1640" i="7"/>
  <c r="K1640" i="7" s="1"/>
  <c r="L1640" i="7" s="1"/>
  <c r="M1640" i="7" s="1"/>
  <c r="I1540" i="7"/>
  <c r="K1540" i="7" s="1"/>
  <c r="L1540" i="7" s="1"/>
  <c r="I1240" i="7"/>
  <c r="K1240" i="7" s="1"/>
  <c r="L1240" i="7" s="1"/>
  <c r="I823" i="7"/>
  <c r="K823" i="7" s="1"/>
  <c r="L823" i="7" s="1"/>
  <c r="M823" i="7" s="1"/>
  <c r="N823" i="7" s="1"/>
  <c r="I822" i="7"/>
  <c r="K822" i="7" s="1"/>
  <c r="L822" i="7" s="1"/>
  <c r="I1798" i="7"/>
  <c r="K1798" i="7" s="1"/>
  <c r="L1798" i="7" s="1"/>
  <c r="I1598" i="7"/>
  <c r="K1598" i="7" s="1"/>
  <c r="L1598" i="7" s="1"/>
  <c r="I1518" i="7"/>
  <c r="K1518" i="7" s="1"/>
  <c r="L1518" i="7" s="1"/>
  <c r="I637" i="7"/>
  <c r="K637" i="7" s="1"/>
  <c r="L637" i="7" s="1"/>
  <c r="I1789" i="7"/>
  <c r="K1789" i="7" s="1"/>
  <c r="L1789" i="7" s="1"/>
  <c r="I1535" i="7"/>
  <c r="K1535" i="7" s="1"/>
  <c r="L1535" i="7" s="1"/>
  <c r="I1416" i="7"/>
  <c r="K1416" i="7" s="1"/>
  <c r="L1416" i="7" s="1"/>
  <c r="I1196" i="7"/>
  <c r="K1196" i="7" s="1"/>
  <c r="L1196" i="7" s="1"/>
  <c r="I1172" i="7"/>
  <c r="K1172" i="7" s="1"/>
  <c r="L1172" i="7" s="1"/>
  <c r="I1092" i="7"/>
  <c r="K1092" i="7" s="1"/>
  <c r="L1092" i="7" s="1"/>
  <c r="M1092" i="7" s="1"/>
  <c r="I956" i="7"/>
  <c r="K956" i="7" s="1"/>
  <c r="L956" i="7" s="1"/>
  <c r="M956" i="7" s="1"/>
  <c r="I696" i="7"/>
  <c r="K696" i="7" s="1"/>
  <c r="L696" i="7" s="1"/>
  <c r="I672" i="7"/>
  <c r="K672" i="7" s="1"/>
  <c r="L672" i="7" s="1"/>
  <c r="M672" i="7" s="1"/>
  <c r="I296" i="7"/>
  <c r="K296" i="7" s="1"/>
  <c r="L296" i="7" s="1"/>
  <c r="M296" i="7" s="1"/>
  <c r="I1842" i="7"/>
  <c r="K1842" i="7" s="1"/>
  <c r="L1842" i="7" s="1"/>
  <c r="M1842" i="7" s="1"/>
  <c r="N1842" i="7" s="1"/>
  <c r="I1075" i="7"/>
  <c r="K1075" i="7" s="1"/>
  <c r="L1075" i="7" s="1"/>
  <c r="M1075" i="7" s="1"/>
  <c r="I106" i="7"/>
  <c r="K106" i="7" s="1"/>
  <c r="L106" i="7" s="1"/>
  <c r="I231" i="7"/>
  <c r="K231" i="7" s="1"/>
  <c r="L231" i="7" s="1"/>
  <c r="I1325" i="7"/>
  <c r="K1325" i="7" s="1"/>
  <c r="L1325" i="7" s="1"/>
  <c r="I1984" i="7"/>
  <c r="K1984" i="7" s="1"/>
  <c r="L1984" i="7" s="1"/>
  <c r="I1417" i="7"/>
  <c r="K1417" i="7" s="1"/>
  <c r="L1417" i="7" s="1"/>
  <c r="I1743" i="7"/>
  <c r="K1743" i="7" s="1"/>
  <c r="L1743" i="7" s="1"/>
  <c r="I443" i="7"/>
  <c r="K443" i="7" s="1"/>
  <c r="L443" i="7" s="1"/>
  <c r="I586" i="7"/>
  <c r="K586" i="7" s="1"/>
  <c r="L586" i="7" s="1"/>
  <c r="I1782" i="7"/>
  <c r="K1782" i="7" s="1"/>
  <c r="L1782" i="7" s="1"/>
  <c r="M1782" i="7" s="1"/>
  <c r="I1861" i="7"/>
  <c r="K1861" i="7" s="1"/>
  <c r="L1861" i="7" s="1"/>
  <c r="I1041" i="7"/>
  <c r="K1041" i="7" s="1"/>
  <c r="L1041" i="7" s="1"/>
  <c r="I241" i="7"/>
  <c r="K241" i="7" s="1"/>
  <c r="L241" i="7" s="1"/>
  <c r="I160" i="7"/>
  <c r="K160" i="7" s="1"/>
  <c r="L160" i="7" s="1"/>
  <c r="I1960" i="7"/>
  <c r="K1960" i="7" s="1"/>
  <c r="L1960" i="7" s="1"/>
  <c r="I1860" i="7"/>
  <c r="K1860" i="7" s="1"/>
  <c r="L1860" i="7" s="1"/>
  <c r="M1860" i="7" s="1"/>
  <c r="I1680" i="7"/>
  <c r="K1680" i="7" s="1"/>
  <c r="L1680" i="7" s="1"/>
  <c r="I1500" i="7"/>
  <c r="K1500" i="7" s="1"/>
  <c r="L1500" i="7" s="1"/>
  <c r="M1500" i="7" s="1"/>
  <c r="I1400" i="7"/>
  <c r="K1400" i="7" s="1"/>
  <c r="L1400" i="7" s="1"/>
  <c r="I1299" i="7"/>
  <c r="K1299" i="7" s="1"/>
  <c r="L1299" i="7" s="1"/>
  <c r="M1299" i="7" s="1"/>
  <c r="I1300" i="7"/>
  <c r="K1300" i="7" s="1"/>
  <c r="L1300" i="7" s="1"/>
  <c r="M1300" i="7" s="1"/>
  <c r="N1300" i="7" s="1"/>
  <c r="I23" i="7"/>
  <c r="K23" i="7" s="1"/>
  <c r="L23" i="7" s="1"/>
  <c r="I1978" i="7"/>
  <c r="K1978" i="7" s="1"/>
  <c r="L1978" i="7" s="1"/>
  <c r="M1978" i="7" s="1"/>
  <c r="I1878" i="7"/>
  <c r="K1878" i="7" s="1"/>
  <c r="L1878" i="7" s="1"/>
  <c r="I1778" i="7"/>
  <c r="K1778" i="7" s="1"/>
  <c r="L1778" i="7" s="1"/>
  <c r="I1678" i="7"/>
  <c r="K1678" i="7" s="1"/>
  <c r="L1678" i="7" s="1"/>
  <c r="I1578" i="7"/>
  <c r="K1578" i="7" s="1"/>
  <c r="L1578" i="7" s="1"/>
  <c r="I1458" i="7"/>
  <c r="K1458" i="7" s="1"/>
  <c r="L1458" i="7" s="1"/>
  <c r="I1897" i="7"/>
  <c r="K1897" i="7" s="1"/>
  <c r="L1897" i="7" s="1"/>
  <c r="I1874" i="7"/>
  <c r="K1874" i="7" s="1"/>
  <c r="L1874" i="7" s="1"/>
  <c r="I1582" i="7"/>
  <c r="K1582" i="7" s="1"/>
  <c r="L1582" i="7" s="1"/>
  <c r="I1147" i="7"/>
  <c r="K1147" i="7" s="1"/>
  <c r="L1147" i="7" s="1"/>
  <c r="I1976" i="7"/>
  <c r="K1976" i="7" s="1"/>
  <c r="L1976" i="7" s="1"/>
  <c r="M1976" i="7" s="1"/>
  <c r="N1976" i="7" s="1"/>
  <c r="I1419" i="7"/>
  <c r="K1419" i="7" s="1"/>
  <c r="L1419" i="7" s="1"/>
  <c r="M1419" i="7" s="1"/>
  <c r="I1006" i="7"/>
  <c r="K1006" i="7" s="1"/>
  <c r="L1006" i="7" s="1"/>
  <c r="M1006" i="7" s="1"/>
  <c r="I270" i="7"/>
  <c r="K270" i="7" s="1"/>
  <c r="L270" i="7" s="1"/>
  <c r="I1903" i="7"/>
  <c r="K1903" i="7" s="1"/>
  <c r="L1903" i="7" s="1"/>
  <c r="I1704" i="7"/>
  <c r="K1704" i="7" s="1"/>
  <c r="L1704" i="7" s="1"/>
  <c r="I1703" i="7"/>
  <c r="K1703" i="7" s="1"/>
  <c r="L1703" i="7" s="1"/>
  <c r="I482" i="7"/>
  <c r="K482" i="7" s="1"/>
  <c r="L482" i="7" s="1"/>
  <c r="M482" i="7" s="1"/>
  <c r="I1702" i="7"/>
  <c r="K1702" i="7" s="1"/>
  <c r="L1702" i="7" s="1"/>
  <c r="M1702" i="7" s="1"/>
  <c r="I1880" i="7"/>
  <c r="K1880" i="7" s="1"/>
  <c r="L1880" i="7" s="1"/>
  <c r="I1760" i="7"/>
  <c r="K1760" i="7" s="1"/>
  <c r="L1760" i="7" s="1"/>
  <c r="I1560" i="7"/>
  <c r="K1560" i="7" s="1"/>
  <c r="L1560" i="7" s="1"/>
  <c r="M1560" i="7" s="1"/>
  <c r="I1958" i="7"/>
  <c r="K1958" i="7" s="1"/>
  <c r="L1958" i="7" s="1"/>
  <c r="I1838" i="7"/>
  <c r="K1838" i="7" s="1"/>
  <c r="L1838" i="7" s="1"/>
  <c r="I1638" i="7"/>
  <c r="K1638" i="7" s="1"/>
  <c r="L1638" i="7" s="1"/>
  <c r="I1538" i="7"/>
  <c r="K1538" i="7" s="1"/>
  <c r="L1538" i="7" s="1"/>
  <c r="I1457" i="7"/>
  <c r="K1457" i="7" s="1"/>
  <c r="L1457" i="7" s="1"/>
  <c r="I151" i="7"/>
  <c r="K151" i="7" s="1"/>
  <c r="L151" i="7" s="1"/>
  <c r="I1514" i="7"/>
  <c r="K1514" i="7" s="1"/>
  <c r="L1514" i="7" s="1"/>
  <c r="I954" i="7"/>
  <c r="K954" i="7" s="1"/>
  <c r="L954" i="7" s="1"/>
  <c r="I952" i="7"/>
  <c r="K952" i="7" s="1"/>
  <c r="L952" i="7" s="1"/>
  <c r="M952" i="7" s="1"/>
  <c r="I341" i="7"/>
  <c r="K341" i="7" s="1"/>
  <c r="L341" i="7" s="1"/>
  <c r="I298" i="7"/>
  <c r="K298" i="7" s="1"/>
  <c r="L298" i="7" s="1"/>
  <c r="M298" i="7" s="1"/>
  <c r="I205" i="7"/>
  <c r="K205" i="7" s="1"/>
  <c r="L205" i="7" s="1"/>
  <c r="I1541" i="7"/>
  <c r="K1541" i="7" s="1"/>
  <c r="L1541" i="7" s="1"/>
  <c r="I1462" i="7"/>
  <c r="K1462" i="7" s="1"/>
  <c r="L1462" i="7" s="1"/>
  <c r="M1462" i="7" s="1"/>
  <c r="I142" i="7"/>
  <c r="K142" i="7" s="1"/>
  <c r="L142" i="7" s="1"/>
  <c r="M142" i="7" s="1"/>
  <c r="I1883" i="7"/>
  <c r="K1883" i="7" s="1"/>
  <c r="L1883" i="7" s="1"/>
  <c r="M1883" i="7" s="1"/>
  <c r="I1720" i="7"/>
  <c r="K1720" i="7" s="1"/>
  <c r="L1720" i="7" s="1"/>
  <c r="M1720" i="7" s="1"/>
  <c r="N1720" i="7" s="1"/>
  <c r="I1620" i="7"/>
  <c r="K1620" i="7" s="1"/>
  <c r="L1620" i="7" s="1"/>
  <c r="M1620" i="7" s="1"/>
  <c r="I1520" i="7"/>
  <c r="K1520" i="7" s="1"/>
  <c r="L1520" i="7" s="1"/>
  <c r="I22" i="7"/>
  <c r="K22" i="7" s="1"/>
  <c r="L22" i="7" s="1"/>
  <c r="M22" i="7" s="1"/>
  <c r="I1898" i="7"/>
  <c r="K1898" i="7" s="1"/>
  <c r="L1898" i="7" s="1"/>
  <c r="I1818" i="7"/>
  <c r="K1818" i="7" s="1"/>
  <c r="L1818" i="7" s="1"/>
  <c r="I1718" i="7"/>
  <c r="K1718" i="7" s="1"/>
  <c r="L1718" i="7" s="1"/>
  <c r="I1618" i="7"/>
  <c r="K1618" i="7" s="1"/>
  <c r="L1618" i="7" s="1"/>
  <c r="I1498" i="7"/>
  <c r="K1498" i="7" s="1"/>
  <c r="L1498" i="7" s="1"/>
  <c r="I1845" i="7"/>
  <c r="K1845" i="7" s="1"/>
  <c r="L1845" i="7" s="1"/>
  <c r="I597" i="7"/>
  <c r="K597" i="7" s="1"/>
  <c r="L597" i="7" s="1"/>
  <c r="I437" i="7"/>
  <c r="K437" i="7" s="1"/>
  <c r="L437" i="7" s="1"/>
  <c r="I758" i="7"/>
  <c r="K758" i="7" s="1"/>
  <c r="L758" i="7" s="1"/>
  <c r="M758" i="7" s="1"/>
  <c r="N758" i="7" s="1"/>
  <c r="I1113" i="7"/>
  <c r="K1113" i="7" s="1"/>
  <c r="L1113" i="7" s="1"/>
  <c r="M1113" i="7" s="1"/>
  <c r="I905" i="7"/>
  <c r="K905" i="7" s="1"/>
  <c r="L905" i="7" s="1"/>
  <c r="M905" i="7" s="1"/>
  <c r="I1905" i="7"/>
  <c r="K1905" i="7" s="1"/>
  <c r="L1905" i="7" s="1"/>
  <c r="M1905" i="7" s="1"/>
  <c r="I1751" i="7"/>
  <c r="K1751" i="7" s="1"/>
  <c r="L1751" i="7" s="1"/>
  <c r="I1491" i="7"/>
  <c r="K1491" i="7" s="1"/>
  <c r="L1491" i="7" s="1"/>
  <c r="I1431" i="7"/>
  <c r="K1431" i="7" s="1"/>
  <c r="L1431" i="7" s="1"/>
  <c r="I1391" i="7"/>
  <c r="K1391" i="7" s="1"/>
  <c r="L1391" i="7" s="1"/>
  <c r="I1351" i="7"/>
  <c r="K1351" i="7" s="1"/>
  <c r="L1351" i="7" s="1"/>
  <c r="M1351" i="7" s="1"/>
  <c r="I1271" i="7"/>
  <c r="K1271" i="7" s="1"/>
  <c r="L1271" i="7" s="1"/>
  <c r="I1211" i="7"/>
  <c r="K1211" i="7" s="1"/>
  <c r="L1211" i="7" s="1"/>
  <c r="I1171" i="7"/>
  <c r="K1171" i="7" s="1"/>
  <c r="L1171" i="7" s="1"/>
  <c r="M1171" i="7" s="1"/>
  <c r="I1111" i="7"/>
  <c r="K1111" i="7" s="1"/>
  <c r="L1111" i="7" s="1"/>
  <c r="I1091" i="7"/>
  <c r="K1091" i="7" s="1"/>
  <c r="L1091" i="7" s="1"/>
  <c r="I1071" i="7"/>
  <c r="K1071" i="7" s="1"/>
  <c r="L1071" i="7" s="1"/>
  <c r="I1031" i="7"/>
  <c r="K1031" i="7" s="1"/>
  <c r="L1031" i="7" s="1"/>
  <c r="I1011" i="7"/>
  <c r="K1011" i="7" s="1"/>
  <c r="L1011" i="7" s="1"/>
  <c r="I971" i="7"/>
  <c r="K971" i="7" s="1"/>
  <c r="L971" i="7" s="1"/>
  <c r="I951" i="7"/>
  <c r="K951" i="7" s="1"/>
  <c r="L951" i="7" s="1"/>
  <c r="I751" i="7"/>
  <c r="K751" i="7" s="1"/>
  <c r="L751" i="7" s="1"/>
  <c r="I711" i="7"/>
  <c r="K711" i="7" s="1"/>
  <c r="L711" i="7" s="1"/>
  <c r="I551" i="7"/>
  <c r="K551" i="7" s="1"/>
  <c r="L551" i="7" s="1"/>
  <c r="I351" i="7"/>
  <c r="K351" i="7" s="1"/>
  <c r="L351" i="7" s="1"/>
  <c r="M351" i="7" s="1"/>
  <c r="N351" i="7" s="1"/>
  <c r="I311" i="7"/>
  <c r="K311" i="7" s="1"/>
  <c r="L311" i="7" s="1"/>
  <c r="I211" i="7"/>
  <c r="K211" i="7" s="1"/>
  <c r="L211" i="7" s="1"/>
  <c r="I71" i="7"/>
  <c r="K71" i="7" s="1"/>
  <c r="L71" i="7" s="1"/>
  <c r="M71" i="7" s="1"/>
  <c r="I51" i="7"/>
  <c r="K51" i="7" s="1"/>
  <c r="L51" i="7" s="1"/>
  <c r="M51" i="7" s="1"/>
  <c r="I103" i="7"/>
  <c r="K103" i="7" s="1"/>
  <c r="L103" i="7" s="1"/>
  <c r="I1475" i="7"/>
  <c r="K1475" i="7" s="1"/>
  <c r="L1475" i="7" s="1"/>
  <c r="M1475" i="7" s="1"/>
  <c r="I1539" i="7"/>
  <c r="K1539" i="7" s="1"/>
  <c r="L1539" i="7" s="1"/>
  <c r="M1539" i="7" s="1"/>
  <c r="I1463" i="7"/>
  <c r="K1463" i="7" s="1"/>
  <c r="L1463" i="7" s="1"/>
  <c r="I889" i="7"/>
  <c r="K889" i="7" s="1"/>
  <c r="L889" i="7" s="1"/>
  <c r="M889" i="7" s="1"/>
  <c r="I849" i="7"/>
  <c r="K849" i="7" s="1"/>
  <c r="L849" i="7" s="1"/>
  <c r="I449" i="7"/>
  <c r="K449" i="7" s="1"/>
  <c r="L449" i="7" s="1"/>
  <c r="I369" i="7"/>
  <c r="K369" i="7" s="1"/>
  <c r="L369" i="7" s="1"/>
  <c r="I289" i="7"/>
  <c r="K289" i="7" s="1"/>
  <c r="L289" i="7" s="1"/>
  <c r="I161" i="7"/>
  <c r="K161" i="7" s="1"/>
  <c r="L161" i="7" s="1"/>
  <c r="I1822" i="7"/>
  <c r="K1822" i="7" s="1"/>
  <c r="L1822" i="7" s="1"/>
  <c r="I1241" i="7"/>
  <c r="K1241" i="7" s="1"/>
  <c r="L1241" i="7" s="1"/>
  <c r="I323" i="7"/>
  <c r="K323" i="7" s="1"/>
  <c r="L323" i="7" s="1"/>
  <c r="I1986" i="7"/>
  <c r="K1986" i="7" s="1"/>
  <c r="L1986" i="7" s="1"/>
  <c r="I1881" i="7"/>
  <c r="K1881" i="7" s="1"/>
  <c r="L1881" i="7" s="1"/>
  <c r="I824" i="7"/>
  <c r="K824" i="7" s="1"/>
  <c r="L824" i="7" s="1"/>
  <c r="I1980" i="7"/>
  <c r="K1980" i="7" s="1"/>
  <c r="L1980" i="7" s="1"/>
  <c r="I1800" i="7"/>
  <c r="K1800" i="7" s="1"/>
  <c r="L1800" i="7" s="1"/>
  <c r="I1700" i="7"/>
  <c r="K1700" i="7" s="1"/>
  <c r="L1700" i="7" s="1"/>
  <c r="M1700" i="7" s="1"/>
  <c r="I1580" i="7"/>
  <c r="K1580" i="7" s="1"/>
  <c r="L1580" i="7" s="1"/>
  <c r="M1580" i="7" s="1"/>
  <c r="I1440" i="7"/>
  <c r="K1440" i="7" s="1"/>
  <c r="L1440" i="7" s="1"/>
  <c r="I1220" i="7"/>
  <c r="K1220" i="7" s="1"/>
  <c r="L1220" i="7" s="1"/>
  <c r="M1220" i="7" s="1"/>
  <c r="I1758" i="7"/>
  <c r="K1758" i="7" s="1"/>
  <c r="L1758" i="7" s="1"/>
  <c r="I1558" i="7"/>
  <c r="K1558" i="7" s="1"/>
  <c r="L1558" i="7" s="1"/>
  <c r="M1558" i="7" s="1"/>
  <c r="N1558" i="7" s="1"/>
  <c r="I1478" i="7"/>
  <c r="K1478" i="7" s="1"/>
  <c r="L1478" i="7" s="1"/>
  <c r="I1237" i="7"/>
  <c r="K1237" i="7" s="1"/>
  <c r="L1237" i="7" s="1"/>
  <c r="I217" i="7"/>
  <c r="K217" i="7" s="1"/>
  <c r="L217" i="7" s="1"/>
  <c r="I1839" i="7"/>
  <c r="K1839" i="7" s="1"/>
  <c r="L1839" i="7" s="1"/>
  <c r="M1839" i="7" s="1"/>
  <c r="I1904" i="7"/>
  <c r="K1904" i="7" s="1"/>
  <c r="L1904" i="7" s="1"/>
  <c r="I1729" i="7"/>
  <c r="K1729" i="7" s="1"/>
  <c r="L1729" i="7" s="1"/>
  <c r="I1648" i="7"/>
  <c r="K1648" i="7" s="1"/>
  <c r="L1648" i="7" s="1"/>
  <c r="I1165" i="7"/>
  <c r="K1165" i="7" s="1"/>
  <c r="L1165" i="7" s="1"/>
  <c r="I1982" i="7"/>
  <c r="K1982" i="7" s="1"/>
  <c r="L1982" i="7" s="1"/>
  <c r="I1639" i="7"/>
  <c r="K1639" i="7" s="1"/>
  <c r="L1639" i="7" s="1"/>
  <c r="M1639" i="7" s="1"/>
  <c r="I1987" i="7"/>
  <c r="K1987" i="7" s="1"/>
  <c r="L1987" i="7" s="1"/>
  <c r="M1987" i="7" s="1"/>
  <c r="I1927" i="7"/>
  <c r="K1927" i="7" s="1"/>
  <c r="L1927" i="7" s="1"/>
  <c r="M1927" i="7" s="1"/>
  <c r="I1646" i="7"/>
  <c r="K1646" i="7" s="1"/>
  <c r="L1646" i="7" s="1"/>
  <c r="I207" i="7"/>
  <c r="K207" i="7" s="1"/>
  <c r="L207" i="7" s="1"/>
  <c r="I1401" i="7"/>
  <c r="K1401" i="7" s="1"/>
  <c r="L1401" i="7" s="1"/>
  <c r="I1341" i="7"/>
  <c r="K1341" i="7" s="1"/>
  <c r="L1341" i="7" s="1"/>
  <c r="M1341" i="7" s="1"/>
  <c r="I1221" i="7"/>
  <c r="K1221" i="7" s="1"/>
  <c r="L1221" i="7" s="1"/>
  <c r="I1181" i="7"/>
  <c r="K1181" i="7" s="1"/>
  <c r="L1181" i="7" s="1"/>
  <c r="M1181" i="7" s="1"/>
  <c r="I961" i="7"/>
  <c r="K961" i="7" s="1"/>
  <c r="L961" i="7" s="1"/>
  <c r="M961" i="7" s="1"/>
  <c r="I801" i="7"/>
  <c r="K801" i="7" s="1"/>
  <c r="L801" i="7" s="1"/>
  <c r="I721" i="7"/>
  <c r="K721" i="7" s="1"/>
  <c r="L721" i="7" s="1"/>
  <c r="I601" i="7"/>
  <c r="K601" i="7" s="1"/>
  <c r="L601" i="7" s="1"/>
  <c r="I521" i="7"/>
  <c r="K521" i="7" s="1"/>
  <c r="L521" i="7" s="1"/>
  <c r="I461" i="7"/>
  <c r="K461" i="7" s="1"/>
  <c r="L461" i="7" s="1"/>
  <c r="I381" i="7"/>
  <c r="K381" i="7" s="1"/>
  <c r="L381" i="7" s="1"/>
  <c r="I141" i="7"/>
  <c r="K141" i="7" s="1"/>
  <c r="L141" i="7" s="1"/>
  <c r="I1200" i="7"/>
  <c r="K1200" i="7" s="1"/>
  <c r="L1200" i="7" s="1"/>
  <c r="I1180" i="7"/>
  <c r="K1180" i="7" s="1"/>
  <c r="L1180" i="7" s="1"/>
  <c r="I1080" i="7"/>
  <c r="K1080" i="7" s="1"/>
  <c r="L1080" i="7" s="1"/>
  <c r="I1060" i="7"/>
  <c r="K1060" i="7" s="1"/>
  <c r="L1060" i="7" s="1"/>
  <c r="M1060" i="7" s="1"/>
  <c r="I1020" i="7"/>
  <c r="K1020" i="7" s="1"/>
  <c r="L1020" i="7" s="1"/>
  <c r="I980" i="7"/>
  <c r="K980" i="7" s="1"/>
  <c r="L980" i="7" s="1"/>
  <c r="M980" i="7" s="1"/>
  <c r="I940" i="7"/>
  <c r="K940" i="7" s="1"/>
  <c r="L940" i="7" s="1"/>
  <c r="I920" i="7"/>
  <c r="K920" i="7" s="1"/>
  <c r="L920" i="7" s="1"/>
  <c r="I860" i="7"/>
  <c r="K860" i="7" s="1"/>
  <c r="L860" i="7" s="1"/>
  <c r="I820" i="7"/>
  <c r="K820" i="7" s="1"/>
  <c r="L820" i="7" s="1"/>
  <c r="I800" i="7"/>
  <c r="K800" i="7" s="1"/>
  <c r="L800" i="7" s="1"/>
  <c r="M800" i="7" s="1"/>
  <c r="I780" i="7"/>
  <c r="K780" i="7" s="1"/>
  <c r="L780" i="7" s="1"/>
  <c r="M780" i="7" s="1"/>
  <c r="I760" i="7"/>
  <c r="K760" i="7" s="1"/>
  <c r="L760" i="7" s="1"/>
  <c r="M760" i="7" s="1"/>
  <c r="N760" i="7" s="1"/>
  <c r="I740" i="7"/>
  <c r="K740" i="7" s="1"/>
  <c r="L740" i="7" s="1"/>
  <c r="I720" i="7"/>
  <c r="K720" i="7" s="1"/>
  <c r="L720" i="7" s="1"/>
  <c r="M720" i="7" s="1"/>
  <c r="N720" i="7" s="1"/>
  <c r="I680" i="7"/>
  <c r="K680" i="7" s="1"/>
  <c r="L680" i="7" s="1"/>
  <c r="I640" i="7"/>
  <c r="K640" i="7" s="1"/>
  <c r="L640" i="7" s="1"/>
  <c r="I600" i="7"/>
  <c r="K600" i="7" s="1"/>
  <c r="L600" i="7" s="1"/>
  <c r="I560" i="7"/>
  <c r="K560" i="7" s="1"/>
  <c r="L560" i="7" s="1"/>
  <c r="I539" i="7"/>
  <c r="K539" i="7" s="1"/>
  <c r="L539" i="7" s="1"/>
  <c r="I520" i="7"/>
  <c r="K520" i="7" s="1"/>
  <c r="L520" i="7" s="1"/>
  <c r="I500" i="7"/>
  <c r="K500" i="7" s="1"/>
  <c r="L500" i="7" s="1"/>
  <c r="I420" i="7"/>
  <c r="K420" i="7" s="1"/>
  <c r="L420" i="7" s="1"/>
  <c r="I400" i="7"/>
  <c r="K400" i="7" s="1"/>
  <c r="L400" i="7" s="1"/>
  <c r="I380" i="7"/>
  <c r="K380" i="7" s="1"/>
  <c r="L380" i="7" s="1"/>
  <c r="I240" i="7"/>
  <c r="K240" i="7" s="1"/>
  <c r="L240" i="7" s="1"/>
  <c r="M240" i="7" s="1"/>
  <c r="I180" i="7"/>
  <c r="K180" i="7" s="1"/>
  <c r="L180" i="7" s="1"/>
  <c r="M180" i="7" s="1"/>
  <c r="I140" i="7"/>
  <c r="K140" i="7" s="1"/>
  <c r="L140" i="7" s="1"/>
  <c r="I120" i="7"/>
  <c r="K120" i="7" s="1"/>
  <c r="L120" i="7" s="1"/>
  <c r="I80" i="7"/>
  <c r="K80" i="7" s="1"/>
  <c r="L80" i="7" s="1"/>
  <c r="I20" i="7"/>
  <c r="K20" i="7" s="1"/>
  <c r="L20" i="7" s="1"/>
  <c r="I1439" i="7"/>
  <c r="K1439" i="7" s="1"/>
  <c r="L1439" i="7" s="1"/>
  <c r="M1439" i="7" s="1"/>
  <c r="I1399" i="7"/>
  <c r="K1399" i="7" s="1"/>
  <c r="L1399" i="7" s="1"/>
  <c r="M1399" i="7" s="1"/>
  <c r="I1219" i="7"/>
  <c r="K1219" i="7" s="1"/>
  <c r="L1219" i="7" s="1"/>
  <c r="I1179" i="7"/>
  <c r="K1179" i="7" s="1"/>
  <c r="L1179" i="7" s="1"/>
  <c r="I1139" i="7"/>
  <c r="K1139" i="7" s="1"/>
  <c r="L1139" i="7" s="1"/>
  <c r="I1059" i="7"/>
  <c r="K1059" i="7" s="1"/>
  <c r="L1059" i="7" s="1"/>
  <c r="I979" i="7"/>
  <c r="K979" i="7" s="1"/>
  <c r="L979" i="7" s="1"/>
  <c r="I879" i="7"/>
  <c r="K879" i="7" s="1"/>
  <c r="L879" i="7" s="1"/>
  <c r="I799" i="7"/>
  <c r="K799" i="7" s="1"/>
  <c r="L799" i="7" s="1"/>
  <c r="I719" i="7"/>
  <c r="K719" i="7" s="1"/>
  <c r="L719" i="7" s="1"/>
  <c r="I179" i="7"/>
  <c r="K179" i="7" s="1"/>
  <c r="L179" i="7" s="1"/>
  <c r="I1418" i="7"/>
  <c r="K1418" i="7" s="1"/>
  <c r="L1418" i="7" s="1"/>
  <c r="M1418" i="7" s="1"/>
  <c r="I1378" i="7"/>
  <c r="K1378" i="7" s="1"/>
  <c r="L1378" i="7" s="1"/>
  <c r="I1358" i="7"/>
  <c r="K1358" i="7" s="1"/>
  <c r="L1358" i="7" s="1"/>
  <c r="M1358" i="7" s="1"/>
  <c r="I1338" i="7"/>
  <c r="K1338" i="7" s="1"/>
  <c r="L1338" i="7" s="1"/>
  <c r="I1298" i="7"/>
  <c r="K1298" i="7" s="1"/>
  <c r="L1298" i="7" s="1"/>
  <c r="I1278" i="7"/>
  <c r="K1278" i="7" s="1"/>
  <c r="L1278" i="7" s="1"/>
  <c r="I1258" i="7"/>
  <c r="K1258" i="7" s="1"/>
  <c r="L1258" i="7" s="1"/>
  <c r="I1238" i="7"/>
  <c r="K1238" i="7" s="1"/>
  <c r="L1238" i="7" s="1"/>
  <c r="M1238" i="7" s="1"/>
  <c r="N1238" i="7" s="1"/>
  <c r="I1218" i="7"/>
  <c r="K1218" i="7" s="1"/>
  <c r="L1218" i="7" s="1"/>
  <c r="I1198" i="7"/>
  <c r="K1198" i="7" s="1"/>
  <c r="L1198" i="7" s="1"/>
  <c r="M1198" i="7" s="1"/>
  <c r="I1178" i="7"/>
  <c r="K1178" i="7" s="1"/>
  <c r="L1178" i="7" s="1"/>
  <c r="I1158" i="7"/>
  <c r="K1158" i="7" s="1"/>
  <c r="L1158" i="7" s="1"/>
  <c r="M1158" i="7" s="1"/>
  <c r="I1138" i="7"/>
  <c r="K1138" i="7" s="1"/>
  <c r="L1138" i="7" s="1"/>
  <c r="M1138" i="7" s="1"/>
  <c r="N1138" i="7" s="1"/>
  <c r="I1118" i="7"/>
  <c r="K1118" i="7" s="1"/>
  <c r="L1118" i="7" s="1"/>
  <c r="I1078" i="7"/>
  <c r="K1078" i="7" s="1"/>
  <c r="L1078" i="7" s="1"/>
  <c r="I1058" i="7"/>
  <c r="K1058" i="7" s="1"/>
  <c r="L1058" i="7" s="1"/>
  <c r="I1038" i="7"/>
  <c r="K1038" i="7" s="1"/>
  <c r="L1038" i="7" s="1"/>
  <c r="I1018" i="7"/>
  <c r="K1018" i="7" s="1"/>
  <c r="L1018" i="7" s="1"/>
  <c r="I978" i="7"/>
  <c r="K978" i="7" s="1"/>
  <c r="L978" i="7" s="1"/>
  <c r="I938" i="7"/>
  <c r="K938" i="7" s="1"/>
  <c r="L938" i="7" s="1"/>
  <c r="I918" i="7"/>
  <c r="K918" i="7" s="1"/>
  <c r="L918" i="7" s="1"/>
  <c r="I818" i="7"/>
  <c r="K818" i="7" s="1"/>
  <c r="L818" i="7" s="1"/>
  <c r="I778" i="7"/>
  <c r="K778" i="7" s="1"/>
  <c r="L778" i="7" s="1"/>
  <c r="I738" i="7"/>
  <c r="K738" i="7" s="1"/>
  <c r="L738" i="7" s="1"/>
  <c r="M738" i="7" s="1"/>
  <c r="I694" i="7"/>
  <c r="K694" i="7" s="1"/>
  <c r="L694" i="7" s="1"/>
  <c r="I678" i="7"/>
  <c r="K678" i="7" s="1"/>
  <c r="L678" i="7" s="1"/>
  <c r="M678" i="7" s="1"/>
  <c r="I658" i="7"/>
  <c r="K658" i="7" s="1"/>
  <c r="L658" i="7" s="1"/>
  <c r="M658" i="7" s="1"/>
  <c r="I638" i="7"/>
  <c r="K638" i="7" s="1"/>
  <c r="L638" i="7" s="1"/>
  <c r="M638" i="7" s="1"/>
  <c r="I618" i="7"/>
  <c r="K618" i="7" s="1"/>
  <c r="L618" i="7" s="1"/>
  <c r="M618" i="7" s="1"/>
  <c r="I598" i="7"/>
  <c r="K598" i="7" s="1"/>
  <c r="L598" i="7" s="1"/>
  <c r="M598" i="7" s="1"/>
  <c r="I558" i="7"/>
  <c r="K558" i="7" s="1"/>
  <c r="L558" i="7" s="1"/>
  <c r="I538" i="7"/>
  <c r="K538" i="7" s="1"/>
  <c r="L538" i="7" s="1"/>
  <c r="I518" i="7"/>
  <c r="K518" i="7" s="1"/>
  <c r="L518" i="7" s="1"/>
  <c r="I498" i="7"/>
  <c r="K498" i="7" s="1"/>
  <c r="L498" i="7" s="1"/>
  <c r="I478" i="7"/>
  <c r="K478" i="7" s="1"/>
  <c r="L478" i="7" s="1"/>
  <c r="I458" i="7"/>
  <c r="K458" i="7" s="1"/>
  <c r="L458" i="7" s="1"/>
  <c r="I418" i="7"/>
  <c r="K418" i="7" s="1"/>
  <c r="L418" i="7" s="1"/>
  <c r="I398" i="7"/>
  <c r="K398" i="7" s="1"/>
  <c r="L398" i="7" s="1"/>
  <c r="I378" i="7"/>
  <c r="K378" i="7" s="1"/>
  <c r="L378" i="7" s="1"/>
  <c r="I358" i="7"/>
  <c r="K358" i="7" s="1"/>
  <c r="L358" i="7" s="1"/>
  <c r="I338" i="7"/>
  <c r="K338" i="7" s="1"/>
  <c r="L338" i="7" s="1"/>
  <c r="I278" i="7"/>
  <c r="K278" i="7" s="1"/>
  <c r="L278" i="7" s="1"/>
  <c r="I258" i="7"/>
  <c r="K258" i="7" s="1"/>
  <c r="L258" i="7" s="1"/>
  <c r="M258" i="7" s="1"/>
  <c r="N258" i="7" s="1"/>
  <c r="I238" i="7"/>
  <c r="K238" i="7" s="1"/>
  <c r="L238" i="7" s="1"/>
  <c r="M238" i="7" s="1"/>
  <c r="N238" i="7" s="1"/>
  <c r="I218" i="7"/>
  <c r="K218" i="7" s="1"/>
  <c r="L218" i="7" s="1"/>
  <c r="M218" i="7" s="1"/>
  <c r="I198" i="7"/>
  <c r="K198" i="7" s="1"/>
  <c r="L198" i="7" s="1"/>
  <c r="M198" i="7" s="1"/>
  <c r="I178" i="7"/>
  <c r="K178" i="7" s="1"/>
  <c r="L178" i="7" s="1"/>
  <c r="M178" i="7" s="1"/>
  <c r="I138" i="7"/>
  <c r="K138" i="7" s="1"/>
  <c r="L138" i="7" s="1"/>
  <c r="M138" i="7" s="1"/>
  <c r="I118" i="7"/>
  <c r="K118" i="7" s="1"/>
  <c r="L118" i="7" s="1"/>
  <c r="M118" i="7" s="1"/>
  <c r="I78" i="7"/>
  <c r="K78" i="7" s="1"/>
  <c r="L78" i="7" s="1"/>
  <c r="M78" i="7" s="1"/>
  <c r="I58" i="7"/>
  <c r="K58" i="7" s="1"/>
  <c r="L58" i="7" s="1"/>
  <c r="M58" i="7" s="1"/>
  <c r="I38" i="7"/>
  <c r="K38" i="7" s="1"/>
  <c r="L38" i="7" s="1"/>
  <c r="I18" i="7"/>
  <c r="K18" i="7" s="1"/>
  <c r="L18" i="7" s="1"/>
  <c r="I1857" i="7"/>
  <c r="K1857" i="7" s="1"/>
  <c r="L1857" i="7" s="1"/>
  <c r="I1849" i="7"/>
  <c r="K1849" i="7" s="1"/>
  <c r="L1849" i="7" s="1"/>
  <c r="I1896" i="7"/>
  <c r="K1896" i="7" s="1"/>
  <c r="L1896" i="7" s="1"/>
  <c r="I1848" i="7"/>
  <c r="K1848" i="7" s="1"/>
  <c r="L1848" i="7" s="1"/>
  <c r="I1858" i="7"/>
  <c r="K1858" i="7" s="1"/>
  <c r="L1858" i="7" s="1"/>
  <c r="M1858" i="7" s="1"/>
  <c r="I1975" i="7"/>
  <c r="K1975" i="7" s="1"/>
  <c r="L1975" i="7" s="1"/>
  <c r="I1662" i="7"/>
  <c r="K1662" i="7" s="1"/>
  <c r="L1662" i="7" s="1"/>
  <c r="I1551" i="7"/>
  <c r="K1551" i="7" s="1"/>
  <c r="L1551" i="7" s="1"/>
  <c r="I1104" i="7"/>
  <c r="K1104" i="7" s="1"/>
  <c r="L1104" i="7" s="1"/>
  <c r="I440" i="7"/>
  <c r="K440" i="7" s="1"/>
  <c r="L440" i="7" s="1"/>
  <c r="I155" i="7"/>
  <c r="K155" i="7" s="1"/>
  <c r="L155" i="7" s="1"/>
  <c r="I1853" i="7"/>
  <c r="K1853" i="7" s="1"/>
  <c r="L1853" i="7" s="1"/>
  <c r="I393" i="7"/>
  <c r="K393" i="7" s="1"/>
  <c r="L393" i="7" s="1"/>
  <c r="M393" i="7" s="1"/>
  <c r="I1973" i="7"/>
  <c r="K1973" i="7" s="1"/>
  <c r="L1973" i="7" s="1"/>
  <c r="M1973" i="7" s="1"/>
  <c r="I1777" i="7"/>
  <c r="K1777" i="7" s="1"/>
  <c r="L1777" i="7" s="1"/>
  <c r="I1546" i="7"/>
  <c r="K1546" i="7" s="1"/>
  <c r="L1546" i="7" s="1"/>
  <c r="M1546" i="7" s="1"/>
  <c r="N1546" i="7" s="1"/>
  <c r="I1329" i="7"/>
  <c r="K1329" i="7" s="1"/>
  <c r="L1329" i="7" s="1"/>
  <c r="M1329" i="7" s="1"/>
  <c r="N1329" i="7" s="1"/>
  <c r="I950" i="7"/>
  <c r="K950" i="7" s="1"/>
  <c r="L950" i="7" s="1"/>
  <c r="I286" i="7"/>
  <c r="K286" i="7" s="1"/>
  <c r="L286" i="7" s="1"/>
  <c r="I206" i="7"/>
  <c r="K206" i="7" s="1"/>
  <c r="L206" i="7" s="1"/>
  <c r="M206" i="7" s="1"/>
  <c r="I62" i="7"/>
  <c r="K62" i="7" s="1"/>
  <c r="L62" i="7" s="1"/>
  <c r="I1851" i="7"/>
  <c r="K1851" i="7" s="1"/>
  <c r="L1851" i="7" s="1"/>
  <c r="I157" i="7"/>
  <c r="K157" i="7" s="1"/>
  <c r="L157" i="7" s="1"/>
  <c r="I1235" i="7"/>
  <c r="K1235" i="7" s="1"/>
  <c r="L1235" i="7" s="1"/>
  <c r="I394" i="7"/>
  <c r="K394" i="7" s="1"/>
  <c r="L394" i="7" s="1"/>
  <c r="I1389" i="7"/>
  <c r="K1389" i="7" s="1"/>
  <c r="L1389" i="7" s="1"/>
  <c r="I1386" i="7"/>
  <c r="K1386" i="7" s="1"/>
  <c r="L1386" i="7" s="1"/>
  <c r="I549" i="7"/>
  <c r="K549" i="7" s="1"/>
  <c r="L549" i="7" s="1"/>
  <c r="I446" i="7"/>
  <c r="K446" i="7" s="1"/>
  <c r="L446" i="7" s="1"/>
  <c r="I1426" i="7"/>
  <c r="K1426" i="7" s="1"/>
  <c r="L1426" i="7" s="1"/>
  <c r="M1426" i="7" s="1"/>
  <c r="N1426" i="7" s="1"/>
  <c r="I702" i="7"/>
  <c r="K702" i="7" s="1"/>
  <c r="L702" i="7" s="1"/>
  <c r="I1489" i="7"/>
  <c r="K1489" i="7" s="1"/>
  <c r="L1489" i="7" s="1"/>
  <c r="I1483" i="7"/>
  <c r="K1483" i="7" s="1"/>
  <c r="L1483" i="7" s="1"/>
  <c r="I1485" i="7"/>
  <c r="K1485" i="7" s="1"/>
  <c r="L1485" i="7" s="1"/>
  <c r="M1485" i="7" s="1"/>
  <c r="I1486" i="7"/>
  <c r="K1486" i="7" s="1"/>
  <c r="L1486" i="7" s="1"/>
  <c r="M1486" i="7" s="1"/>
  <c r="I669" i="7"/>
  <c r="K669" i="7" s="1"/>
  <c r="L669" i="7" s="1"/>
  <c r="M669" i="7" s="1"/>
  <c r="I666" i="7"/>
  <c r="K666" i="7" s="1"/>
  <c r="L666" i="7" s="1"/>
  <c r="M666" i="7" s="1"/>
  <c r="I663" i="7"/>
  <c r="K663" i="7" s="1"/>
  <c r="L663" i="7" s="1"/>
  <c r="M663" i="7" s="1"/>
  <c r="I665" i="7"/>
  <c r="K665" i="7" s="1"/>
  <c r="L665" i="7" s="1"/>
  <c r="I664" i="7"/>
  <c r="K664" i="7" s="1"/>
  <c r="L664" i="7" s="1"/>
  <c r="I707" i="7"/>
  <c r="K707" i="7" s="1"/>
  <c r="L707" i="7" s="1"/>
  <c r="I1665" i="7"/>
  <c r="K1665" i="7" s="1"/>
  <c r="L1665" i="7" s="1"/>
  <c r="I1112" i="7"/>
  <c r="K1112" i="7" s="1"/>
  <c r="L1112" i="7" s="1"/>
  <c r="M1112" i="7" s="1"/>
  <c r="I962" i="7"/>
  <c r="K962" i="7" s="1"/>
  <c r="L962" i="7" s="1"/>
  <c r="I963" i="7"/>
  <c r="K963" i="7" s="1"/>
  <c r="L963" i="7" s="1"/>
  <c r="M963" i="7" s="1"/>
  <c r="N963" i="7" s="1"/>
  <c r="I964" i="7"/>
  <c r="K964" i="7" s="1"/>
  <c r="L964" i="7" s="1"/>
  <c r="M964" i="7" s="1"/>
  <c r="N964" i="7" s="1"/>
  <c r="I965" i="7"/>
  <c r="K965" i="7" s="1"/>
  <c r="L965" i="7" s="1"/>
  <c r="I700" i="7"/>
  <c r="K700" i="7" s="1"/>
  <c r="L700" i="7" s="1"/>
  <c r="I699" i="7"/>
  <c r="K699" i="7" s="1"/>
  <c r="L699" i="7" s="1"/>
  <c r="I229" i="7"/>
  <c r="K229" i="7" s="1"/>
  <c r="L229" i="7" s="1"/>
  <c r="I1937" i="7"/>
  <c r="K1937" i="7" s="1"/>
  <c r="L1937" i="7" s="1"/>
  <c r="M1937" i="7" s="1"/>
  <c r="I1345" i="7"/>
  <c r="K1345" i="7" s="1"/>
  <c r="L1345" i="7" s="1"/>
  <c r="I1780" i="7"/>
  <c r="K1780" i="7" s="1"/>
  <c r="L1780" i="7" s="1"/>
  <c r="I1664" i="7"/>
  <c r="K1664" i="7" s="1"/>
  <c r="L1664" i="7" s="1"/>
  <c r="M1664" i="7" s="1"/>
  <c r="I1554" i="7"/>
  <c r="K1554" i="7" s="1"/>
  <c r="L1554" i="7" s="1"/>
  <c r="M1554" i="7" s="1"/>
  <c r="I1343" i="7"/>
  <c r="K1343" i="7" s="1"/>
  <c r="L1343" i="7" s="1"/>
  <c r="M1343" i="7" s="1"/>
  <c r="I1231" i="7"/>
  <c r="K1231" i="7" s="1"/>
  <c r="L1231" i="7" s="1"/>
  <c r="M1231" i="7" s="1"/>
  <c r="I158" i="7"/>
  <c r="K158" i="7" s="1"/>
  <c r="L158" i="7" s="1"/>
  <c r="M158" i="7" s="1"/>
  <c r="I1281" i="7"/>
  <c r="K1281" i="7" s="1"/>
  <c r="L1281" i="7" s="1"/>
  <c r="I1779" i="7"/>
  <c r="K1779" i="7" s="1"/>
  <c r="L1779" i="7" s="1"/>
  <c r="M1779" i="7" s="1"/>
  <c r="I1663" i="7"/>
  <c r="K1663" i="7" s="1"/>
  <c r="L1663" i="7" s="1"/>
  <c r="I1552" i="7"/>
  <c r="K1552" i="7" s="1"/>
  <c r="L1552" i="7" s="1"/>
  <c r="I1342" i="7"/>
  <c r="K1342" i="7" s="1"/>
  <c r="L1342" i="7" s="1"/>
  <c r="I1105" i="7"/>
  <c r="K1105" i="7" s="1"/>
  <c r="L1105" i="7" s="1"/>
  <c r="I900" i="7"/>
  <c r="K900" i="7" s="1"/>
  <c r="L900" i="7" s="1"/>
  <c r="I442" i="7"/>
  <c r="K442" i="7" s="1"/>
  <c r="L442" i="7" s="1"/>
  <c r="I697" i="7"/>
  <c r="K697" i="7" s="1"/>
  <c r="L697" i="7" s="1"/>
  <c r="I1972" i="7"/>
  <c r="K1972" i="7" s="1"/>
  <c r="L1972" i="7" s="1"/>
  <c r="I281" i="7"/>
  <c r="K281" i="7" s="1"/>
  <c r="L281" i="7" s="1"/>
  <c r="I1166" i="7"/>
  <c r="K1166" i="7" s="1"/>
  <c r="L1166" i="7" s="1"/>
  <c r="M1166" i="7" s="1"/>
  <c r="I1461" i="7"/>
  <c r="K1461" i="7" s="1"/>
  <c r="L1461" i="7" s="1"/>
  <c r="I1421" i="7"/>
  <c r="K1421" i="7" s="1"/>
  <c r="L1421" i="7" s="1"/>
  <c r="M1421" i="7" s="1"/>
  <c r="I1381" i="7"/>
  <c r="K1381" i="7" s="1"/>
  <c r="L1381" i="7" s="1"/>
  <c r="M1381" i="7" s="1"/>
  <c r="I1201" i="7"/>
  <c r="K1201" i="7" s="1"/>
  <c r="L1201" i="7" s="1"/>
  <c r="M1201" i="7" s="1"/>
  <c r="I881" i="7"/>
  <c r="K881" i="7" s="1"/>
  <c r="L881" i="7" s="1"/>
  <c r="M881" i="7" s="1"/>
  <c r="I541" i="7"/>
  <c r="K541" i="7" s="1"/>
  <c r="L541" i="7" s="1"/>
  <c r="M541" i="7" s="1"/>
  <c r="N541" i="7" s="1"/>
  <c r="I441" i="7"/>
  <c r="K441" i="7" s="1"/>
  <c r="L441" i="7" s="1"/>
  <c r="M441" i="7" s="1"/>
  <c r="I361" i="7"/>
  <c r="K361" i="7" s="1"/>
  <c r="L361" i="7" s="1"/>
  <c r="M361" i="7" s="1"/>
  <c r="I201" i="7"/>
  <c r="K201" i="7" s="1"/>
  <c r="L201" i="7" s="1"/>
  <c r="M201" i="7" s="1"/>
  <c r="N201" i="7" s="1"/>
  <c r="I1967" i="7"/>
  <c r="K1967" i="7" s="1"/>
  <c r="L1967" i="7" s="1"/>
  <c r="M1967" i="7" s="1"/>
  <c r="I1966" i="7"/>
  <c r="K1966" i="7" s="1"/>
  <c r="L1966" i="7" s="1"/>
  <c r="I1821" i="7"/>
  <c r="K1821" i="7" s="1"/>
  <c r="L1821" i="7" s="1"/>
  <c r="I1707" i="7"/>
  <c r="K1707" i="7" s="1"/>
  <c r="L1707" i="7" s="1"/>
  <c r="I1705" i="7"/>
  <c r="K1705" i="7" s="1"/>
  <c r="L1705" i="7" s="1"/>
  <c r="I1706" i="7"/>
  <c r="K1706" i="7" s="1"/>
  <c r="L1706" i="7" s="1"/>
  <c r="M1706" i="7" s="1"/>
  <c r="I1327" i="7"/>
  <c r="K1327" i="7" s="1"/>
  <c r="L1327" i="7" s="1"/>
  <c r="I1146" i="7"/>
  <c r="K1146" i="7" s="1"/>
  <c r="L1146" i="7" s="1"/>
  <c r="I1007" i="7"/>
  <c r="K1007" i="7" s="1"/>
  <c r="L1007" i="7" s="1"/>
  <c r="I882" i="7"/>
  <c r="K882" i="7" s="1"/>
  <c r="L882" i="7" s="1"/>
  <c r="I499" i="7"/>
  <c r="K499" i="7" s="1"/>
  <c r="L499" i="7" s="1"/>
  <c r="M499" i="7" s="1"/>
  <c r="I1920" i="7"/>
  <c r="K1920" i="7" s="1"/>
  <c r="L1920" i="7" s="1"/>
  <c r="I1900" i="7"/>
  <c r="K1900" i="7" s="1"/>
  <c r="L1900" i="7" s="1"/>
  <c r="I1899" i="7"/>
  <c r="K1899" i="7" s="1"/>
  <c r="L1899" i="7" s="1"/>
  <c r="M1899" i="7" s="1"/>
  <c r="N1899" i="7" s="1"/>
  <c r="I1820" i="7"/>
  <c r="K1820" i="7" s="1"/>
  <c r="L1820" i="7" s="1"/>
  <c r="M1820" i="7" s="1"/>
  <c r="I1740" i="7"/>
  <c r="K1740" i="7" s="1"/>
  <c r="L1740" i="7" s="1"/>
  <c r="M1740" i="7" s="1"/>
  <c r="I1660" i="7"/>
  <c r="K1660" i="7" s="1"/>
  <c r="L1660" i="7" s="1"/>
  <c r="M1660" i="7" s="1"/>
  <c r="I1599" i="7"/>
  <c r="K1599" i="7" s="1"/>
  <c r="L1599" i="7" s="1"/>
  <c r="M1599" i="7" s="1"/>
  <c r="I1600" i="7"/>
  <c r="K1600" i="7" s="1"/>
  <c r="L1600" i="7" s="1"/>
  <c r="I1480" i="7"/>
  <c r="K1480" i="7" s="1"/>
  <c r="L1480" i="7" s="1"/>
  <c r="M1480" i="7" s="1"/>
  <c r="I1460" i="7"/>
  <c r="K1460" i="7" s="1"/>
  <c r="L1460" i="7" s="1"/>
  <c r="I1420" i="7"/>
  <c r="K1420" i="7" s="1"/>
  <c r="L1420" i="7" s="1"/>
  <c r="I1380" i="7"/>
  <c r="K1380" i="7" s="1"/>
  <c r="L1380" i="7" s="1"/>
  <c r="I1379" i="7"/>
  <c r="K1379" i="7" s="1"/>
  <c r="L1379" i="7" s="1"/>
  <c r="I1360" i="7"/>
  <c r="K1360" i="7" s="1"/>
  <c r="L1360" i="7" s="1"/>
  <c r="I1359" i="7"/>
  <c r="K1359" i="7" s="1"/>
  <c r="L1359" i="7" s="1"/>
  <c r="I1339" i="7"/>
  <c r="K1339" i="7" s="1"/>
  <c r="L1339" i="7" s="1"/>
  <c r="I1340" i="7"/>
  <c r="K1340" i="7" s="1"/>
  <c r="L1340" i="7" s="1"/>
  <c r="I1320" i="7"/>
  <c r="K1320" i="7" s="1"/>
  <c r="L1320" i="7" s="1"/>
  <c r="I1280" i="7"/>
  <c r="K1280" i="7" s="1"/>
  <c r="L1280" i="7" s="1"/>
  <c r="I1279" i="7"/>
  <c r="K1279" i="7" s="1"/>
  <c r="L1279" i="7" s="1"/>
  <c r="I1260" i="7"/>
  <c r="K1260" i="7" s="1"/>
  <c r="L1260" i="7" s="1"/>
  <c r="M1260" i="7" s="1"/>
  <c r="N1260" i="7" s="1"/>
  <c r="I1259" i="7"/>
  <c r="K1259" i="7" s="1"/>
  <c r="L1259" i="7" s="1"/>
  <c r="I1160" i="7"/>
  <c r="K1160" i="7" s="1"/>
  <c r="L1160" i="7" s="1"/>
  <c r="I1140" i="7"/>
  <c r="K1140" i="7" s="1"/>
  <c r="L1140" i="7" s="1"/>
  <c r="M1140" i="7" s="1"/>
  <c r="I1119" i="7"/>
  <c r="K1119" i="7" s="1"/>
  <c r="L1119" i="7" s="1"/>
  <c r="M1119" i="7" s="1"/>
  <c r="I1120" i="7"/>
  <c r="K1120" i="7" s="1"/>
  <c r="L1120" i="7" s="1"/>
  <c r="M1120" i="7" s="1"/>
  <c r="I1100" i="7"/>
  <c r="K1100" i="7" s="1"/>
  <c r="L1100" i="7" s="1"/>
  <c r="M1100" i="7" s="1"/>
  <c r="I1040" i="7"/>
  <c r="K1040" i="7" s="1"/>
  <c r="L1040" i="7" s="1"/>
  <c r="I1039" i="7"/>
  <c r="K1039" i="7" s="1"/>
  <c r="L1039" i="7" s="1"/>
  <c r="M1039" i="7" s="1"/>
  <c r="I1000" i="7"/>
  <c r="K1000" i="7" s="1"/>
  <c r="L1000" i="7" s="1"/>
  <c r="I880" i="7"/>
  <c r="K880" i="7" s="1"/>
  <c r="L880" i="7" s="1"/>
  <c r="M880" i="7" s="1"/>
  <c r="I840" i="7"/>
  <c r="K840" i="7" s="1"/>
  <c r="L840" i="7" s="1"/>
  <c r="I659" i="7"/>
  <c r="K659" i="7" s="1"/>
  <c r="L659" i="7" s="1"/>
  <c r="I660" i="7"/>
  <c r="K660" i="7" s="1"/>
  <c r="L660" i="7" s="1"/>
  <c r="I620" i="7"/>
  <c r="K620" i="7" s="1"/>
  <c r="L620" i="7" s="1"/>
  <c r="I619" i="7"/>
  <c r="K619" i="7" s="1"/>
  <c r="L619" i="7" s="1"/>
  <c r="I580" i="7"/>
  <c r="K580" i="7" s="1"/>
  <c r="L580" i="7" s="1"/>
  <c r="I579" i="7"/>
  <c r="K579" i="7" s="1"/>
  <c r="L579" i="7" s="1"/>
  <c r="I480" i="7"/>
  <c r="K480" i="7" s="1"/>
  <c r="L480" i="7" s="1"/>
  <c r="I460" i="7"/>
  <c r="K460" i="7" s="1"/>
  <c r="L460" i="7" s="1"/>
  <c r="I459" i="7"/>
  <c r="K459" i="7" s="1"/>
  <c r="L459" i="7" s="1"/>
  <c r="M459" i="7" s="1"/>
  <c r="I360" i="7"/>
  <c r="K360" i="7" s="1"/>
  <c r="L360" i="7" s="1"/>
  <c r="I339" i="7"/>
  <c r="K339" i="7" s="1"/>
  <c r="L339" i="7" s="1"/>
  <c r="M339" i="7" s="1"/>
  <c r="I340" i="7"/>
  <c r="K340" i="7" s="1"/>
  <c r="L340" i="7" s="1"/>
  <c r="M340" i="7" s="1"/>
  <c r="I320" i="7"/>
  <c r="K320" i="7" s="1"/>
  <c r="L320" i="7" s="1"/>
  <c r="M320" i="7" s="1"/>
  <c r="I300" i="7"/>
  <c r="K300" i="7" s="1"/>
  <c r="L300" i="7" s="1"/>
  <c r="I280" i="7"/>
  <c r="K280" i="7" s="1"/>
  <c r="L280" i="7" s="1"/>
  <c r="M280" i="7" s="1"/>
  <c r="I260" i="7"/>
  <c r="K260" i="7" s="1"/>
  <c r="L260" i="7" s="1"/>
  <c r="I259" i="7"/>
  <c r="K259" i="7" s="1"/>
  <c r="L259" i="7" s="1"/>
  <c r="I220" i="7"/>
  <c r="K220" i="7" s="1"/>
  <c r="L220" i="7" s="1"/>
  <c r="I200" i="7"/>
  <c r="K200" i="7" s="1"/>
  <c r="L200" i="7" s="1"/>
  <c r="I59" i="7"/>
  <c r="K59" i="7" s="1"/>
  <c r="L59" i="7" s="1"/>
  <c r="I60" i="7"/>
  <c r="K60" i="7" s="1"/>
  <c r="L60" i="7" s="1"/>
  <c r="M60" i="7" s="1"/>
  <c r="I40" i="7"/>
  <c r="K40" i="7" s="1"/>
  <c r="L40" i="7" s="1"/>
  <c r="I1819" i="7"/>
  <c r="K1819" i="7" s="1"/>
  <c r="L1819" i="7" s="1"/>
  <c r="M1819" i="7" s="1"/>
  <c r="I1542" i="7"/>
  <c r="K1542" i="7" s="1"/>
  <c r="L1542" i="7" s="1"/>
  <c r="I1326" i="7"/>
  <c r="K1326" i="7" s="1"/>
  <c r="L1326" i="7" s="1"/>
  <c r="I1145" i="7"/>
  <c r="K1145" i="7" s="1"/>
  <c r="L1145" i="7" s="1"/>
  <c r="I547" i="7"/>
  <c r="K547" i="7" s="1"/>
  <c r="L547" i="7" s="1"/>
  <c r="M547" i="7" s="1"/>
  <c r="I491" i="7"/>
  <c r="K491" i="7" s="1"/>
  <c r="L491" i="7" s="1"/>
  <c r="M491" i="7" s="1"/>
  <c r="I363" i="7"/>
  <c r="K363" i="7" s="1"/>
  <c r="L363" i="7" s="1"/>
  <c r="I271" i="7"/>
  <c r="K271" i="7" s="1"/>
  <c r="L271" i="7" s="1"/>
  <c r="M271" i="7" s="1"/>
  <c r="I585" i="7"/>
  <c r="K585" i="7" s="1"/>
  <c r="L585" i="7" s="1"/>
  <c r="I139" i="7"/>
  <c r="K139" i="7" s="1"/>
  <c r="L139" i="7" s="1"/>
  <c r="I755" i="7"/>
  <c r="K755" i="7" s="1"/>
  <c r="L755" i="7" s="1"/>
  <c r="I1451" i="7"/>
  <c r="K1451" i="7" s="1"/>
  <c r="L1451" i="7" s="1"/>
  <c r="I708" i="7"/>
  <c r="K708" i="7" s="1"/>
  <c r="L708" i="7" s="1"/>
  <c r="M708" i="7" s="1"/>
  <c r="I1209" i="7"/>
  <c r="K1209" i="7" s="1"/>
  <c r="L1209" i="7" s="1"/>
  <c r="M1209" i="7" s="1"/>
  <c r="I709" i="7"/>
  <c r="K709" i="7" s="1"/>
  <c r="L709" i="7" s="1"/>
  <c r="I1741" i="7"/>
  <c r="K1741" i="7" s="1"/>
  <c r="L1741" i="7" s="1"/>
  <c r="I1512" i="7"/>
  <c r="K1512" i="7" s="1"/>
  <c r="L1512" i="7" s="1"/>
  <c r="I1425" i="7"/>
  <c r="K1425" i="7" s="1"/>
  <c r="L1425" i="7" s="1"/>
  <c r="I1422" i="7"/>
  <c r="K1422" i="7" s="1"/>
  <c r="L1422" i="7" s="1"/>
  <c r="I1423" i="7"/>
  <c r="K1423" i="7" s="1"/>
  <c r="L1423" i="7" s="1"/>
  <c r="I960" i="7"/>
  <c r="K960" i="7" s="1"/>
  <c r="L960" i="7" s="1"/>
  <c r="I1099" i="7"/>
  <c r="K1099" i="7" s="1"/>
  <c r="L1099" i="7" s="1"/>
  <c r="I99" i="7"/>
  <c r="K99" i="7" s="1"/>
  <c r="L99" i="7" s="1"/>
  <c r="I1438" i="7"/>
  <c r="K1438" i="7" s="1"/>
  <c r="L1438" i="7" s="1"/>
  <c r="I1398" i="7"/>
  <c r="K1398" i="7" s="1"/>
  <c r="L1398" i="7" s="1"/>
  <c r="I1098" i="7"/>
  <c r="K1098" i="7" s="1"/>
  <c r="L1098" i="7" s="1"/>
  <c r="M1098" i="7" s="1"/>
  <c r="N1098" i="7" s="1"/>
  <c r="I998" i="7"/>
  <c r="K998" i="7" s="1"/>
  <c r="L998" i="7" s="1"/>
  <c r="M998" i="7" s="1"/>
  <c r="I958" i="7"/>
  <c r="K958" i="7" s="1"/>
  <c r="L958" i="7" s="1"/>
  <c r="I898" i="7"/>
  <c r="K898" i="7" s="1"/>
  <c r="L898" i="7" s="1"/>
  <c r="I878" i="7"/>
  <c r="K878" i="7" s="1"/>
  <c r="L878" i="7" s="1"/>
  <c r="I858" i="7"/>
  <c r="K858" i="7" s="1"/>
  <c r="L858" i="7" s="1"/>
  <c r="I838" i="7"/>
  <c r="K838" i="7" s="1"/>
  <c r="L838" i="7" s="1"/>
  <c r="I798" i="7"/>
  <c r="K798" i="7" s="1"/>
  <c r="L798" i="7" s="1"/>
  <c r="M798" i="7" s="1"/>
  <c r="I718" i="7"/>
  <c r="K718" i="7" s="1"/>
  <c r="L718" i="7" s="1"/>
  <c r="M718" i="7" s="1"/>
  <c r="I698" i="7"/>
  <c r="K698" i="7" s="1"/>
  <c r="L698" i="7" s="1"/>
  <c r="M698" i="7" s="1"/>
  <c r="I578" i="7"/>
  <c r="K578" i="7" s="1"/>
  <c r="L578" i="7" s="1"/>
  <c r="M578" i="7" s="1"/>
  <c r="I438" i="7"/>
  <c r="K438" i="7" s="1"/>
  <c r="L438" i="7" s="1"/>
  <c r="I318" i="7"/>
  <c r="K318" i="7" s="1"/>
  <c r="L318" i="7" s="1"/>
  <c r="I1812" i="7"/>
  <c r="K1812" i="7" s="1"/>
  <c r="L1812" i="7" s="1"/>
  <c r="I1383" i="7"/>
  <c r="K1383" i="7" s="1"/>
  <c r="L1383" i="7" s="1"/>
  <c r="I1004" i="7"/>
  <c r="K1004" i="7" s="1"/>
  <c r="L1004" i="7" s="1"/>
  <c r="I546" i="7"/>
  <c r="K546" i="7" s="1"/>
  <c r="L546" i="7" s="1"/>
  <c r="I1977" i="7"/>
  <c r="K1977" i="7" s="1"/>
  <c r="L1977" i="7" s="1"/>
  <c r="I1957" i="7"/>
  <c r="K1957" i="7" s="1"/>
  <c r="L1957" i="7" s="1"/>
  <c r="I1917" i="7"/>
  <c r="K1917" i="7" s="1"/>
  <c r="L1917" i="7" s="1"/>
  <c r="I1877" i="7"/>
  <c r="K1877" i="7" s="1"/>
  <c r="L1877" i="7" s="1"/>
  <c r="I1837" i="7"/>
  <c r="K1837" i="7" s="1"/>
  <c r="L1837" i="7" s="1"/>
  <c r="I1817" i="7"/>
  <c r="K1817" i="7" s="1"/>
  <c r="L1817" i="7" s="1"/>
  <c r="I1797" i="7"/>
  <c r="K1797" i="7" s="1"/>
  <c r="L1797" i="7" s="1"/>
  <c r="M1797" i="7" s="1"/>
  <c r="I1757" i="7"/>
  <c r="K1757" i="7" s="1"/>
  <c r="L1757" i="7" s="1"/>
  <c r="I1737" i="7"/>
  <c r="K1737" i="7" s="1"/>
  <c r="L1737" i="7" s="1"/>
  <c r="I1717" i="7"/>
  <c r="K1717" i="7" s="1"/>
  <c r="L1717" i="7" s="1"/>
  <c r="M1717" i="7" s="1"/>
  <c r="I1697" i="7"/>
  <c r="K1697" i="7" s="1"/>
  <c r="L1697" i="7" s="1"/>
  <c r="I1677" i="7"/>
  <c r="K1677" i="7" s="1"/>
  <c r="L1677" i="7" s="1"/>
  <c r="M1677" i="7" s="1"/>
  <c r="I1657" i="7"/>
  <c r="K1657" i="7" s="1"/>
  <c r="L1657" i="7" s="1"/>
  <c r="I1637" i="7"/>
  <c r="K1637" i="7" s="1"/>
  <c r="L1637" i="7" s="1"/>
  <c r="I1617" i="7"/>
  <c r="K1617" i="7" s="1"/>
  <c r="L1617" i="7" s="1"/>
  <c r="I1597" i="7"/>
  <c r="K1597" i="7" s="1"/>
  <c r="L1597" i="7" s="1"/>
  <c r="I1577" i="7"/>
  <c r="K1577" i="7" s="1"/>
  <c r="L1577" i="7" s="1"/>
  <c r="I1557" i="7"/>
  <c r="K1557" i="7" s="1"/>
  <c r="L1557" i="7" s="1"/>
  <c r="I1537" i="7"/>
  <c r="K1537" i="7" s="1"/>
  <c r="L1537" i="7" s="1"/>
  <c r="I1517" i="7"/>
  <c r="K1517" i="7" s="1"/>
  <c r="L1517" i="7" s="1"/>
  <c r="I1497" i="7"/>
  <c r="K1497" i="7" s="1"/>
  <c r="L1497" i="7" s="1"/>
  <c r="I1477" i="7"/>
  <c r="K1477" i="7" s="1"/>
  <c r="L1477" i="7" s="1"/>
  <c r="M1477" i="7" s="1"/>
  <c r="I1437" i="7"/>
  <c r="K1437" i="7" s="1"/>
  <c r="L1437" i="7" s="1"/>
  <c r="M1437" i="7" s="1"/>
  <c r="N1437" i="7" s="1"/>
  <c r="I1397" i="7"/>
  <c r="K1397" i="7" s="1"/>
  <c r="L1397" i="7" s="1"/>
  <c r="M1397" i="7" s="1"/>
  <c r="I1377" i="7"/>
  <c r="K1377" i="7" s="1"/>
  <c r="L1377" i="7" s="1"/>
  <c r="M1377" i="7" s="1"/>
  <c r="I1357" i="7"/>
  <c r="K1357" i="7" s="1"/>
  <c r="L1357" i="7" s="1"/>
  <c r="M1357" i="7" s="1"/>
  <c r="I1337" i="7"/>
  <c r="K1337" i="7" s="1"/>
  <c r="L1337" i="7" s="1"/>
  <c r="M1337" i="7" s="1"/>
  <c r="N1337" i="7" s="1"/>
  <c r="I1317" i="7"/>
  <c r="K1317" i="7" s="1"/>
  <c r="L1317" i="7" s="1"/>
  <c r="M1317" i="7" s="1"/>
  <c r="I1297" i="7"/>
  <c r="K1297" i="7" s="1"/>
  <c r="L1297" i="7" s="1"/>
  <c r="M1297" i="7" s="1"/>
  <c r="I1277" i="7"/>
  <c r="K1277" i="7" s="1"/>
  <c r="L1277" i="7" s="1"/>
  <c r="M1277" i="7" s="1"/>
  <c r="I1257" i="7"/>
  <c r="K1257" i="7" s="1"/>
  <c r="L1257" i="7" s="1"/>
  <c r="M1257" i="7" s="1"/>
  <c r="I1217" i="7"/>
  <c r="K1217" i="7" s="1"/>
  <c r="L1217" i="7" s="1"/>
  <c r="M1217" i="7" s="1"/>
  <c r="N1217" i="7" s="1"/>
  <c r="I1197" i="7"/>
  <c r="K1197" i="7" s="1"/>
  <c r="L1197" i="7" s="1"/>
  <c r="I1177" i="7"/>
  <c r="K1177" i="7" s="1"/>
  <c r="L1177" i="7" s="1"/>
  <c r="M1177" i="7" s="1"/>
  <c r="I1157" i="7"/>
  <c r="K1157" i="7" s="1"/>
  <c r="L1157" i="7" s="1"/>
  <c r="I1137" i="7"/>
  <c r="K1137" i="7" s="1"/>
  <c r="L1137" i="7" s="1"/>
  <c r="I1117" i="7"/>
  <c r="K1117" i="7" s="1"/>
  <c r="L1117" i="7" s="1"/>
  <c r="I1097" i="7"/>
  <c r="K1097" i="7" s="1"/>
  <c r="L1097" i="7" s="1"/>
  <c r="I1077" i="7"/>
  <c r="K1077" i="7" s="1"/>
  <c r="L1077" i="7" s="1"/>
  <c r="I1057" i="7"/>
  <c r="K1057" i="7" s="1"/>
  <c r="L1057" i="7" s="1"/>
  <c r="M1057" i="7" s="1"/>
  <c r="N1057" i="7" s="1"/>
  <c r="I1037" i="7"/>
  <c r="K1037" i="7" s="1"/>
  <c r="L1037" i="7" s="1"/>
  <c r="I1017" i="7"/>
  <c r="K1017" i="7" s="1"/>
  <c r="L1017" i="7" s="1"/>
  <c r="M1017" i="7" s="1"/>
  <c r="I997" i="7"/>
  <c r="K997" i="7" s="1"/>
  <c r="L997" i="7" s="1"/>
  <c r="M997" i="7" s="1"/>
  <c r="I977" i="7"/>
  <c r="K977" i="7" s="1"/>
  <c r="L977" i="7" s="1"/>
  <c r="M977" i="7" s="1"/>
  <c r="I957" i="7"/>
  <c r="K957" i="7" s="1"/>
  <c r="L957" i="7" s="1"/>
  <c r="M957" i="7" s="1"/>
  <c r="I937" i="7"/>
  <c r="K937" i="7" s="1"/>
  <c r="L937" i="7" s="1"/>
  <c r="M937" i="7" s="1"/>
  <c r="N937" i="7" s="1"/>
  <c r="I917" i="7"/>
  <c r="K917" i="7" s="1"/>
  <c r="L917" i="7" s="1"/>
  <c r="M917" i="7" s="1"/>
  <c r="I897" i="7"/>
  <c r="K897" i="7" s="1"/>
  <c r="L897" i="7" s="1"/>
  <c r="M897" i="7" s="1"/>
  <c r="I877" i="7"/>
  <c r="K877" i="7" s="1"/>
  <c r="L877" i="7" s="1"/>
  <c r="M877" i="7" s="1"/>
  <c r="I857" i="7"/>
  <c r="K857" i="7" s="1"/>
  <c r="L857" i="7" s="1"/>
  <c r="M857" i="7" s="1"/>
  <c r="N857" i="7" s="1"/>
  <c r="I837" i="7"/>
  <c r="K837" i="7" s="1"/>
  <c r="L837" i="7" s="1"/>
  <c r="M837" i="7" s="1"/>
  <c r="I817" i="7"/>
  <c r="K817" i="7" s="1"/>
  <c r="L817" i="7" s="1"/>
  <c r="M817" i="7" s="1"/>
  <c r="I797" i="7"/>
  <c r="K797" i="7" s="1"/>
  <c r="L797" i="7" s="1"/>
  <c r="M797" i="7" s="1"/>
  <c r="I777" i="7"/>
  <c r="K777" i="7" s="1"/>
  <c r="L777" i="7" s="1"/>
  <c r="I757" i="7"/>
  <c r="K757" i="7" s="1"/>
  <c r="L757" i="7" s="1"/>
  <c r="I737" i="7"/>
  <c r="K737" i="7" s="1"/>
  <c r="L737" i="7" s="1"/>
  <c r="I717" i="7"/>
  <c r="K717" i="7" s="1"/>
  <c r="L717" i="7" s="1"/>
  <c r="I677" i="7"/>
  <c r="K677" i="7" s="1"/>
  <c r="L677" i="7" s="1"/>
  <c r="I657" i="7"/>
  <c r="K657" i="7" s="1"/>
  <c r="L657" i="7" s="1"/>
  <c r="I617" i="7"/>
  <c r="K617" i="7" s="1"/>
  <c r="L617" i="7" s="1"/>
  <c r="I577" i="7"/>
  <c r="K577" i="7" s="1"/>
  <c r="L577" i="7" s="1"/>
  <c r="I557" i="7"/>
  <c r="K557" i="7" s="1"/>
  <c r="L557" i="7" s="1"/>
  <c r="M557" i="7" s="1"/>
  <c r="N557" i="7" s="1"/>
  <c r="I537" i="7"/>
  <c r="K537" i="7" s="1"/>
  <c r="L537" i="7" s="1"/>
  <c r="I517" i="7"/>
  <c r="K517" i="7" s="1"/>
  <c r="L517" i="7" s="1"/>
  <c r="I497" i="7"/>
  <c r="K497" i="7" s="1"/>
  <c r="L497" i="7" s="1"/>
  <c r="I477" i="7"/>
  <c r="K477" i="7" s="1"/>
  <c r="L477" i="7" s="1"/>
  <c r="I457" i="7"/>
  <c r="K457" i="7" s="1"/>
  <c r="L457" i="7" s="1"/>
  <c r="I417" i="7"/>
  <c r="K417" i="7" s="1"/>
  <c r="L417" i="7" s="1"/>
  <c r="M417" i="7" s="1"/>
  <c r="I397" i="7"/>
  <c r="K397" i="7" s="1"/>
  <c r="L397" i="7" s="1"/>
  <c r="I377" i="7"/>
  <c r="K377" i="7" s="1"/>
  <c r="L377" i="7" s="1"/>
  <c r="M377" i="7" s="1"/>
  <c r="I357" i="7"/>
  <c r="K357" i="7" s="1"/>
  <c r="L357" i="7" s="1"/>
  <c r="M357" i="7" s="1"/>
  <c r="I337" i="7"/>
  <c r="K337" i="7" s="1"/>
  <c r="L337" i="7" s="1"/>
  <c r="I317" i="7"/>
  <c r="K317" i="7" s="1"/>
  <c r="L317" i="7" s="1"/>
  <c r="I277" i="7"/>
  <c r="K277" i="7" s="1"/>
  <c r="L277" i="7" s="1"/>
  <c r="I257" i="7"/>
  <c r="K257" i="7" s="1"/>
  <c r="L257" i="7" s="1"/>
  <c r="I237" i="7"/>
  <c r="K237" i="7" s="1"/>
  <c r="L237" i="7" s="1"/>
  <c r="I197" i="7"/>
  <c r="K197" i="7" s="1"/>
  <c r="L197" i="7" s="1"/>
  <c r="I177" i="7"/>
  <c r="K177" i="7" s="1"/>
  <c r="L177" i="7" s="1"/>
  <c r="I137" i="7"/>
  <c r="K137" i="7" s="1"/>
  <c r="L137" i="7" s="1"/>
  <c r="I117" i="7"/>
  <c r="K117" i="7" s="1"/>
  <c r="L117" i="7" s="1"/>
  <c r="I97" i="7"/>
  <c r="K97" i="7" s="1"/>
  <c r="L97" i="7" s="1"/>
  <c r="M97" i="7" s="1"/>
  <c r="I77" i="7"/>
  <c r="K77" i="7" s="1"/>
  <c r="L77" i="7" s="1"/>
  <c r="I57" i="7"/>
  <c r="K57" i="7" s="1"/>
  <c r="L57" i="7" s="1"/>
  <c r="I37" i="7"/>
  <c r="K37" i="7" s="1"/>
  <c r="L37" i="7" s="1"/>
  <c r="I17" i="7"/>
  <c r="K17" i="7" s="1"/>
  <c r="L17" i="7" s="1"/>
  <c r="I1635" i="7"/>
  <c r="K1635" i="7" s="1"/>
  <c r="L1635" i="7" s="1"/>
  <c r="I1459" i="7"/>
  <c r="K1459" i="7" s="1"/>
  <c r="L1459" i="7" s="1"/>
  <c r="M1459" i="7" s="1"/>
  <c r="I1371" i="7"/>
  <c r="K1371" i="7" s="1"/>
  <c r="L1371" i="7" s="1"/>
  <c r="I1070" i="7"/>
  <c r="K1070" i="7" s="1"/>
  <c r="L1070" i="7" s="1"/>
  <c r="M1070" i="7" s="1"/>
  <c r="I1003" i="7"/>
  <c r="K1003" i="7" s="1"/>
  <c r="L1003" i="7" s="1"/>
  <c r="M1003" i="7" s="1"/>
  <c r="I815" i="7"/>
  <c r="K815" i="7" s="1"/>
  <c r="L815" i="7" s="1"/>
  <c r="M815" i="7" s="1"/>
  <c r="N815" i="7" s="1"/>
  <c r="I754" i="7"/>
  <c r="K754" i="7" s="1"/>
  <c r="L754" i="7" s="1"/>
  <c r="I481" i="7"/>
  <c r="K481" i="7" s="1"/>
  <c r="L481" i="7" s="1"/>
  <c r="I46" i="7"/>
  <c r="K46" i="7" s="1"/>
  <c r="L46" i="7" s="1"/>
  <c r="I43" i="7"/>
  <c r="K43" i="7" s="1"/>
  <c r="L43" i="7" s="1"/>
  <c r="I44" i="7"/>
  <c r="K44" i="7" s="1"/>
  <c r="L44" i="7" s="1"/>
  <c r="M44" i="7" s="1"/>
  <c r="I542" i="7"/>
  <c r="K542" i="7" s="1"/>
  <c r="L542" i="7" s="1"/>
  <c r="I96" i="7"/>
  <c r="K96" i="7" s="1"/>
  <c r="L96" i="7" s="1"/>
  <c r="I634" i="7"/>
  <c r="K634" i="7" s="1"/>
  <c r="L634" i="7" s="1"/>
  <c r="I847" i="7"/>
  <c r="K847" i="7" s="1"/>
  <c r="L847" i="7" s="1"/>
  <c r="I1429" i="7"/>
  <c r="K1429" i="7" s="1"/>
  <c r="L1429" i="7" s="1"/>
  <c r="I69" i="7"/>
  <c r="K69" i="7" s="1"/>
  <c r="L69" i="7" s="1"/>
  <c r="I66" i="7"/>
  <c r="K66" i="7" s="1"/>
  <c r="L66" i="7" s="1"/>
  <c r="I101" i="7"/>
  <c r="K101" i="7" s="1"/>
  <c r="L101" i="7" s="1"/>
  <c r="I391" i="7"/>
  <c r="K391" i="7" s="1"/>
  <c r="L391" i="7" s="1"/>
  <c r="M391" i="7" s="1"/>
  <c r="I98" i="7"/>
  <c r="K98" i="7" s="1"/>
  <c r="L98" i="7" s="1"/>
  <c r="M98" i="7" s="1"/>
  <c r="I1658" i="7"/>
  <c r="K1658" i="7" s="1"/>
  <c r="L1658" i="7" s="1"/>
  <c r="I1318" i="7"/>
  <c r="K1318" i="7" s="1"/>
  <c r="L1318" i="7" s="1"/>
  <c r="M1318" i="7" s="1"/>
  <c r="I1916" i="7"/>
  <c r="K1916" i="7" s="1"/>
  <c r="L1916" i="7" s="1"/>
  <c r="I1856" i="7"/>
  <c r="K1856" i="7" s="1"/>
  <c r="L1856" i="7" s="1"/>
  <c r="M1856" i="7" s="1"/>
  <c r="I1776" i="7"/>
  <c r="K1776" i="7" s="1"/>
  <c r="L1776" i="7" s="1"/>
  <c r="M1776" i="7" s="1"/>
  <c r="I1696" i="7"/>
  <c r="K1696" i="7" s="1"/>
  <c r="L1696" i="7" s="1"/>
  <c r="M1696" i="7" s="1"/>
  <c r="I1616" i="7"/>
  <c r="K1616" i="7" s="1"/>
  <c r="L1616" i="7" s="1"/>
  <c r="I1556" i="7"/>
  <c r="K1556" i="7" s="1"/>
  <c r="L1556" i="7" s="1"/>
  <c r="M1556" i="7" s="1"/>
  <c r="N1556" i="7" s="1"/>
  <c r="I1476" i="7"/>
  <c r="K1476" i="7" s="1"/>
  <c r="L1476" i="7" s="1"/>
  <c r="I1376" i="7"/>
  <c r="K1376" i="7" s="1"/>
  <c r="L1376" i="7" s="1"/>
  <c r="I1296" i="7"/>
  <c r="K1296" i="7" s="1"/>
  <c r="L1296" i="7" s="1"/>
  <c r="I1156" i="7"/>
  <c r="K1156" i="7" s="1"/>
  <c r="L1156" i="7" s="1"/>
  <c r="I1056" i="7"/>
  <c r="K1056" i="7" s="1"/>
  <c r="L1056" i="7" s="1"/>
  <c r="I976" i="7"/>
  <c r="K976" i="7" s="1"/>
  <c r="L976" i="7" s="1"/>
  <c r="I876" i="7"/>
  <c r="K876" i="7" s="1"/>
  <c r="L876" i="7" s="1"/>
  <c r="I796" i="7"/>
  <c r="K796" i="7" s="1"/>
  <c r="L796" i="7" s="1"/>
  <c r="I716" i="7"/>
  <c r="K716" i="7" s="1"/>
  <c r="L716" i="7" s="1"/>
  <c r="I636" i="7"/>
  <c r="K636" i="7" s="1"/>
  <c r="L636" i="7" s="1"/>
  <c r="I516" i="7"/>
  <c r="K516" i="7" s="1"/>
  <c r="L516" i="7" s="1"/>
  <c r="I416" i="7"/>
  <c r="K416" i="7" s="1"/>
  <c r="L416" i="7" s="1"/>
  <c r="M416" i="7" s="1"/>
  <c r="I336" i="7"/>
  <c r="K336" i="7" s="1"/>
  <c r="L336" i="7" s="1"/>
  <c r="M336" i="7" s="1"/>
  <c r="I256" i="7"/>
  <c r="K256" i="7" s="1"/>
  <c r="L256" i="7" s="1"/>
  <c r="I216" i="7"/>
  <c r="K216" i="7" s="1"/>
  <c r="L216" i="7" s="1"/>
  <c r="M216" i="7" s="1"/>
  <c r="I136" i="7"/>
  <c r="K136" i="7" s="1"/>
  <c r="L136" i="7" s="1"/>
  <c r="M136" i="7" s="1"/>
  <c r="I56" i="7"/>
  <c r="K56" i="7" s="1"/>
  <c r="L56" i="7" s="1"/>
  <c r="M56" i="7" s="1"/>
  <c r="I1370" i="7"/>
  <c r="K1370" i="7" s="1"/>
  <c r="L1370" i="7" s="1"/>
  <c r="M1370" i="7" s="1"/>
  <c r="I814" i="7"/>
  <c r="K814" i="7" s="1"/>
  <c r="L814" i="7" s="1"/>
  <c r="M814" i="7" s="1"/>
  <c r="N814" i="7" s="1"/>
  <c r="I1775" i="7"/>
  <c r="K1775" i="7" s="1"/>
  <c r="L1775" i="7" s="1"/>
  <c r="I1755" i="7"/>
  <c r="K1755" i="7" s="1"/>
  <c r="L1755" i="7" s="1"/>
  <c r="I1735" i="7"/>
  <c r="K1735" i="7" s="1"/>
  <c r="L1735" i="7" s="1"/>
  <c r="I1715" i="7"/>
  <c r="K1715" i="7" s="1"/>
  <c r="L1715" i="7" s="1"/>
  <c r="I1695" i="7"/>
  <c r="K1695" i="7" s="1"/>
  <c r="L1695" i="7" s="1"/>
  <c r="I1575" i="7"/>
  <c r="K1575" i="7" s="1"/>
  <c r="L1575" i="7" s="1"/>
  <c r="I1455" i="7"/>
  <c r="K1455" i="7" s="1"/>
  <c r="L1455" i="7" s="1"/>
  <c r="I1395" i="7"/>
  <c r="K1395" i="7" s="1"/>
  <c r="L1395" i="7" s="1"/>
  <c r="I1275" i="7"/>
  <c r="K1275" i="7" s="1"/>
  <c r="L1275" i="7" s="1"/>
  <c r="I1135" i="7"/>
  <c r="K1135" i="7" s="1"/>
  <c r="L1135" i="7" s="1"/>
  <c r="I1115" i="7"/>
  <c r="K1115" i="7" s="1"/>
  <c r="L1115" i="7" s="1"/>
  <c r="I1095" i="7"/>
  <c r="K1095" i="7" s="1"/>
  <c r="L1095" i="7" s="1"/>
  <c r="M1095" i="7" s="1"/>
  <c r="I1035" i="7"/>
  <c r="K1035" i="7" s="1"/>
  <c r="L1035" i="7" s="1"/>
  <c r="M1035" i="7" s="1"/>
  <c r="I895" i="7"/>
  <c r="K895" i="7" s="1"/>
  <c r="L895" i="7" s="1"/>
  <c r="I715" i="7"/>
  <c r="K715" i="7" s="1"/>
  <c r="L715" i="7" s="1"/>
  <c r="I675" i="7"/>
  <c r="K675" i="7" s="1"/>
  <c r="L675" i="7" s="1"/>
  <c r="I535" i="7"/>
  <c r="K535" i="7" s="1"/>
  <c r="L535" i="7" s="1"/>
  <c r="M535" i="7" s="1"/>
  <c r="I475" i="7"/>
  <c r="K475" i="7" s="1"/>
  <c r="L475" i="7" s="1"/>
  <c r="M475" i="7" s="1"/>
  <c r="I355" i="7"/>
  <c r="K355" i="7" s="1"/>
  <c r="L355" i="7" s="1"/>
  <c r="I315" i="7"/>
  <c r="K315" i="7" s="1"/>
  <c r="L315" i="7" s="1"/>
  <c r="M315" i="7" s="1"/>
  <c r="I235" i="7"/>
  <c r="K235" i="7" s="1"/>
  <c r="L235" i="7" s="1"/>
  <c r="M235" i="7" s="1"/>
  <c r="I215" i="7"/>
  <c r="K215" i="7" s="1"/>
  <c r="L215" i="7" s="1"/>
  <c r="I135" i="7"/>
  <c r="K135" i="7" s="1"/>
  <c r="L135" i="7" s="1"/>
  <c r="I95" i="7"/>
  <c r="K95" i="7" s="1"/>
  <c r="L95" i="7" s="1"/>
  <c r="I1632" i="7"/>
  <c r="K1632" i="7" s="1"/>
  <c r="L1632" i="7" s="1"/>
  <c r="I1369" i="7"/>
  <c r="K1369" i="7" s="1"/>
  <c r="L1369" i="7" s="1"/>
  <c r="I1193" i="7"/>
  <c r="K1193" i="7" s="1"/>
  <c r="L1193" i="7" s="1"/>
  <c r="I1067" i="7"/>
  <c r="K1067" i="7" s="1"/>
  <c r="L1067" i="7" s="1"/>
  <c r="I813" i="7"/>
  <c r="K813" i="7" s="1"/>
  <c r="L813" i="7" s="1"/>
  <c r="I743" i="7"/>
  <c r="K743" i="7" s="1"/>
  <c r="L743" i="7" s="1"/>
  <c r="I1791" i="7"/>
  <c r="K1791" i="7" s="1"/>
  <c r="L1791" i="7" s="1"/>
  <c r="I1742" i="7"/>
  <c r="K1742" i="7" s="1"/>
  <c r="L1742" i="7" s="1"/>
  <c r="I49" i="7"/>
  <c r="K49" i="7" s="1"/>
  <c r="L49" i="7" s="1"/>
  <c r="I1428" i="7"/>
  <c r="K1428" i="7" s="1"/>
  <c r="L1428" i="7" s="1"/>
  <c r="I1939" i="7"/>
  <c r="K1939" i="7" s="1"/>
  <c r="L1939" i="7" s="1"/>
  <c r="M1939" i="7" s="1"/>
  <c r="I1510" i="7"/>
  <c r="K1510" i="7" s="1"/>
  <c r="L1510" i="7" s="1"/>
  <c r="M1510" i="7" s="1"/>
  <c r="I1918" i="7"/>
  <c r="K1918" i="7" s="1"/>
  <c r="L1918" i="7" s="1"/>
  <c r="M1918" i="7" s="1"/>
  <c r="I1935" i="7"/>
  <c r="K1935" i="7" s="1"/>
  <c r="L1935" i="7" s="1"/>
  <c r="M1935" i="7" s="1"/>
  <c r="I1836" i="7"/>
  <c r="K1836" i="7" s="1"/>
  <c r="L1836" i="7" s="1"/>
  <c r="M1836" i="7" s="1"/>
  <c r="I1756" i="7"/>
  <c r="K1756" i="7" s="1"/>
  <c r="L1756" i="7" s="1"/>
  <c r="M1756" i="7" s="1"/>
  <c r="N1756" i="7" s="1"/>
  <c r="I1716" i="7"/>
  <c r="K1716" i="7" s="1"/>
  <c r="L1716" i="7" s="1"/>
  <c r="M1716" i="7" s="1"/>
  <c r="I1536" i="7"/>
  <c r="K1536" i="7" s="1"/>
  <c r="L1536" i="7" s="1"/>
  <c r="M1536" i="7" s="1"/>
  <c r="I1456" i="7"/>
  <c r="K1456" i="7" s="1"/>
  <c r="L1456" i="7" s="1"/>
  <c r="I1396" i="7"/>
  <c r="K1396" i="7" s="1"/>
  <c r="L1396" i="7" s="1"/>
  <c r="I1316" i="7"/>
  <c r="K1316" i="7" s="1"/>
  <c r="L1316" i="7" s="1"/>
  <c r="I1216" i="7"/>
  <c r="K1216" i="7" s="1"/>
  <c r="L1216" i="7" s="1"/>
  <c r="I1116" i="7"/>
  <c r="K1116" i="7" s="1"/>
  <c r="L1116" i="7" s="1"/>
  <c r="I1016" i="7"/>
  <c r="K1016" i="7" s="1"/>
  <c r="L1016" i="7" s="1"/>
  <c r="I916" i="7"/>
  <c r="K916" i="7" s="1"/>
  <c r="L916" i="7" s="1"/>
  <c r="I816" i="7"/>
  <c r="K816" i="7" s="1"/>
  <c r="L816" i="7" s="1"/>
  <c r="I736" i="7"/>
  <c r="K736" i="7" s="1"/>
  <c r="L736" i="7" s="1"/>
  <c r="I676" i="7"/>
  <c r="K676" i="7" s="1"/>
  <c r="L676" i="7" s="1"/>
  <c r="I596" i="7"/>
  <c r="K596" i="7" s="1"/>
  <c r="L596" i="7" s="1"/>
  <c r="I536" i="7"/>
  <c r="K536" i="7" s="1"/>
  <c r="L536" i="7" s="1"/>
  <c r="I456" i="7"/>
  <c r="K456" i="7" s="1"/>
  <c r="L456" i="7" s="1"/>
  <c r="M456" i="7" s="1"/>
  <c r="I376" i="7"/>
  <c r="K376" i="7" s="1"/>
  <c r="L376" i="7" s="1"/>
  <c r="I316" i="7"/>
  <c r="K316" i="7" s="1"/>
  <c r="L316" i="7" s="1"/>
  <c r="M316" i="7" s="1"/>
  <c r="I236" i="7"/>
  <c r="K236" i="7" s="1"/>
  <c r="L236" i="7" s="1"/>
  <c r="M236" i="7" s="1"/>
  <c r="I156" i="7"/>
  <c r="K156" i="7" s="1"/>
  <c r="L156" i="7" s="1"/>
  <c r="I36" i="7"/>
  <c r="K36" i="7" s="1"/>
  <c r="L36" i="7" s="1"/>
  <c r="M36" i="7" s="1"/>
  <c r="I1633" i="7"/>
  <c r="K1633" i="7" s="1"/>
  <c r="L1633" i="7" s="1"/>
  <c r="M1633" i="7" s="1"/>
  <c r="I1069" i="7"/>
  <c r="K1069" i="7" s="1"/>
  <c r="L1069" i="7" s="1"/>
  <c r="I1792" i="7"/>
  <c r="K1792" i="7" s="1"/>
  <c r="L1792" i="7" s="1"/>
  <c r="I540" i="7"/>
  <c r="K540" i="7" s="1"/>
  <c r="L540" i="7" s="1"/>
  <c r="M540" i="7" s="1"/>
  <c r="I1814" i="7"/>
  <c r="K1814" i="7" s="1"/>
  <c r="L1814" i="7" s="1"/>
  <c r="I1694" i="7"/>
  <c r="K1694" i="7" s="1"/>
  <c r="L1694" i="7" s="1"/>
  <c r="I1494" i="7"/>
  <c r="K1494" i="7" s="1"/>
  <c r="L1494" i="7" s="1"/>
  <c r="M1494" i="7" s="1"/>
  <c r="N1494" i="7" s="1"/>
  <c r="I1454" i="7"/>
  <c r="K1454" i="7" s="1"/>
  <c r="L1454" i="7" s="1"/>
  <c r="M1454" i="7" s="1"/>
  <c r="I1274" i="7"/>
  <c r="K1274" i="7" s="1"/>
  <c r="L1274" i="7" s="1"/>
  <c r="I1174" i="7"/>
  <c r="K1174" i="7" s="1"/>
  <c r="L1174" i="7" s="1"/>
  <c r="I1094" i="7"/>
  <c r="K1094" i="7" s="1"/>
  <c r="L1094" i="7" s="1"/>
  <c r="I1074" i="7"/>
  <c r="K1074" i="7" s="1"/>
  <c r="L1074" i="7" s="1"/>
  <c r="M1074" i="7" s="1"/>
  <c r="I994" i="7"/>
  <c r="K994" i="7" s="1"/>
  <c r="L994" i="7" s="1"/>
  <c r="M994" i="7" s="1"/>
  <c r="I874" i="7"/>
  <c r="K874" i="7" s="1"/>
  <c r="L874" i="7" s="1"/>
  <c r="M874" i="7" s="1"/>
  <c r="N874" i="7" s="1"/>
  <c r="I794" i="7"/>
  <c r="K794" i="7" s="1"/>
  <c r="L794" i="7" s="1"/>
  <c r="M794" i="7" s="1"/>
  <c r="I774" i="7"/>
  <c r="K774" i="7" s="1"/>
  <c r="L774" i="7" s="1"/>
  <c r="I734" i="7"/>
  <c r="K734" i="7" s="1"/>
  <c r="L734" i="7" s="1"/>
  <c r="M734" i="7" s="1"/>
  <c r="N734" i="7" s="1"/>
  <c r="I714" i="7"/>
  <c r="K714" i="7" s="1"/>
  <c r="L714" i="7" s="1"/>
  <c r="M714" i="7" s="1"/>
  <c r="I674" i="7"/>
  <c r="K674" i="7" s="1"/>
  <c r="L674" i="7" s="1"/>
  <c r="M674" i="7" s="1"/>
  <c r="I554" i="7"/>
  <c r="K554" i="7" s="1"/>
  <c r="L554" i="7" s="1"/>
  <c r="M554" i="7" s="1"/>
  <c r="I534" i="7"/>
  <c r="K534" i="7" s="1"/>
  <c r="L534" i="7" s="1"/>
  <c r="I474" i="7"/>
  <c r="K474" i="7" s="1"/>
  <c r="L474" i="7" s="1"/>
  <c r="I414" i="7"/>
  <c r="K414" i="7" s="1"/>
  <c r="L414" i="7" s="1"/>
  <c r="I314" i="7"/>
  <c r="K314" i="7" s="1"/>
  <c r="L314" i="7" s="1"/>
  <c r="I234" i="7"/>
  <c r="K234" i="7" s="1"/>
  <c r="L234" i="7" s="1"/>
  <c r="I74" i="7"/>
  <c r="K74" i="7" s="1"/>
  <c r="L74" i="7" s="1"/>
  <c r="I1859" i="7"/>
  <c r="K1859" i="7" s="1"/>
  <c r="L1859" i="7" s="1"/>
  <c r="M1859" i="7" s="1"/>
  <c r="I1627" i="7"/>
  <c r="K1627" i="7" s="1"/>
  <c r="L1627" i="7" s="1"/>
  <c r="I1368" i="7"/>
  <c r="K1368" i="7" s="1"/>
  <c r="L1368" i="7" s="1"/>
  <c r="I1061" i="7"/>
  <c r="K1061" i="7" s="1"/>
  <c r="L1061" i="7" s="1"/>
  <c r="M1061" i="7" s="1"/>
  <c r="N1061" i="7" s="1"/>
  <c r="I807" i="7"/>
  <c r="K807" i="7" s="1"/>
  <c r="L807" i="7" s="1"/>
  <c r="M807" i="7" s="1"/>
  <c r="N807" i="7" s="1"/>
  <c r="I803" i="7"/>
  <c r="K803" i="7" s="1"/>
  <c r="L803" i="7" s="1"/>
  <c r="M803" i="7" s="1"/>
  <c r="I639" i="7"/>
  <c r="K639" i="7" s="1"/>
  <c r="L639" i="7" s="1"/>
  <c r="I594" i="7"/>
  <c r="K594" i="7" s="1"/>
  <c r="L594" i="7" s="1"/>
  <c r="M594" i="7" s="1"/>
  <c r="I342" i="7"/>
  <c r="K342" i="7" s="1"/>
  <c r="L342" i="7" s="1"/>
  <c r="M342" i="7" s="1"/>
  <c r="I1513" i="7"/>
  <c r="K1513" i="7" s="1"/>
  <c r="L1513" i="7" s="1"/>
  <c r="M1513" i="7" s="1"/>
  <c r="I102" i="7"/>
  <c r="K102" i="7" s="1"/>
  <c r="L102" i="7" s="1"/>
  <c r="M102" i="7" s="1"/>
  <c r="I969" i="7"/>
  <c r="K969" i="7" s="1"/>
  <c r="L969" i="7" s="1"/>
  <c r="M969" i="7" s="1"/>
  <c r="N969" i="7" s="1"/>
  <c r="I100" i="7"/>
  <c r="K100" i="7" s="1"/>
  <c r="L100" i="7" s="1"/>
  <c r="M100" i="7" s="1"/>
  <c r="I1107" i="7"/>
  <c r="K1107" i="7" s="1"/>
  <c r="L1107" i="7" s="1"/>
  <c r="M1107" i="7" s="1"/>
  <c r="N1107" i="7" s="1"/>
  <c r="I1876" i="7"/>
  <c r="K1876" i="7" s="1"/>
  <c r="L1876" i="7" s="1"/>
  <c r="M1876" i="7" s="1"/>
  <c r="N1876" i="7" s="1"/>
  <c r="I1796" i="7"/>
  <c r="K1796" i="7" s="1"/>
  <c r="L1796" i="7" s="1"/>
  <c r="I1676" i="7"/>
  <c r="K1676" i="7" s="1"/>
  <c r="L1676" i="7" s="1"/>
  <c r="I1576" i="7"/>
  <c r="K1576" i="7" s="1"/>
  <c r="L1576" i="7" s="1"/>
  <c r="I1496" i="7"/>
  <c r="K1496" i="7" s="1"/>
  <c r="L1496" i="7" s="1"/>
  <c r="I1336" i="7"/>
  <c r="K1336" i="7" s="1"/>
  <c r="L1336" i="7" s="1"/>
  <c r="I1276" i="7"/>
  <c r="K1276" i="7" s="1"/>
  <c r="L1276" i="7" s="1"/>
  <c r="I1136" i="7"/>
  <c r="K1136" i="7" s="1"/>
  <c r="L1136" i="7" s="1"/>
  <c r="I1076" i="7"/>
  <c r="K1076" i="7" s="1"/>
  <c r="L1076" i="7" s="1"/>
  <c r="I1036" i="7"/>
  <c r="K1036" i="7" s="1"/>
  <c r="L1036" i="7" s="1"/>
  <c r="I896" i="7"/>
  <c r="K896" i="7" s="1"/>
  <c r="L896" i="7" s="1"/>
  <c r="I836" i="7"/>
  <c r="K836" i="7" s="1"/>
  <c r="L836" i="7" s="1"/>
  <c r="I776" i="7"/>
  <c r="K776" i="7" s="1"/>
  <c r="L776" i="7" s="1"/>
  <c r="M776" i="7" s="1"/>
  <c r="I616" i="7"/>
  <c r="K616" i="7" s="1"/>
  <c r="L616" i="7" s="1"/>
  <c r="M616" i="7" s="1"/>
  <c r="I476" i="7"/>
  <c r="K476" i="7" s="1"/>
  <c r="L476" i="7" s="1"/>
  <c r="I396" i="7"/>
  <c r="K396" i="7" s="1"/>
  <c r="L396" i="7" s="1"/>
  <c r="M396" i="7" s="1"/>
  <c r="I176" i="7"/>
  <c r="K176" i="7" s="1"/>
  <c r="L176" i="7" s="1"/>
  <c r="M176" i="7" s="1"/>
  <c r="I16" i="7"/>
  <c r="K16" i="7" s="1"/>
  <c r="L16" i="7" s="1"/>
  <c r="M16" i="7" s="1"/>
  <c r="N16" i="7" s="1"/>
  <c r="I1955" i="7"/>
  <c r="K1955" i="7" s="1"/>
  <c r="L1955" i="7" s="1"/>
  <c r="M1955" i="7" s="1"/>
  <c r="I1934" i="7"/>
  <c r="K1934" i="7" s="1"/>
  <c r="L1934" i="7" s="1"/>
  <c r="M1934" i="7" s="1"/>
  <c r="I1915" i="7"/>
  <c r="K1915" i="7" s="1"/>
  <c r="L1915" i="7" s="1"/>
  <c r="M1915" i="7" s="1"/>
  <c r="I1835" i="7"/>
  <c r="K1835" i="7" s="1"/>
  <c r="L1835" i="7" s="1"/>
  <c r="I1795" i="7"/>
  <c r="K1795" i="7" s="1"/>
  <c r="L1795" i="7" s="1"/>
  <c r="I1933" i="7"/>
  <c r="K1933" i="7" s="1"/>
  <c r="L1933" i="7" s="1"/>
  <c r="I1894" i="7"/>
  <c r="K1894" i="7" s="1"/>
  <c r="L1894" i="7" s="1"/>
  <c r="I1794" i="7"/>
  <c r="K1794" i="7" s="1"/>
  <c r="L1794" i="7" s="1"/>
  <c r="I1754" i="7"/>
  <c r="K1754" i="7" s="1"/>
  <c r="L1754" i="7" s="1"/>
  <c r="I1574" i="7"/>
  <c r="K1574" i="7" s="1"/>
  <c r="L1574" i="7" s="1"/>
  <c r="M1574" i="7" s="1"/>
  <c r="N1574" i="7" s="1"/>
  <c r="I1394" i="7"/>
  <c r="K1394" i="7" s="1"/>
  <c r="L1394" i="7" s="1"/>
  <c r="M1394" i="7" s="1"/>
  <c r="I1354" i="7"/>
  <c r="K1354" i="7" s="1"/>
  <c r="L1354" i="7" s="1"/>
  <c r="M1354" i="7" s="1"/>
  <c r="N1354" i="7" s="1"/>
  <c r="I1294" i="7"/>
  <c r="K1294" i="7" s="1"/>
  <c r="L1294" i="7" s="1"/>
  <c r="M1294" i="7" s="1"/>
  <c r="I1953" i="7"/>
  <c r="K1953" i="7" s="1"/>
  <c r="L1953" i="7" s="1"/>
  <c r="M1953" i="7" s="1"/>
  <c r="I1929" i="7"/>
  <c r="K1929" i="7" s="1"/>
  <c r="L1929" i="7" s="1"/>
  <c r="I1913" i="7"/>
  <c r="K1913" i="7" s="1"/>
  <c r="L1913" i="7" s="1"/>
  <c r="I1833" i="7"/>
  <c r="K1833" i="7" s="1"/>
  <c r="L1833" i="7" s="1"/>
  <c r="M1833" i="7" s="1"/>
  <c r="I1793" i="7"/>
  <c r="K1793" i="7" s="1"/>
  <c r="L1793" i="7" s="1"/>
  <c r="M1793" i="7" s="1"/>
  <c r="N1793" i="7" s="1"/>
  <c r="I1753" i="7"/>
  <c r="K1753" i="7" s="1"/>
  <c r="L1753" i="7" s="1"/>
  <c r="M1753" i="7" s="1"/>
  <c r="N1753" i="7" s="1"/>
  <c r="I1733" i="7"/>
  <c r="K1733" i="7" s="1"/>
  <c r="L1733" i="7" s="1"/>
  <c r="M1733" i="7" s="1"/>
  <c r="I1713" i="7"/>
  <c r="K1713" i="7" s="1"/>
  <c r="L1713" i="7" s="1"/>
  <c r="I1693" i="7"/>
  <c r="K1693" i="7" s="1"/>
  <c r="L1693" i="7" s="1"/>
  <c r="M1693" i="7" s="1"/>
  <c r="I1653" i="7"/>
  <c r="K1653" i="7" s="1"/>
  <c r="L1653" i="7" s="1"/>
  <c r="I1613" i="7"/>
  <c r="K1613" i="7" s="1"/>
  <c r="L1613" i="7" s="1"/>
  <c r="I1573" i="7"/>
  <c r="K1573" i="7" s="1"/>
  <c r="L1573" i="7" s="1"/>
  <c r="I1493" i="7"/>
  <c r="K1493" i="7" s="1"/>
  <c r="L1493" i="7" s="1"/>
  <c r="I1453" i="7"/>
  <c r="K1453" i="7" s="1"/>
  <c r="L1453" i="7" s="1"/>
  <c r="I1433" i="7"/>
  <c r="K1433" i="7" s="1"/>
  <c r="L1433" i="7" s="1"/>
  <c r="I1393" i="7"/>
  <c r="K1393" i="7" s="1"/>
  <c r="L1393" i="7" s="1"/>
  <c r="I1213" i="7"/>
  <c r="K1213" i="7" s="1"/>
  <c r="L1213" i="7" s="1"/>
  <c r="I1173" i="7"/>
  <c r="K1173" i="7" s="1"/>
  <c r="L1173" i="7" s="1"/>
  <c r="I1073" i="7"/>
  <c r="K1073" i="7" s="1"/>
  <c r="L1073" i="7" s="1"/>
  <c r="I1033" i="7"/>
  <c r="K1033" i="7" s="1"/>
  <c r="L1033" i="7" s="1"/>
  <c r="I973" i="7"/>
  <c r="K973" i="7" s="1"/>
  <c r="L973" i="7" s="1"/>
  <c r="I713" i="7"/>
  <c r="K713" i="7" s="1"/>
  <c r="L713" i="7" s="1"/>
  <c r="M713" i="7" s="1"/>
  <c r="I313" i="7"/>
  <c r="K313" i="7" s="1"/>
  <c r="L313" i="7" s="1"/>
  <c r="M313" i="7" s="1"/>
  <c r="I233" i="7"/>
  <c r="K233" i="7" s="1"/>
  <c r="L233" i="7" s="1"/>
  <c r="M233" i="7" s="1"/>
  <c r="I133" i="7"/>
  <c r="K133" i="7" s="1"/>
  <c r="L133" i="7" s="1"/>
  <c r="I124" i="7"/>
  <c r="K124" i="7" s="1"/>
  <c r="L124" i="7" s="1"/>
  <c r="M124" i="7" s="1"/>
  <c r="I1745" i="7"/>
  <c r="K1745" i="7" s="1"/>
  <c r="L1745" i="7" s="1"/>
  <c r="M1745" i="7" s="1"/>
  <c r="I1625" i="7"/>
  <c r="K1625" i="7" s="1"/>
  <c r="L1625" i="7" s="1"/>
  <c r="I1049" i="7"/>
  <c r="K1049" i="7" s="1"/>
  <c r="L1049" i="7" s="1"/>
  <c r="I859" i="7"/>
  <c r="K859" i="7" s="1"/>
  <c r="L859" i="7" s="1"/>
  <c r="I587" i="7"/>
  <c r="K587" i="7" s="1"/>
  <c r="L587" i="7" s="1"/>
  <c r="M587" i="7" s="1"/>
  <c r="I1788" i="7"/>
  <c r="K1788" i="7" s="1"/>
  <c r="L1788" i="7" s="1"/>
  <c r="I1895" i="7"/>
  <c r="K1895" i="7" s="1"/>
  <c r="L1895" i="7" s="1"/>
  <c r="M1895" i="7" s="1"/>
  <c r="I1236" i="7"/>
  <c r="K1236" i="7" s="1"/>
  <c r="L1236" i="7" s="1"/>
  <c r="M1236" i="7" s="1"/>
  <c r="I1169" i="7"/>
  <c r="K1169" i="7" s="1"/>
  <c r="L1169" i="7" s="1"/>
  <c r="I1163" i="7"/>
  <c r="K1163" i="7" s="1"/>
  <c r="L1163" i="7" s="1"/>
  <c r="I1162" i="7"/>
  <c r="K1162" i="7" s="1"/>
  <c r="L1162" i="7" s="1"/>
  <c r="I1161" i="7"/>
  <c r="K1161" i="7" s="1"/>
  <c r="L1161" i="7" s="1"/>
  <c r="I1164" i="7"/>
  <c r="K1164" i="7" s="1"/>
  <c r="L1164" i="7" s="1"/>
  <c r="M1164" i="7" s="1"/>
  <c r="I309" i="7"/>
  <c r="K309" i="7" s="1"/>
  <c r="L309" i="7" s="1"/>
  <c r="I302" i="7"/>
  <c r="K302" i="7" s="1"/>
  <c r="L302" i="7" s="1"/>
  <c r="I306" i="7"/>
  <c r="K306" i="7" s="1"/>
  <c r="L306" i="7" s="1"/>
  <c r="I959" i="7"/>
  <c r="K959" i="7" s="1"/>
  <c r="L959" i="7" s="1"/>
  <c r="M959" i="7" s="1"/>
  <c r="N959" i="7" s="1"/>
  <c r="I1596" i="7"/>
  <c r="K1596" i="7" s="1"/>
  <c r="L1596" i="7" s="1"/>
  <c r="I1738" i="7"/>
  <c r="K1738" i="7" s="1"/>
  <c r="L1738" i="7" s="1"/>
  <c r="M1738" i="7" s="1"/>
  <c r="I1956" i="7"/>
  <c r="K1956" i="7" s="1"/>
  <c r="L1956" i="7" s="1"/>
  <c r="I1816" i="7"/>
  <c r="K1816" i="7" s="1"/>
  <c r="L1816" i="7" s="1"/>
  <c r="M1816" i="7" s="1"/>
  <c r="I1736" i="7"/>
  <c r="K1736" i="7" s="1"/>
  <c r="L1736" i="7" s="1"/>
  <c r="M1736" i="7" s="1"/>
  <c r="I1656" i="7"/>
  <c r="K1656" i="7" s="1"/>
  <c r="L1656" i="7" s="1"/>
  <c r="I1516" i="7"/>
  <c r="K1516" i="7" s="1"/>
  <c r="L1516" i="7" s="1"/>
  <c r="I1436" i="7"/>
  <c r="K1436" i="7" s="1"/>
  <c r="L1436" i="7" s="1"/>
  <c r="I1356" i="7"/>
  <c r="K1356" i="7" s="1"/>
  <c r="L1356" i="7" s="1"/>
  <c r="I1256" i="7"/>
  <c r="K1256" i="7" s="1"/>
  <c r="L1256" i="7" s="1"/>
  <c r="I1176" i="7"/>
  <c r="K1176" i="7" s="1"/>
  <c r="L1176" i="7" s="1"/>
  <c r="I1096" i="7"/>
  <c r="K1096" i="7" s="1"/>
  <c r="L1096" i="7" s="1"/>
  <c r="I996" i="7"/>
  <c r="K996" i="7" s="1"/>
  <c r="L996" i="7" s="1"/>
  <c r="I936" i="7"/>
  <c r="K936" i="7" s="1"/>
  <c r="L936" i="7" s="1"/>
  <c r="M936" i="7" s="1"/>
  <c r="N936" i="7" s="1"/>
  <c r="I932" i="7"/>
  <c r="K932" i="7" s="1"/>
  <c r="L932" i="7" s="1"/>
  <c r="I856" i="7"/>
  <c r="K856" i="7" s="1"/>
  <c r="L856" i="7" s="1"/>
  <c r="I756" i="7"/>
  <c r="K756" i="7" s="1"/>
  <c r="L756" i="7" s="1"/>
  <c r="I656" i="7"/>
  <c r="K656" i="7" s="1"/>
  <c r="L656" i="7" s="1"/>
  <c r="M656" i="7" s="1"/>
  <c r="I576" i="7"/>
  <c r="K576" i="7" s="1"/>
  <c r="L576" i="7" s="1"/>
  <c r="I496" i="7"/>
  <c r="K496" i="7" s="1"/>
  <c r="L496" i="7" s="1"/>
  <c r="M496" i="7" s="1"/>
  <c r="N496" i="7" s="1"/>
  <c r="I436" i="7"/>
  <c r="K436" i="7" s="1"/>
  <c r="L436" i="7" s="1"/>
  <c r="M436" i="7" s="1"/>
  <c r="I356" i="7"/>
  <c r="K356" i="7" s="1"/>
  <c r="L356" i="7" s="1"/>
  <c r="I276" i="7"/>
  <c r="K276" i="7" s="1"/>
  <c r="L276" i="7" s="1"/>
  <c r="M276" i="7" s="1"/>
  <c r="N276" i="7" s="1"/>
  <c r="I196" i="7"/>
  <c r="K196" i="7" s="1"/>
  <c r="L196" i="7" s="1"/>
  <c r="M196" i="7" s="1"/>
  <c r="I116" i="7"/>
  <c r="K116" i="7" s="1"/>
  <c r="L116" i="7" s="1"/>
  <c r="M116" i="7" s="1"/>
  <c r="I1195" i="7"/>
  <c r="K1195" i="7" s="1"/>
  <c r="L1195" i="7" s="1"/>
  <c r="M1195" i="7" s="1"/>
  <c r="I749" i="7"/>
  <c r="K749" i="7" s="1"/>
  <c r="L749" i="7" s="1"/>
  <c r="I745" i="7"/>
  <c r="K745" i="7" s="1"/>
  <c r="L745" i="7" s="1"/>
  <c r="I746" i="7"/>
  <c r="K746" i="7" s="1"/>
  <c r="L746" i="7" s="1"/>
  <c r="M746" i="7" s="1"/>
  <c r="I1506" i="7"/>
  <c r="K1506" i="7" s="1"/>
  <c r="L1506" i="7" s="1"/>
  <c r="I1952" i="7"/>
  <c r="K1952" i="7" s="1"/>
  <c r="L1952" i="7" s="1"/>
  <c r="I1832" i="7"/>
  <c r="K1832" i="7" s="1"/>
  <c r="L1832" i="7" s="1"/>
  <c r="I1752" i="7"/>
  <c r="K1752" i="7" s="1"/>
  <c r="L1752" i="7" s="1"/>
  <c r="I1732" i="7"/>
  <c r="K1732" i="7" s="1"/>
  <c r="L1732" i="7" s="1"/>
  <c r="I1692" i="7"/>
  <c r="K1692" i="7" s="1"/>
  <c r="L1692" i="7" s="1"/>
  <c r="I1612" i="7"/>
  <c r="K1612" i="7" s="1"/>
  <c r="L1612" i="7" s="1"/>
  <c r="M1612" i="7" s="1"/>
  <c r="N1612" i="7" s="1"/>
  <c r="I1572" i="7"/>
  <c r="K1572" i="7" s="1"/>
  <c r="L1572" i="7" s="1"/>
  <c r="M1572" i="7" s="1"/>
  <c r="I1492" i="7"/>
  <c r="K1492" i="7" s="1"/>
  <c r="L1492" i="7" s="1"/>
  <c r="I1452" i="7"/>
  <c r="K1452" i="7" s="1"/>
  <c r="L1452" i="7" s="1"/>
  <c r="I1432" i="7"/>
  <c r="K1432" i="7" s="1"/>
  <c r="L1432" i="7" s="1"/>
  <c r="I1392" i="7"/>
  <c r="K1392" i="7" s="1"/>
  <c r="L1392" i="7" s="1"/>
  <c r="I1332" i="7"/>
  <c r="K1332" i="7" s="1"/>
  <c r="L1332" i="7" s="1"/>
  <c r="M1332" i="7" s="1"/>
  <c r="I1272" i="7"/>
  <c r="K1272" i="7" s="1"/>
  <c r="L1272" i="7" s="1"/>
  <c r="I1212" i="7"/>
  <c r="K1212" i="7" s="1"/>
  <c r="L1212" i="7" s="1"/>
  <c r="M1212" i="7" s="1"/>
  <c r="I1072" i="7"/>
  <c r="K1072" i="7" s="1"/>
  <c r="L1072" i="7" s="1"/>
  <c r="M1072" i="7" s="1"/>
  <c r="N1072" i="7" s="1"/>
  <c r="I1032" i="7"/>
  <c r="K1032" i="7" s="1"/>
  <c r="L1032" i="7" s="1"/>
  <c r="M1032" i="7" s="1"/>
  <c r="I972" i="7"/>
  <c r="K972" i="7" s="1"/>
  <c r="L972" i="7" s="1"/>
  <c r="M972" i="7" s="1"/>
  <c r="I772" i="7"/>
  <c r="K772" i="7" s="1"/>
  <c r="L772" i="7" s="1"/>
  <c r="I752" i="7"/>
  <c r="K752" i="7" s="1"/>
  <c r="L752" i="7" s="1"/>
  <c r="I712" i="7"/>
  <c r="K712" i="7" s="1"/>
  <c r="L712" i="7" s="1"/>
  <c r="I592" i="7"/>
  <c r="K592" i="7" s="1"/>
  <c r="L592" i="7" s="1"/>
  <c r="I552" i="7"/>
  <c r="K552" i="7" s="1"/>
  <c r="L552" i="7" s="1"/>
  <c r="I392" i="7"/>
  <c r="K392" i="7" s="1"/>
  <c r="L392" i="7" s="1"/>
  <c r="I312" i="7"/>
  <c r="K312" i="7" s="1"/>
  <c r="L312" i="7" s="1"/>
  <c r="I232" i="7"/>
  <c r="K232" i="7" s="1"/>
  <c r="L232" i="7" s="1"/>
  <c r="I212" i="7"/>
  <c r="K212" i="7" s="1"/>
  <c r="L212" i="7" s="1"/>
  <c r="I72" i="7"/>
  <c r="K72" i="7" s="1"/>
  <c r="L72" i="7" s="1"/>
  <c r="I12" i="7"/>
  <c r="K12" i="7" s="1"/>
  <c r="L12" i="7" s="1"/>
  <c r="M12" i="7" s="1"/>
  <c r="I1744" i="7"/>
  <c r="K1744" i="7" s="1"/>
  <c r="L1744" i="7" s="1"/>
  <c r="M1744" i="7" s="1"/>
  <c r="N1744" i="7" s="1"/>
  <c r="I1515" i="7"/>
  <c r="K1515" i="7" s="1"/>
  <c r="L1515" i="7" s="1"/>
  <c r="M1515" i="7" s="1"/>
  <c r="I854" i="7"/>
  <c r="K854" i="7" s="1"/>
  <c r="L854" i="7" s="1"/>
  <c r="M854" i="7" s="1"/>
  <c r="I635" i="7"/>
  <c r="K635" i="7" s="1"/>
  <c r="L635" i="7" s="1"/>
  <c r="M635" i="7" s="1"/>
  <c r="I1893" i="7"/>
  <c r="K1893" i="7" s="1"/>
  <c r="L1893" i="7" s="1"/>
  <c r="M1893" i="7" s="1"/>
  <c r="N1893" i="7" s="1"/>
  <c r="I1581" i="7"/>
  <c r="K1581" i="7" s="1"/>
  <c r="L1581" i="7" s="1"/>
  <c r="M1581" i="7" s="1"/>
  <c r="I1234" i="7"/>
  <c r="K1234" i="7" s="1"/>
  <c r="L1234" i="7" s="1"/>
  <c r="M1234" i="7" s="1"/>
  <c r="I846" i="7"/>
  <c r="K846" i="7" s="1"/>
  <c r="L846" i="7" s="1"/>
  <c r="M846" i="7" s="1"/>
  <c r="N846" i="7" s="1"/>
  <c r="I428" i="7"/>
  <c r="K428" i="7" s="1"/>
  <c r="L428" i="7" s="1"/>
  <c r="M428" i="7" s="1"/>
  <c r="I1875" i="7"/>
  <c r="K1875" i="7" s="1"/>
  <c r="L1875" i="7" s="1"/>
  <c r="M1875" i="7" s="1"/>
  <c r="I1495" i="7"/>
  <c r="K1495" i="7" s="1"/>
  <c r="L1495" i="7" s="1"/>
  <c r="I935" i="7"/>
  <c r="K935" i="7" s="1"/>
  <c r="L935" i="7" s="1"/>
  <c r="I775" i="7"/>
  <c r="K775" i="7" s="1"/>
  <c r="L775" i="7" s="1"/>
  <c r="I615" i="7"/>
  <c r="K615" i="7" s="1"/>
  <c r="L615" i="7" s="1"/>
  <c r="I455" i="7"/>
  <c r="K455" i="7" s="1"/>
  <c r="L455" i="7" s="1"/>
  <c r="I335" i="7"/>
  <c r="K335" i="7" s="1"/>
  <c r="L335" i="7" s="1"/>
  <c r="I15" i="7"/>
  <c r="K15" i="7" s="1"/>
  <c r="L15" i="7" s="1"/>
  <c r="I1366" i="7"/>
  <c r="K1366" i="7" s="1"/>
  <c r="L1366" i="7" s="1"/>
  <c r="I1047" i="7"/>
  <c r="K1047" i="7" s="1"/>
  <c r="L1047" i="7" s="1"/>
  <c r="M1047" i="7" s="1"/>
  <c r="I268" i="7"/>
  <c r="K268" i="7" s="1"/>
  <c r="L268" i="7" s="1"/>
  <c r="M268" i="7" s="1"/>
  <c r="I1914" i="7"/>
  <c r="K1914" i="7" s="1"/>
  <c r="L1914" i="7" s="1"/>
  <c r="I1674" i="7"/>
  <c r="K1674" i="7" s="1"/>
  <c r="L1674" i="7" s="1"/>
  <c r="M1674" i="7" s="1"/>
  <c r="I1534" i="7"/>
  <c r="K1534" i="7" s="1"/>
  <c r="L1534" i="7" s="1"/>
  <c r="M1534" i="7" s="1"/>
  <c r="I1254" i="7"/>
  <c r="K1254" i="7" s="1"/>
  <c r="L1254" i="7" s="1"/>
  <c r="M1254" i="7" s="1"/>
  <c r="I1114" i="7"/>
  <c r="K1114" i="7" s="1"/>
  <c r="L1114" i="7" s="1"/>
  <c r="M1114" i="7" s="1"/>
  <c r="I974" i="7"/>
  <c r="K974" i="7" s="1"/>
  <c r="L974" i="7" s="1"/>
  <c r="M974" i="7" s="1"/>
  <c r="I514" i="7"/>
  <c r="K514" i="7" s="1"/>
  <c r="L514" i="7" s="1"/>
  <c r="I294" i="7"/>
  <c r="K294" i="7" s="1"/>
  <c r="L294" i="7" s="1"/>
  <c r="M294" i="7" s="1"/>
  <c r="N294" i="7" s="1"/>
  <c r="I174" i="7"/>
  <c r="K174" i="7" s="1"/>
  <c r="L174" i="7" s="1"/>
  <c r="I134" i="7"/>
  <c r="K134" i="7" s="1"/>
  <c r="L134" i="7" s="1"/>
  <c r="I34" i="7"/>
  <c r="K34" i="7" s="1"/>
  <c r="L34" i="7" s="1"/>
  <c r="I1887" i="7"/>
  <c r="K1887" i="7" s="1"/>
  <c r="L1887" i="7" s="1"/>
  <c r="I1807" i="7"/>
  <c r="K1807" i="7" s="1"/>
  <c r="L1807" i="7" s="1"/>
  <c r="I1659" i="7"/>
  <c r="K1659" i="7" s="1"/>
  <c r="L1659" i="7" s="1"/>
  <c r="I790" i="7"/>
  <c r="K790" i="7" s="1"/>
  <c r="L790" i="7" s="1"/>
  <c r="I372" i="7"/>
  <c r="K372" i="7" s="1"/>
  <c r="L372" i="7" s="1"/>
  <c r="I93" i="7"/>
  <c r="K93" i="7" s="1"/>
  <c r="L93" i="7" s="1"/>
  <c r="M93" i="7" s="1"/>
  <c r="I1553" i="7"/>
  <c r="K1553" i="7" s="1"/>
  <c r="L1553" i="7" s="1"/>
  <c r="M1553" i="7" s="1"/>
  <c r="I1413" i="7"/>
  <c r="K1413" i="7" s="1"/>
  <c r="L1413" i="7" s="1"/>
  <c r="M1413" i="7" s="1"/>
  <c r="I1313" i="7"/>
  <c r="K1313" i="7" s="1"/>
  <c r="L1313" i="7" s="1"/>
  <c r="M1313" i="7" s="1"/>
  <c r="I1013" i="7"/>
  <c r="K1013" i="7" s="1"/>
  <c r="L1013" i="7" s="1"/>
  <c r="I853" i="7"/>
  <c r="K853" i="7" s="1"/>
  <c r="L853" i="7" s="1"/>
  <c r="I753" i="7"/>
  <c r="K753" i="7" s="1"/>
  <c r="L753" i="7" s="1"/>
  <c r="M753" i="7" s="1"/>
  <c r="I513" i="7"/>
  <c r="K513" i="7" s="1"/>
  <c r="L513" i="7" s="1"/>
  <c r="I413" i="7"/>
  <c r="K413" i="7" s="1"/>
  <c r="L413" i="7" s="1"/>
  <c r="I1805" i="7"/>
  <c r="K1805" i="7" s="1"/>
  <c r="L1805" i="7" s="1"/>
  <c r="M1805" i="7" s="1"/>
  <c r="I1404" i="7"/>
  <c r="K1404" i="7" s="1"/>
  <c r="L1404" i="7" s="1"/>
  <c r="I266" i="7"/>
  <c r="K266" i="7" s="1"/>
  <c r="L266" i="7" s="1"/>
  <c r="I1872" i="7"/>
  <c r="K1872" i="7" s="1"/>
  <c r="L1872" i="7" s="1"/>
  <c r="I1532" i="7"/>
  <c r="K1532" i="7" s="1"/>
  <c r="L1532" i="7" s="1"/>
  <c r="I1152" i="7"/>
  <c r="K1152" i="7" s="1"/>
  <c r="L1152" i="7" s="1"/>
  <c r="I832" i="7"/>
  <c r="K832" i="7" s="1"/>
  <c r="L832" i="7" s="1"/>
  <c r="I472" i="7"/>
  <c r="K472" i="7" s="1"/>
  <c r="L472" i="7" s="1"/>
  <c r="I332" i="7"/>
  <c r="K332" i="7" s="1"/>
  <c r="L332" i="7" s="1"/>
  <c r="I152" i="7"/>
  <c r="K152" i="7" s="1"/>
  <c r="L152" i="7" s="1"/>
  <c r="M152" i="7" s="1"/>
  <c r="I1724" i="7"/>
  <c r="K1724" i="7" s="1"/>
  <c r="L1724" i="7" s="1"/>
  <c r="I991" i="7"/>
  <c r="K991" i="7" s="1"/>
  <c r="L991" i="7" s="1"/>
  <c r="M991" i="7" s="1"/>
  <c r="I679" i="7"/>
  <c r="K679" i="7" s="1"/>
  <c r="L679" i="7" s="1"/>
  <c r="I1971" i="7"/>
  <c r="K1971" i="7" s="1"/>
  <c r="L1971" i="7" s="1"/>
  <c r="I1871" i="7"/>
  <c r="K1871" i="7" s="1"/>
  <c r="L1871" i="7" s="1"/>
  <c r="I1711" i="7"/>
  <c r="K1711" i="7" s="1"/>
  <c r="L1711" i="7" s="1"/>
  <c r="M1711" i="7" s="1"/>
  <c r="I1631" i="7"/>
  <c r="K1631" i="7" s="1"/>
  <c r="L1631" i="7" s="1"/>
  <c r="M1631" i="7" s="1"/>
  <c r="I1291" i="7"/>
  <c r="K1291" i="7" s="1"/>
  <c r="L1291" i="7" s="1"/>
  <c r="I1251" i="7"/>
  <c r="K1251" i="7" s="1"/>
  <c r="L1251" i="7" s="1"/>
  <c r="M1251" i="7" s="1"/>
  <c r="I1051" i="7"/>
  <c r="K1051" i="7" s="1"/>
  <c r="L1051" i="7" s="1"/>
  <c r="M1051" i="7" s="1"/>
  <c r="I931" i="7"/>
  <c r="K931" i="7" s="1"/>
  <c r="L931" i="7" s="1"/>
  <c r="M931" i="7" s="1"/>
  <c r="I871" i="7"/>
  <c r="K871" i="7" s="1"/>
  <c r="L871" i="7" s="1"/>
  <c r="I851" i="7"/>
  <c r="K851" i="7" s="1"/>
  <c r="L851" i="7" s="1"/>
  <c r="I831" i="7"/>
  <c r="K831" i="7" s="1"/>
  <c r="L831" i="7" s="1"/>
  <c r="I811" i="7"/>
  <c r="K811" i="7" s="1"/>
  <c r="L811" i="7" s="1"/>
  <c r="I771" i="7"/>
  <c r="K771" i="7" s="1"/>
  <c r="L771" i="7" s="1"/>
  <c r="I731" i="7"/>
  <c r="K731" i="7" s="1"/>
  <c r="L731" i="7" s="1"/>
  <c r="I691" i="7"/>
  <c r="K691" i="7" s="1"/>
  <c r="L691" i="7" s="1"/>
  <c r="I671" i="7"/>
  <c r="K671" i="7" s="1"/>
  <c r="L671" i="7" s="1"/>
  <c r="I651" i="7"/>
  <c r="K651" i="7" s="1"/>
  <c r="L651" i="7" s="1"/>
  <c r="I611" i="7"/>
  <c r="K611" i="7" s="1"/>
  <c r="L611" i="7" s="1"/>
  <c r="I591" i="7"/>
  <c r="K591" i="7" s="1"/>
  <c r="L591" i="7" s="1"/>
  <c r="M591" i="7" s="1"/>
  <c r="I571" i="7"/>
  <c r="K571" i="7" s="1"/>
  <c r="L571" i="7" s="1"/>
  <c r="I531" i="7"/>
  <c r="K531" i="7" s="1"/>
  <c r="L531" i="7" s="1"/>
  <c r="I511" i="7"/>
  <c r="K511" i="7" s="1"/>
  <c r="L511" i="7" s="1"/>
  <c r="M511" i="7" s="1"/>
  <c r="I471" i="7"/>
  <c r="K471" i="7" s="1"/>
  <c r="L471" i="7" s="1"/>
  <c r="M471" i="7" s="1"/>
  <c r="I451" i="7"/>
  <c r="K451" i="7" s="1"/>
  <c r="L451" i="7" s="1"/>
  <c r="M451" i="7" s="1"/>
  <c r="N451" i="7" s="1"/>
  <c r="I431" i="7"/>
  <c r="K431" i="7" s="1"/>
  <c r="L431" i="7" s="1"/>
  <c r="M431" i="7" s="1"/>
  <c r="N431" i="7" s="1"/>
  <c r="I411" i="7"/>
  <c r="K411" i="7" s="1"/>
  <c r="L411" i="7" s="1"/>
  <c r="M411" i="7" s="1"/>
  <c r="I331" i="7"/>
  <c r="K331" i="7" s="1"/>
  <c r="L331" i="7" s="1"/>
  <c r="M331" i="7" s="1"/>
  <c r="I291" i="7"/>
  <c r="K291" i="7" s="1"/>
  <c r="L291" i="7" s="1"/>
  <c r="M291" i="7" s="1"/>
  <c r="I251" i="7"/>
  <c r="K251" i="7" s="1"/>
  <c r="L251" i="7" s="1"/>
  <c r="I191" i="7"/>
  <c r="K191" i="7" s="1"/>
  <c r="L191" i="7" s="1"/>
  <c r="M191" i="7" s="1"/>
  <c r="I171" i="7"/>
  <c r="K171" i="7" s="1"/>
  <c r="L171" i="7" s="1"/>
  <c r="I131" i="7"/>
  <c r="K131" i="7" s="1"/>
  <c r="L131" i="7" s="1"/>
  <c r="I111" i="7"/>
  <c r="K111" i="7" s="1"/>
  <c r="L111" i="7" s="1"/>
  <c r="I91" i="7"/>
  <c r="K91" i="7" s="1"/>
  <c r="L91" i="7" s="1"/>
  <c r="I31" i="7"/>
  <c r="K31" i="7" s="1"/>
  <c r="L31" i="7" s="1"/>
  <c r="I1803" i="7"/>
  <c r="K1803" i="7" s="1"/>
  <c r="L1803" i="7" s="1"/>
  <c r="I1764" i="7"/>
  <c r="K1764" i="7" s="1"/>
  <c r="L1764" i="7" s="1"/>
  <c r="I1723" i="7"/>
  <c r="K1723" i="7" s="1"/>
  <c r="L1723" i="7" s="1"/>
  <c r="I1361" i="7"/>
  <c r="K1361" i="7" s="1"/>
  <c r="L1361" i="7" s="1"/>
  <c r="M1361" i="7" s="1"/>
  <c r="N1361" i="7" s="1"/>
  <c r="I1306" i="7"/>
  <c r="K1306" i="7" s="1"/>
  <c r="L1306" i="7" s="1"/>
  <c r="I930" i="7"/>
  <c r="K930" i="7" s="1"/>
  <c r="L930" i="7" s="1"/>
  <c r="I841" i="7"/>
  <c r="K841" i="7" s="1"/>
  <c r="L841" i="7" s="1"/>
  <c r="M841" i="7" s="1"/>
  <c r="I783" i="7"/>
  <c r="K783" i="7" s="1"/>
  <c r="L783" i="7" s="1"/>
  <c r="I628" i="7"/>
  <c r="K628" i="7" s="1"/>
  <c r="L628" i="7" s="1"/>
  <c r="M628" i="7" s="1"/>
  <c r="I523" i="7"/>
  <c r="K523" i="7" s="1"/>
  <c r="L523" i="7" s="1"/>
  <c r="M523" i="7" s="1"/>
  <c r="I261" i="7"/>
  <c r="K261" i="7" s="1"/>
  <c r="L261" i="7" s="1"/>
  <c r="I188" i="7"/>
  <c r="K188" i="7" s="1"/>
  <c r="L188" i="7" s="1"/>
  <c r="M188" i="7" s="1"/>
  <c r="I1988" i="7"/>
  <c r="K1988" i="7" s="1"/>
  <c r="L1988" i="7" s="1"/>
  <c r="I626" i="7"/>
  <c r="K626" i="7" s="1"/>
  <c r="L626" i="7" s="1"/>
  <c r="M626" i="7" s="1"/>
  <c r="I1530" i="7"/>
  <c r="K1530" i="7" s="1"/>
  <c r="L1530" i="7" s="1"/>
  <c r="M1530" i="7" s="1"/>
  <c r="N1530" i="7" s="1"/>
  <c r="I1470" i="7"/>
  <c r="K1470" i="7" s="1"/>
  <c r="L1470" i="7" s="1"/>
  <c r="I1410" i="7"/>
  <c r="K1410" i="7" s="1"/>
  <c r="L1410" i="7" s="1"/>
  <c r="I1350" i="7"/>
  <c r="K1350" i="7" s="1"/>
  <c r="L1350" i="7" s="1"/>
  <c r="I1230" i="7"/>
  <c r="K1230" i="7" s="1"/>
  <c r="L1230" i="7" s="1"/>
  <c r="I1190" i="7"/>
  <c r="K1190" i="7" s="1"/>
  <c r="L1190" i="7" s="1"/>
  <c r="I1090" i="7"/>
  <c r="K1090" i="7" s="1"/>
  <c r="L1090" i="7" s="1"/>
  <c r="I1050" i="7"/>
  <c r="K1050" i="7" s="1"/>
  <c r="L1050" i="7" s="1"/>
  <c r="I990" i="7"/>
  <c r="K990" i="7" s="1"/>
  <c r="L990" i="7" s="1"/>
  <c r="I910" i="7"/>
  <c r="K910" i="7" s="1"/>
  <c r="L910" i="7" s="1"/>
  <c r="I870" i="7"/>
  <c r="K870" i="7" s="1"/>
  <c r="L870" i="7" s="1"/>
  <c r="I730" i="7"/>
  <c r="K730" i="7" s="1"/>
  <c r="L730" i="7" s="1"/>
  <c r="I690" i="7"/>
  <c r="K690" i="7" s="1"/>
  <c r="L690" i="7" s="1"/>
  <c r="I610" i="7"/>
  <c r="K610" i="7" s="1"/>
  <c r="L610" i="7" s="1"/>
  <c r="I570" i="7"/>
  <c r="K570" i="7" s="1"/>
  <c r="L570" i="7" s="1"/>
  <c r="M570" i="7" s="1"/>
  <c r="I210" i="7"/>
  <c r="K210" i="7" s="1"/>
  <c r="L210" i="7" s="1"/>
  <c r="M210" i="7" s="1"/>
  <c r="I1802" i="7"/>
  <c r="K1802" i="7" s="1"/>
  <c r="L1802" i="7" s="1"/>
  <c r="I1722" i="7"/>
  <c r="K1722" i="7" s="1"/>
  <c r="L1722" i="7" s="1"/>
  <c r="I1450" i="7"/>
  <c r="K1450" i="7" s="1"/>
  <c r="L1450" i="7" s="1"/>
  <c r="M1450" i="7" s="1"/>
  <c r="I1305" i="7"/>
  <c r="K1305" i="7" s="1"/>
  <c r="L1305" i="7" s="1"/>
  <c r="M1305" i="7" s="1"/>
  <c r="I1266" i="7"/>
  <c r="K1266" i="7" s="1"/>
  <c r="L1266" i="7" s="1"/>
  <c r="M1266" i="7" s="1"/>
  <c r="N1266" i="7" s="1"/>
  <c r="I1130" i="7"/>
  <c r="K1130" i="7" s="1"/>
  <c r="L1130" i="7" s="1"/>
  <c r="I982" i="7"/>
  <c r="K982" i="7" s="1"/>
  <c r="L982" i="7" s="1"/>
  <c r="I928" i="7"/>
  <c r="K928" i="7" s="1"/>
  <c r="L928" i="7" s="1"/>
  <c r="I888" i="7"/>
  <c r="K888" i="7" s="1"/>
  <c r="L888" i="7" s="1"/>
  <c r="I781" i="7"/>
  <c r="K781" i="7" s="1"/>
  <c r="L781" i="7" s="1"/>
  <c r="I562" i="7"/>
  <c r="K562" i="7" s="1"/>
  <c r="L562" i="7" s="1"/>
  <c r="I522" i="7"/>
  <c r="K522" i="7" s="1"/>
  <c r="L522" i="7" s="1"/>
  <c r="M522" i="7" s="1"/>
  <c r="I470" i="7"/>
  <c r="K470" i="7" s="1"/>
  <c r="L470" i="7" s="1"/>
  <c r="I365" i="7"/>
  <c r="K365" i="7" s="1"/>
  <c r="L365" i="7" s="1"/>
  <c r="I245" i="7"/>
  <c r="K245" i="7" s="1"/>
  <c r="L245" i="7" s="1"/>
  <c r="I187" i="7"/>
  <c r="K187" i="7" s="1"/>
  <c r="L187" i="7" s="1"/>
  <c r="M187" i="7" s="1"/>
  <c r="N187" i="7" s="1"/>
  <c r="I70" i="7"/>
  <c r="K70" i="7" s="1"/>
  <c r="L70" i="7" s="1"/>
  <c r="M70" i="7" s="1"/>
  <c r="I625" i="7"/>
  <c r="K625" i="7" s="1"/>
  <c r="L625" i="7" s="1"/>
  <c r="I364" i="7"/>
  <c r="K364" i="7" s="1"/>
  <c r="L364" i="7" s="1"/>
  <c r="M364" i="7" s="1"/>
  <c r="I76" i="7"/>
  <c r="K76" i="7" s="1"/>
  <c r="L76" i="7" s="1"/>
  <c r="I1923" i="7"/>
  <c r="K1923" i="7" s="1"/>
  <c r="L1923" i="7" s="1"/>
  <c r="M1923" i="7" s="1"/>
  <c r="N1923" i="7" s="1"/>
  <c r="I1624" i="7"/>
  <c r="K1624" i="7" s="1"/>
  <c r="L1624" i="7" s="1"/>
  <c r="M1624" i="7" s="1"/>
  <c r="N1624" i="7" s="1"/>
  <c r="I1184" i="7"/>
  <c r="K1184" i="7" s="1"/>
  <c r="L1184" i="7" s="1"/>
  <c r="M1184" i="7" s="1"/>
  <c r="N1184" i="7" s="1"/>
  <c r="I1002" i="7"/>
  <c r="K1002" i="7" s="1"/>
  <c r="L1002" i="7" s="1"/>
  <c r="M1002" i="7" s="1"/>
  <c r="I1595" i="7"/>
  <c r="K1595" i="7" s="1"/>
  <c r="L1595" i="7" s="1"/>
  <c r="I1295" i="7"/>
  <c r="K1295" i="7" s="1"/>
  <c r="L1295" i="7" s="1"/>
  <c r="I955" i="7"/>
  <c r="K955" i="7" s="1"/>
  <c r="L955" i="7" s="1"/>
  <c r="I795" i="7"/>
  <c r="K795" i="7" s="1"/>
  <c r="L795" i="7" s="1"/>
  <c r="I655" i="7"/>
  <c r="K655" i="7" s="1"/>
  <c r="L655" i="7" s="1"/>
  <c r="I495" i="7"/>
  <c r="K495" i="7" s="1"/>
  <c r="L495" i="7" s="1"/>
  <c r="I195" i="7"/>
  <c r="K195" i="7" s="1"/>
  <c r="L195" i="7" s="1"/>
  <c r="M195" i="7" s="1"/>
  <c r="I35" i="7"/>
  <c r="K35" i="7" s="1"/>
  <c r="L35" i="7" s="1"/>
  <c r="M35" i="7" s="1"/>
  <c r="I1102" i="7"/>
  <c r="K1102" i="7" s="1"/>
  <c r="L1102" i="7" s="1"/>
  <c r="I742" i="7"/>
  <c r="K742" i="7" s="1"/>
  <c r="L742" i="7" s="1"/>
  <c r="M742" i="7" s="1"/>
  <c r="I1734" i="7"/>
  <c r="K1734" i="7" s="1"/>
  <c r="L1734" i="7" s="1"/>
  <c r="I1374" i="7"/>
  <c r="K1374" i="7" s="1"/>
  <c r="L1374" i="7" s="1"/>
  <c r="I1214" i="7"/>
  <c r="K1214" i="7" s="1"/>
  <c r="L1214" i="7" s="1"/>
  <c r="M1214" i="7" s="1"/>
  <c r="I1014" i="7"/>
  <c r="K1014" i="7" s="1"/>
  <c r="L1014" i="7" s="1"/>
  <c r="I834" i="7"/>
  <c r="K834" i="7" s="1"/>
  <c r="L834" i="7" s="1"/>
  <c r="M834" i="7" s="1"/>
  <c r="N834" i="7" s="1"/>
  <c r="I654" i="7"/>
  <c r="K654" i="7" s="1"/>
  <c r="L654" i="7" s="1"/>
  <c r="M654" i="7" s="1"/>
  <c r="I254" i="7"/>
  <c r="K254" i="7" s="1"/>
  <c r="L254" i="7" s="1"/>
  <c r="M254" i="7" s="1"/>
  <c r="I114" i="7"/>
  <c r="K114" i="7" s="1"/>
  <c r="L114" i="7" s="1"/>
  <c r="M114" i="7" s="1"/>
  <c r="I1921" i="7"/>
  <c r="K1921" i="7" s="1"/>
  <c r="L1921" i="7" s="1"/>
  <c r="M1921" i="7" s="1"/>
  <c r="I1405" i="7"/>
  <c r="K1405" i="7" s="1"/>
  <c r="L1405" i="7" s="1"/>
  <c r="I1101" i="7"/>
  <c r="K1101" i="7" s="1"/>
  <c r="L1101" i="7" s="1"/>
  <c r="I844" i="7"/>
  <c r="K844" i="7" s="1"/>
  <c r="L844" i="7" s="1"/>
  <c r="I21" i="7"/>
  <c r="K21" i="7" s="1"/>
  <c r="L21" i="7" s="1"/>
  <c r="I1873" i="7"/>
  <c r="K1873" i="7" s="1"/>
  <c r="L1873" i="7" s="1"/>
  <c r="I1673" i="7"/>
  <c r="K1673" i="7" s="1"/>
  <c r="L1673" i="7" s="1"/>
  <c r="I1533" i="7"/>
  <c r="K1533" i="7" s="1"/>
  <c r="L1533" i="7" s="1"/>
  <c r="M1533" i="7" s="1"/>
  <c r="I1353" i="7"/>
  <c r="K1353" i="7" s="1"/>
  <c r="L1353" i="7" s="1"/>
  <c r="I1153" i="7"/>
  <c r="K1153" i="7" s="1"/>
  <c r="L1153" i="7" s="1"/>
  <c r="M1153" i="7" s="1"/>
  <c r="I993" i="7"/>
  <c r="K993" i="7" s="1"/>
  <c r="L993" i="7" s="1"/>
  <c r="I833" i="7"/>
  <c r="K833" i="7" s="1"/>
  <c r="L833" i="7" s="1"/>
  <c r="M833" i="7" s="1"/>
  <c r="I693" i="7"/>
  <c r="K693" i="7" s="1"/>
  <c r="L693" i="7" s="1"/>
  <c r="I573" i="7"/>
  <c r="K573" i="7" s="1"/>
  <c r="L573" i="7" s="1"/>
  <c r="M573" i="7" s="1"/>
  <c r="I433" i="7"/>
  <c r="K433" i="7" s="1"/>
  <c r="L433" i="7" s="1"/>
  <c r="M433" i="7" s="1"/>
  <c r="I293" i="7"/>
  <c r="K293" i="7" s="1"/>
  <c r="L293" i="7" s="1"/>
  <c r="I113" i="7"/>
  <c r="K113" i="7" s="1"/>
  <c r="L113" i="7" s="1"/>
  <c r="M113" i="7" s="1"/>
  <c r="I1885" i="7"/>
  <c r="K1885" i="7" s="1"/>
  <c r="L1885" i="7" s="1"/>
  <c r="M1885" i="7" s="1"/>
  <c r="I786" i="7"/>
  <c r="K786" i="7" s="1"/>
  <c r="L786" i="7" s="1"/>
  <c r="M786" i="7" s="1"/>
  <c r="I371" i="7"/>
  <c r="K371" i="7" s="1"/>
  <c r="L371" i="7" s="1"/>
  <c r="M371" i="7" s="1"/>
  <c r="I1932" i="7"/>
  <c r="K1932" i="7" s="1"/>
  <c r="L1932" i="7" s="1"/>
  <c r="M1932" i="7" s="1"/>
  <c r="I1472" i="7"/>
  <c r="K1472" i="7" s="1"/>
  <c r="L1472" i="7" s="1"/>
  <c r="M1472" i="7" s="1"/>
  <c r="I1292" i="7"/>
  <c r="K1292" i="7" s="1"/>
  <c r="L1292" i="7" s="1"/>
  <c r="M1292" i="7" s="1"/>
  <c r="I1012" i="7"/>
  <c r="K1012" i="7" s="1"/>
  <c r="L1012" i="7" s="1"/>
  <c r="M1012" i="7" s="1"/>
  <c r="I872" i="7"/>
  <c r="K872" i="7" s="1"/>
  <c r="L872" i="7" s="1"/>
  <c r="I572" i="7"/>
  <c r="K572" i="7" s="1"/>
  <c r="L572" i="7" s="1"/>
  <c r="I432" i="7"/>
  <c r="K432" i="7" s="1"/>
  <c r="L432" i="7" s="1"/>
  <c r="I112" i="7"/>
  <c r="K112" i="7" s="1"/>
  <c r="L112" i="7" s="1"/>
  <c r="M112" i="7" s="1"/>
  <c r="I1884" i="7"/>
  <c r="K1884" i="7" s="1"/>
  <c r="L1884" i="7" s="1"/>
  <c r="I1228" i="7"/>
  <c r="K1228" i="7" s="1"/>
  <c r="L1228" i="7" s="1"/>
  <c r="I939" i="7"/>
  <c r="K939" i="7" s="1"/>
  <c r="L939" i="7" s="1"/>
  <c r="M939" i="7" s="1"/>
  <c r="I629" i="7"/>
  <c r="K629" i="7" s="1"/>
  <c r="L629" i="7" s="1"/>
  <c r="I189" i="7"/>
  <c r="K189" i="7" s="1"/>
  <c r="L189" i="7" s="1"/>
  <c r="I1911" i="7"/>
  <c r="K1911" i="7" s="1"/>
  <c r="L1911" i="7" s="1"/>
  <c r="I1691" i="7"/>
  <c r="K1691" i="7" s="1"/>
  <c r="L1691" i="7" s="1"/>
  <c r="M1691" i="7" s="1"/>
  <c r="I1511" i="7"/>
  <c r="K1511" i="7" s="1"/>
  <c r="L1511" i="7" s="1"/>
  <c r="I1331" i="7"/>
  <c r="K1331" i="7" s="1"/>
  <c r="L1331" i="7" s="1"/>
  <c r="I1949" i="7"/>
  <c r="K1949" i="7" s="1"/>
  <c r="L1949" i="7" s="1"/>
  <c r="I1829" i="7"/>
  <c r="K1829" i="7" s="1"/>
  <c r="L1829" i="7" s="1"/>
  <c r="I1669" i="7"/>
  <c r="K1669" i="7" s="1"/>
  <c r="L1669" i="7" s="1"/>
  <c r="M1669" i="7" s="1"/>
  <c r="N1669" i="7" s="1"/>
  <c r="I1549" i="7"/>
  <c r="K1549" i="7" s="1"/>
  <c r="L1549" i="7" s="1"/>
  <c r="M1549" i="7" s="1"/>
  <c r="I1409" i="7"/>
  <c r="K1409" i="7" s="1"/>
  <c r="L1409" i="7" s="1"/>
  <c r="M1409" i="7" s="1"/>
  <c r="I1189" i="7"/>
  <c r="K1189" i="7" s="1"/>
  <c r="L1189" i="7" s="1"/>
  <c r="M1189" i="7" s="1"/>
  <c r="I1009" i="7"/>
  <c r="K1009" i="7" s="1"/>
  <c r="L1009" i="7" s="1"/>
  <c r="I829" i="7"/>
  <c r="K829" i="7" s="1"/>
  <c r="L829" i="7" s="1"/>
  <c r="I649" i="7"/>
  <c r="K649" i="7" s="1"/>
  <c r="L649" i="7" s="1"/>
  <c r="I489" i="7"/>
  <c r="K489" i="7" s="1"/>
  <c r="L489" i="7" s="1"/>
  <c r="I349" i="7"/>
  <c r="K349" i="7" s="1"/>
  <c r="L349" i="7" s="1"/>
  <c r="I209" i="7"/>
  <c r="K209" i="7" s="1"/>
  <c r="L209" i="7" s="1"/>
  <c r="I89" i="7"/>
  <c r="K89" i="7" s="1"/>
  <c r="L89" i="7" s="1"/>
  <c r="I1687" i="7"/>
  <c r="K1687" i="7" s="1"/>
  <c r="L1687" i="7" s="1"/>
  <c r="I1447" i="7"/>
  <c r="K1447" i="7" s="1"/>
  <c r="L1447" i="7" s="1"/>
  <c r="M1447" i="7" s="1"/>
  <c r="N1447" i="7" s="1"/>
  <c r="I1170" i="7"/>
  <c r="K1170" i="7" s="1"/>
  <c r="L1170" i="7" s="1"/>
  <c r="M1170" i="7" s="1"/>
  <c r="I886" i="7"/>
  <c r="K886" i="7" s="1"/>
  <c r="L886" i="7" s="1"/>
  <c r="M886" i="7" s="1"/>
  <c r="I1968" i="7"/>
  <c r="K1968" i="7" s="1"/>
  <c r="L1968" i="7" s="1"/>
  <c r="I1468" i="7"/>
  <c r="K1468" i="7" s="1"/>
  <c r="L1468" i="7" s="1"/>
  <c r="I1685" i="7"/>
  <c r="K1685" i="7" s="1"/>
  <c r="L1685" i="7" s="1"/>
  <c r="I926" i="7"/>
  <c r="K926" i="7" s="1"/>
  <c r="L926" i="7" s="1"/>
  <c r="M926" i="7" s="1"/>
  <c r="I779" i="7"/>
  <c r="K779" i="7" s="1"/>
  <c r="L779" i="7" s="1"/>
  <c r="M779" i="7" s="1"/>
  <c r="I519" i="7"/>
  <c r="K519" i="7" s="1"/>
  <c r="L519" i="7" s="1"/>
  <c r="M519" i="7" s="1"/>
  <c r="N519" i="7" s="1"/>
  <c r="I362" i="7"/>
  <c r="K362" i="7" s="1"/>
  <c r="L362" i="7" s="1"/>
  <c r="M362" i="7" s="1"/>
  <c r="I243" i="7"/>
  <c r="K243" i="7" s="1"/>
  <c r="L243" i="7" s="1"/>
  <c r="I185" i="7"/>
  <c r="K185" i="7" s="1"/>
  <c r="L185" i="7" s="1"/>
  <c r="M185" i="7" s="1"/>
  <c r="I68" i="7"/>
  <c r="K68" i="7" s="1"/>
  <c r="L68" i="7" s="1"/>
  <c r="I1985" i="7"/>
  <c r="K1985" i="7" s="1"/>
  <c r="L1985" i="7" s="1"/>
  <c r="M1985" i="7" s="1"/>
  <c r="I1649" i="7"/>
  <c r="K1649" i="7" s="1"/>
  <c r="L1649" i="7" s="1"/>
  <c r="M1649" i="7" s="1"/>
  <c r="I1504" i="7"/>
  <c r="K1504" i="7" s="1"/>
  <c r="L1504" i="7" s="1"/>
  <c r="I1144" i="7"/>
  <c r="K1144" i="7" s="1"/>
  <c r="L1144" i="7" s="1"/>
  <c r="I792" i="7"/>
  <c r="K792" i="7" s="1"/>
  <c r="L792" i="7" s="1"/>
  <c r="I1815" i="7"/>
  <c r="K1815" i="7" s="1"/>
  <c r="L1815" i="7" s="1"/>
  <c r="M1815" i="7" s="1"/>
  <c r="I1415" i="7"/>
  <c r="K1415" i="7" s="1"/>
  <c r="L1415" i="7" s="1"/>
  <c r="I1255" i="7"/>
  <c r="K1255" i="7" s="1"/>
  <c r="L1255" i="7" s="1"/>
  <c r="I915" i="7"/>
  <c r="K915" i="7" s="1"/>
  <c r="L915" i="7" s="1"/>
  <c r="I735" i="7"/>
  <c r="K735" i="7" s="1"/>
  <c r="L735" i="7" s="1"/>
  <c r="I515" i="7"/>
  <c r="K515" i="7" s="1"/>
  <c r="L515" i="7" s="1"/>
  <c r="I275" i="7"/>
  <c r="K275" i="7" s="1"/>
  <c r="L275" i="7" s="1"/>
  <c r="I1963" i="7"/>
  <c r="K1963" i="7" s="1"/>
  <c r="L1963" i="7" s="1"/>
  <c r="M1963" i="7" s="1"/>
  <c r="I791" i="7"/>
  <c r="K791" i="7" s="1"/>
  <c r="L791" i="7" s="1"/>
  <c r="M791" i="7" s="1"/>
  <c r="I426" i="7"/>
  <c r="K426" i="7" s="1"/>
  <c r="L426" i="7" s="1"/>
  <c r="M426" i="7" s="1"/>
  <c r="N426" i="7" s="1"/>
  <c r="I1594" i="7"/>
  <c r="K1594" i="7" s="1"/>
  <c r="L1594" i="7" s="1"/>
  <c r="M1594" i="7" s="1"/>
  <c r="I1434" i="7"/>
  <c r="K1434" i="7" s="1"/>
  <c r="L1434" i="7" s="1"/>
  <c r="M1434" i="7" s="1"/>
  <c r="I1134" i="7"/>
  <c r="K1134" i="7" s="1"/>
  <c r="L1134" i="7" s="1"/>
  <c r="M1134" i="7" s="1"/>
  <c r="N1134" i="7" s="1"/>
  <c r="I934" i="7"/>
  <c r="K934" i="7" s="1"/>
  <c r="L934" i="7" s="1"/>
  <c r="I374" i="7"/>
  <c r="K374" i="7" s="1"/>
  <c r="L374" i="7" s="1"/>
  <c r="I194" i="7"/>
  <c r="K194" i="7" s="1"/>
  <c r="L194" i="7" s="1"/>
  <c r="I54" i="7"/>
  <c r="K54" i="7" s="1"/>
  <c r="L54" i="7" s="1"/>
  <c r="I1046" i="7"/>
  <c r="K1046" i="7" s="1"/>
  <c r="L1046" i="7" s="1"/>
  <c r="I631" i="7"/>
  <c r="K631" i="7" s="1"/>
  <c r="L631" i="7" s="1"/>
  <c r="I203" i="7"/>
  <c r="K203" i="7" s="1"/>
  <c r="L203" i="7" s="1"/>
  <c r="I1253" i="7"/>
  <c r="K1253" i="7" s="1"/>
  <c r="L1253" i="7" s="1"/>
  <c r="I1053" i="7"/>
  <c r="K1053" i="7" s="1"/>
  <c r="L1053" i="7" s="1"/>
  <c r="I893" i="7"/>
  <c r="K893" i="7" s="1"/>
  <c r="L893" i="7" s="1"/>
  <c r="M893" i="7" s="1"/>
  <c r="I673" i="7"/>
  <c r="K673" i="7" s="1"/>
  <c r="L673" i="7" s="1"/>
  <c r="I533" i="7"/>
  <c r="K533" i="7" s="1"/>
  <c r="L533" i="7" s="1"/>
  <c r="M533" i="7" s="1"/>
  <c r="I373" i="7"/>
  <c r="K373" i="7" s="1"/>
  <c r="L373" i="7" s="1"/>
  <c r="M373" i="7" s="1"/>
  <c r="N373" i="7" s="1"/>
  <c r="I173" i="7"/>
  <c r="K173" i="7" s="1"/>
  <c r="L173" i="7" s="1"/>
  <c r="I13" i="7"/>
  <c r="K13" i="7" s="1"/>
  <c r="L13" i="7" s="1"/>
  <c r="M13" i="7" s="1"/>
  <c r="I1364" i="7"/>
  <c r="K1364" i="7" s="1"/>
  <c r="L1364" i="7" s="1"/>
  <c r="I1044" i="7"/>
  <c r="K1044" i="7" s="1"/>
  <c r="L1044" i="7" s="1"/>
  <c r="I1672" i="7"/>
  <c r="K1672" i="7" s="1"/>
  <c r="L1672" i="7" s="1"/>
  <c r="M1672" i="7" s="1"/>
  <c r="I1352" i="7"/>
  <c r="K1352" i="7" s="1"/>
  <c r="L1352" i="7" s="1"/>
  <c r="M1352" i="7" s="1"/>
  <c r="I912" i="7"/>
  <c r="K912" i="7" s="1"/>
  <c r="L912" i="7" s="1"/>
  <c r="I732" i="7"/>
  <c r="K732" i="7" s="1"/>
  <c r="L732" i="7" s="1"/>
  <c r="M732" i="7" s="1"/>
  <c r="I452" i="7"/>
  <c r="K452" i="7" s="1"/>
  <c r="L452" i="7" s="1"/>
  <c r="I272" i="7"/>
  <c r="K272" i="7" s="1"/>
  <c r="L272" i="7" s="1"/>
  <c r="I92" i="7"/>
  <c r="K92" i="7" s="1"/>
  <c r="L92" i="7" s="1"/>
  <c r="M92" i="7" s="1"/>
  <c r="N92" i="7" s="1"/>
  <c r="I1804" i="7"/>
  <c r="K1804" i="7" s="1"/>
  <c r="L1804" i="7" s="1"/>
  <c r="I524" i="7"/>
  <c r="K524" i="7" s="1"/>
  <c r="L524" i="7" s="1"/>
  <c r="I1811" i="7"/>
  <c r="K1811" i="7" s="1"/>
  <c r="L1811" i="7" s="1"/>
  <c r="I1651" i="7"/>
  <c r="K1651" i="7" s="1"/>
  <c r="L1651" i="7" s="1"/>
  <c r="I1411" i="7"/>
  <c r="K1411" i="7" s="1"/>
  <c r="L1411" i="7" s="1"/>
  <c r="M1411" i="7" s="1"/>
  <c r="I1131" i="7"/>
  <c r="K1131" i="7" s="1"/>
  <c r="L1131" i="7" s="1"/>
  <c r="I1809" i="7"/>
  <c r="K1809" i="7" s="1"/>
  <c r="L1809" i="7" s="1"/>
  <c r="I1689" i="7"/>
  <c r="K1689" i="7" s="1"/>
  <c r="L1689" i="7" s="1"/>
  <c r="I1609" i="7"/>
  <c r="K1609" i="7" s="1"/>
  <c r="L1609" i="7" s="1"/>
  <c r="I1249" i="7"/>
  <c r="K1249" i="7" s="1"/>
  <c r="L1249" i="7" s="1"/>
  <c r="M1249" i="7" s="1"/>
  <c r="N1249" i="7" s="1"/>
  <c r="I1109" i="7"/>
  <c r="K1109" i="7" s="1"/>
  <c r="L1109" i="7" s="1"/>
  <c r="M1109" i="7" s="1"/>
  <c r="I949" i="7"/>
  <c r="K949" i="7" s="1"/>
  <c r="L949" i="7" s="1"/>
  <c r="M949" i="7" s="1"/>
  <c r="I809" i="7"/>
  <c r="K809" i="7" s="1"/>
  <c r="L809" i="7" s="1"/>
  <c r="I609" i="7"/>
  <c r="K609" i="7" s="1"/>
  <c r="L609" i="7" s="1"/>
  <c r="M609" i="7" s="1"/>
  <c r="I469" i="7"/>
  <c r="K469" i="7" s="1"/>
  <c r="L469" i="7" s="1"/>
  <c r="M469" i="7" s="1"/>
  <c r="N469" i="7" s="1"/>
  <c r="I329" i="7"/>
  <c r="K329" i="7" s="1"/>
  <c r="L329" i="7" s="1"/>
  <c r="I109" i="7"/>
  <c r="K109" i="7" s="1"/>
  <c r="L109" i="7" s="1"/>
  <c r="I1264" i="7"/>
  <c r="K1264" i="7" s="1"/>
  <c r="L1264" i="7" s="1"/>
  <c r="I186" i="7"/>
  <c r="K186" i="7" s="1"/>
  <c r="L186" i="7" s="1"/>
  <c r="I1408" i="7"/>
  <c r="K1408" i="7" s="1"/>
  <c r="L1408" i="7" s="1"/>
  <c r="I1128" i="7"/>
  <c r="K1128" i="7" s="1"/>
  <c r="L1128" i="7" s="1"/>
  <c r="I868" i="7"/>
  <c r="K868" i="7" s="1"/>
  <c r="L868" i="7" s="1"/>
  <c r="I468" i="7"/>
  <c r="K468" i="7" s="1"/>
  <c r="L468" i="7" s="1"/>
  <c r="I128" i="7"/>
  <c r="K128" i="7" s="1"/>
  <c r="L128" i="7" s="1"/>
  <c r="I1587" i="7"/>
  <c r="K1587" i="7" s="1"/>
  <c r="L1587" i="7" s="1"/>
  <c r="I1467" i="7"/>
  <c r="K1467" i="7" s="1"/>
  <c r="L1467" i="7" s="1"/>
  <c r="M1467" i="7" s="1"/>
  <c r="I1347" i="7"/>
  <c r="K1347" i="7" s="1"/>
  <c r="L1347" i="7" s="1"/>
  <c r="M1347" i="7" s="1"/>
  <c r="I947" i="7"/>
  <c r="K947" i="7" s="1"/>
  <c r="L947" i="7" s="1"/>
  <c r="M947" i="7" s="1"/>
  <c r="I1947" i="7"/>
  <c r="K1947" i="7" s="1"/>
  <c r="L1947" i="7" s="1"/>
  <c r="I1799" i="7"/>
  <c r="K1799" i="7" s="1"/>
  <c r="L1799" i="7" s="1"/>
  <c r="M1799" i="7" s="1"/>
  <c r="I1719" i="7"/>
  <c r="K1719" i="7" s="1"/>
  <c r="L1719" i="7" s="1"/>
  <c r="M1719" i="7" s="1"/>
  <c r="I1684" i="7"/>
  <c r="K1684" i="7" s="1"/>
  <c r="L1684" i="7" s="1"/>
  <c r="I1567" i="7"/>
  <c r="K1567" i="7" s="1"/>
  <c r="L1567" i="7" s="1"/>
  <c r="M1567" i="7" s="1"/>
  <c r="I1488" i="7"/>
  <c r="K1488" i="7" s="1"/>
  <c r="L1488" i="7" s="1"/>
  <c r="M1488" i="7" s="1"/>
  <c r="I1262" i="7"/>
  <c r="K1262" i="7" s="1"/>
  <c r="L1262" i="7" s="1"/>
  <c r="M1262" i="7" s="1"/>
  <c r="I1168" i="7"/>
  <c r="K1168" i="7" s="1"/>
  <c r="L1168" i="7" s="1"/>
  <c r="I1124" i="7"/>
  <c r="K1124" i="7" s="1"/>
  <c r="L1124" i="7" s="1"/>
  <c r="I1030" i="7"/>
  <c r="K1030" i="7" s="1"/>
  <c r="L1030" i="7" s="1"/>
  <c r="I925" i="7"/>
  <c r="K925" i="7" s="1"/>
  <c r="L925" i="7" s="1"/>
  <c r="I667" i="7"/>
  <c r="K667" i="7" s="1"/>
  <c r="L667" i="7" s="1"/>
  <c r="I607" i="7"/>
  <c r="K607" i="7" s="1"/>
  <c r="L607" i="7" s="1"/>
  <c r="I559" i="7"/>
  <c r="K559" i="7" s="1"/>
  <c r="L559" i="7" s="1"/>
  <c r="I507" i="7"/>
  <c r="K507" i="7" s="1"/>
  <c r="L507" i="7" s="1"/>
  <c r="M507" i="7" s="1"/>
  <c r="I402" i="7"/>
  <c r="K402" i="7" s="1"/>
  <c r="L402" i="7" s="1"/>
  <c r="M402" i="7" s="1"/>
  <c r="I239" i="7"/>
  <c r="K239" i="7" s="1"/>
  <c r="L239" i="7" s="1"/>
  <c r="I184" i="7"/>
  <c r="K184" i="7" s="1"/>
  <c r="L184" i="7" s="1"/>
  <c r="M184" i="7" s="1"/>
  <c r="I67" i="7"/>
  <c r="K67" i="7" s="1"/>
  <c r="L67" i="7" s="1"/>
  <c r="M67" i="7" s="1"/>
  <c r="I1544" i="7"/>
  <c r="K1544" i="7" s="1"/>
  <c r="L1544" i="7" s="1"/>
  <c r="M1544" i="7" s="1"/>
  <c r="N1544" i="7" s="1"/>
  <c r="I1855" i="7"/>
  <c r="K1855" i="7" s="1"/>
  <c r="L1855" i="7" s="1"/>
  <c r="I1355" i="7"/>
  <c r="K1355" i="7" s="1"/>
  <c r="L1355" i="7" s="1"/>
  <c r="I1175" i="7"/>
  <c r="K1175" i="7" s="1"/>
  <c r="L1175" i="7" s="1"/>
  <c r="M1175" i="7" s="1"/>
  <c r="I855" i="7"/>
  <c r="K855" i="7" s="1"/>
  <c r="L855" i="7" s="1"/>
  <c r="M855" i="7" s="1"/>
  <c r="I695" i="7"/>
  <c r="K695" i="7" s="1"/>
  <c r="L695" i="7" s="1"/>
  <c r="M695" i="7" s="1"/>
  <c r="I375" i="7"/>
  <c r="K375" i="7" s="1"/>
  <c r="L375" i="7" s="1"/>
  <c r="M375" i="7" s="1"/>
  <c r="I75" i="7"/>
  <c r="K75" i="7" s="1"/>
  <c r="L75" i="7" s="1"/>
  <c r="M75" i="7" s="1"/>
  <c r="I479" i="7"/>
  <c r="K479" i="7" s="1"/>
  <c r="L479" i="7" s="1"/>
  <c r="M479" i="7" s="1"/>
  <c r="I1654" i="7"/>
  <c r="K1654" i="7" s="1"/>
  <c r="L1654" i="7" s="1"/>
  <c r="M1654" i="7" s="1"/>
  <c r="I1194" i="7"/>
  <c r="K1194" i="7" s="1"/>
  <c r="L1194" i="7" s="1"/>
  <c r="M1194" i="7" s="1"/>
  <c r="I1034" i="7"/>
  <c r="K1034" i="7" s="1"/>
  <c r="L1034" i="7" s="1"/>
  <c r="I614" i="7"/>
  <c r="K614" i="7" s="1"/>
  <c r="L614" i="7" s="1"/>
  <c r="I454" i="7"/>
  <c r="K454" i="7" s="1"/>
  <c r="L454" i="7" s="1"/>
  <c r="I741" i="7"/>
  <c r="K741" i="7" s="1"/>
  <c r="L741" i="7" s="1"/>
  <c r="I1333" i="7"/>
  <c r="K1333" i="7" s="1"/>
  <c r="L1333" i="7" s="1"/>
  <c r="I913" i="7"/>
  <c r="K913" i="7" s="1"/>
  <c r="L913" i="7" s="1"/>
  <c r="I553" i="7"/>
  <c r="K553" i="7" s="1"/>
  <c r="L553" i="7" s="1"/>
  <c r="M553" i="7" s="1"/>
  <c r="I213" i="7"/>
  <c r="K213" i="7" s="1"/>
  <c r="L213" i="7" s="1"/>
  <c r="M213" i="7" s="1"/>
  <c r="I53" i="7"/>
  <c r="K53" i="7" s="1"/>
  <c r="L53" i="7" s="1"/>
  <c r="I1772" i="7"/>
  <c r="K1772" i="7" s="1"/>
  <c r="L1772" i="7" s="1"/>
  <c r="M1772" i="7" s="1"/>
  <c r="I1141" i="7"/>
  <c r="K1141" i="7" s="1"/>
  <c r="L1141" i="7" s="1"/>
  <c r="I1312" i="7"/>
  <c r="K1312" i="7" s="1"/>
  <c r="L1312" i="7" s="1"/>
  <c r="I1132" i="7"/>
  <c r="K1132" i="7" s="1"/>
  <c r="L1132" i="7" s="1"/>
  <c r="M1132" i="7" s="1"/>
  <c r="I652" i="7"/>
  <c r="K652" i="7" s="1"/>
  <c r="L652" i="7" s="1"/>
  <c r="M652" i="7" s="1"/>
  <c r="I512" i="7"/>
  <c r="K512" i="7" s="1"/>
  <c r="L512" i="7" s="1"/>
  <c r="M512" i="7" s="1"/>
  <c r="I352" i="7"/>
  <c r="K352" i="7" s="1"/>
  <c r="L352" i="7" s="1"/>
  <c r="M352" i="7" s="1"/>
  <c r="I52" i="7"/>
  <c r="K52" i="7" s="1"/>
  <c r="L52" i="7" s="1"/>
  <c r="M52" i="7" s="1"/>
  <c r="I842" i="7"/>
  <c r="K842" i="7" s="1"/>
  <c r="L842" i="7" s="1"/>
  <c r="I370" i="7"/>
  <c r="K370" i="7" s="1"/>
  <c r="L370" i="7" s="1"/>
  <c r="M370" i="7" s="1"/>
  <c r="I1931" i="7"/>
  <c r="K1931" i="7" s="1"/>
  <c r="L1931" i="7" s="1"/>
  <c r="I1771" i="7"/>
  <c r="K1771" i="7" s="1"/>
  <c r="L1771" i="7" s="1"/>
  <c r="I1611" i="7"/>
  <c r="K1611" i="7" s="1"/>
  <c r="L1611" i="7" s="1"/>
  <c r="I1909" i="7"/>
  <c r="K1909" i="7" s="1"/>
  <c r="L1909" i="7" s="1"/>
  <c r="I1769" i="7"/>
  <c r="K1769" i="7" s="1"/>
  <c r="L1769" i="7" s="1"/>
  <c r="I1509" i="7"/>
  <c r="K1509" i="7" s="1"/>
  <c r="L1509" i="7" s="1"/>
  <c r="I1349" i="7"/>
  <c r="K1349" i="7" s="1"/>
  <c r="L1349" i="7" s="1"/>
  <c r="I1229" i="7"/>
  <c r="K1229" i="7" s="1"/>
  <c r="L1229" i="7" s="1"/>
  <c r="I1129" i="7"/>
  <c r="K1129" i="7" s="1"/>
  <c r="L1129" i="7" s="1"/>
  <c r="M1129" i="7" s="1"/>
  <c r="I769" i="7"/>
  <c r="K769" i="7" s="1"/>
  <c r="L769" i="7" s="1"/>
  <c r="M769" i="7" s="1"/>
  <c r="I129" i="7"/>
  <c r="K129" i="7" s="1"/>
  <c r="L129" i="7" s="1"/>
  <c r="M129" i="7" s="1"/>
  <c r="I1081" i="7"/>
  <c r="K1081" i="7" s="1"/>
  <c r="L1081" i="7" s="1"/>
  <c r="M1081" i="7" s="1"/>
  <c r="I467" i="7"/>
  <c r="K467" i="7" s="1"/>
  <c r="L467" i="7" s="1"/>
  <c r="I1728" i="7"/>
  <c r="K1728" i="7" s="1"/>
  <c r="L1728" i="7" s="1"/>
  <c r="M1728" i="7" s="1"/>
  <c r="N1728" i="7" s="1"/>
  <c r="I1348" i="7"/>
  <c r="K1348" i="7" s="1"/>
  <c r="L1348" i="7" s="1"/>
  <c r="M1348" i="7" s="1"/>
  <c r="N1348" i="7" s="1"/>
  <c r="I548" i="7"/>
  <c r="K548" i="7" s="1"/>
  <c r="L548" i="7" s="1"/>
  <c r="M548" i="7" s="1"/>
  <c r="I208" i="7"/>
  <c r="K208" i="7" s="1"/>
  <c r="L208" i="7" s="1"/>
  <c r="M208" i="7" s="1"/>
  <c r="I1787" i="7"/>
  <c r="K1787" i="7" s="1"/>
  <c r="L1787" i="7" s="1"/>
  <c r="M1787" i="7" s="1"/>
  <c r="I1407" i="7"/>
  <c r="K1407" i="7" s="1"/>
  <c r="L1407" i="7" s="1"/>
  <c r="I1906" i="7"/>
  <c r="K1906" i="7" s="1"/>
  <c r="L1906" i="7" s="1"/>
  <c r="M1906" i="7" s="1"/>
  <c r="I1766" i="7"/>
  <c r="K1766" i="7" s="1"/>
  <c r="L1766" i="7" s="1"/>
  <c r="I1726" i="7"/>
  <c r="K1726" i="7" s="1"/>
  <c r="L1726" i="7" s="1"/>
  <c r="I1566" i="7"/>
  <c r="K1566" i="7" s="1"/>
  <c r="L1566" i="7" s="1"/>
  <c r="I1346" i="7"/>
  <c r="K1346" i="7" s="1"/>
  <c r="L1346" i="7" s="1"/>
  <c r="I1186" i="7"/>
  <c r="K1186" i="7" s="1"/>
  <c r="L1186" i="7" s="1"/>
  <c r="I1066" i="7"/>
  <c r="K1066" i="7" s="1"/>
  <c r="L1066" i="7" s="1"/>
  <c r="I1026" i="7"/>
  <c r="K1026" i="7" s="1"/>
  <c r="L1026" i="7" s="1"/>
  <c r="I946" i="7"/>
  <c r="K946" i="7" s="1"/>
  <c r="L946" i="7" s="1"/>
  <c r="M946" i="7" s="1"/>
  <c r="I866" i="7"/>
  <c r="K866" i="7" s="1"/>
  <c r="L866" i="7" s="1"/>
  <c r="M866" i="7" s="1"/>
  <c r="I686" i="7"/>
  <c r="K686" i="7" s="1"/>
  <c r="L686" i="7" s="1"/>
  <c r="I246" i="7"/>
  <c r="K246" i="7" s="1"/>
  <c r="L246" i="7" s="1"/>
  <c r="M246" i="7" s="1"/>
  <c r="I1981" i="7"/>
  <c r="K1981" i="7" s="1"/>
  <c r="L1981" i="7" s="1"/>
  <c r="M1981" i="7" s="1"/>
  <c r="I1945" i="7"/>
  <c r="K1945" i="7" s="1"/>
  <c r="L1945" i="7" s="1"/>
  <c r="I1907" i="7"/>
  <c r="K1907" i="7" s="1"/>
  <c r="L1907" i="7" s="1"/>
  <c r="I1867" i="7"/>
  <c r="K1867" i="7" s="1"/>
  <c r="L1867" i="7" s="1"/>
  <c r="M1867" i="7" s="1"/>
  <c r="I1683" i="7"/>
  <c r="K1683" i="7" s="1"/>
  <c r="L1683" i="7" s="1"/>
  <c r="M1683" i="7" s="1"/>
  <c r="I1564" i="7"/>
  <c r="K1564" i="7" s="1"/>
  <c r="L1564" i="7" s="1"/>
  <c r="M1564" i="7" s="1"/>
  <c r="I1301" i="7"/>
  <c r="K1301" i="7" s="1"/>
  <c r="L1301" i="7" s="1"/>
  <c r="M1301" i="7" s="1"/>
  <c r="N1301" i="7" s="1"/>
  <c r="I1261" i="7"/>
  <c r="K1261" i="7" s="1"/>
  <c r="L1261" i="7" s="1"/>
  <c r="I1210" i="7"/>
  <c r="K1210" i="7" s="1"/>
  <c r="L1210" i="7" s="1"/>
  <c r="I1167" i="7"/>
  <c r="K1167" i="7" s="1"/>
  <c r="L1167" i="7" s="1"/>
  <c r="I1028" i="7"/>
  <c r="K1028" i="7" s="1"/>
  <c r="L1028" i="7" s="1"/>
  <c r="I924" i="7"/>
  <c r="K924" i="7" s="1"/>
  <c r="L924" i="7" s="1"/>
  <c r="I606" i="7"/>
  <c r="K606" i="7" s="1"/>
  <c r="L606" i="7" s="1"/>
  <c r="I506" i="7"/>
  <c r="K506" i="7" s="1"/>
  <c r="L506" i="7" s="1"/>
  <c r="I401" i="7"/>
  <c r="K401" i="7" s="1"/>
  <c r="L401" i="7" s="1"/>
  <c r="I1647" i="7"/>
  <c r="K1647" i="7" s="1"/>
  <c r="L1647" i="7" s="1"/>
  <c r="I202" i="7"/>
  <c r="K202" i="7" s="1"/>
  <c r="L202" i="7" s="1"/>
  <c r="I1661" i="7"/>
  <c r="K1661" i="7" s="1"/>
  <c r="L1661" i="7" s="1"/>
  <c r="I1367" i="7"/>
  <c r="K1367" i="7" s="1"/>
  <c r="L1367" i="7" s="1"/>
  <c r="M1367" i="7" s="1"/>
  <c r="I1048" i="7"/>
  <c r="K1048" i="7" s="1"/>
  <c r="L1048" i="7" s="1"/>
  <c r="M1048" i="7" s="1"/>
  <c r="I633" i="7"/>
  <c r="K633" i="7" s="1"/>
  <c r="L633" i="7" s="1"/>
  <c r="M633" i="7" s="1"/>
  <c r="N633" i="7" s="1"/>
  <c r="I321" i="7"/>
  <c r="K321" i="7" s="1"/>
  <c r="L321" i="7" s="1"/>
  <c r="I1655" i="7"/>
  <c r="K1655" i="7" s="1"/>
  <c r="L1655" i="7" s="1"/>
  <c r="I1375" i="7"/>
  <c r="K1375" i="7" s="1"/>
  <c r="L1375" i="7" s="1"/>
  <c r="M1375" i="7" s="1"/>
  <c r="N1375" i="7" s="1"/>
  <c r="I1215" i="7"/>
  <c r="K1215" i="7" s="1"/>
  <c r="L1215" i="7" s="1"/>
  <c r="M1215" i="7" s="1"/>
  <c r="N1215" i="7" s="1"/>
  <c r="I1055" i="7"/>
  <c r="K1055" i="7" s="1"/>
  <c r="L1055" i="7" s="1"/>
  <c r="M1055" i="7" s="1"/>
  <c r="I975" i="7"/>
  <c r="K975" i="7" s="1"/>
  <c r="L975" i="7" s="1"/>
  <c r="M975" i="7" s="1"/>
  <c r="I875" i="7"/>
  <c r="K875" i="7" s="1"/>
  <c r="L875" i="7" s="1"/>
  <c r="I575" i="7"/>
  <c r="K575" i="7" s="1"/>
  <c r="L575" i="7" s="1"/>
  <c r="M575" i="7" s="1"/>
  <c r="I295" i="7"/>
  <c r="K295" i="7" s="1"/>
  <c r="L295" i="7" s="1"/>
  <c r="I115" i="7"/>
  <c r="K115" i="7" s="1"/>
  <c r="L115" i="7" s="1"/>
  <c r="I1892" i="7"/>
  <c r="K1892" i="7" s="1"/>
  <c r="L1892" i="7" s="1"/>
  <c r="I1543" i="7"/>
  <c r="K1543" i="7" s="1"/>
  <c r="L1543" i="7" s="1"/>
  <c r="M1543" i="7" s="1"/>
  <c r="I1183" i="7"/>
  <c r="K1183" i="7" s="1"/>
  <c r="L1183" i="7" s="1"/>
  <c r="I845" i="7"/>
  <c r="K845" i="7" s="1"/>
  <c r="L845" i="7" s="1"/>
  <c r="I527" i="7"/>
  <c r="K527" i="7" s="1"/>
  <c r="L527" i="7" s="1"/>
  <c r="I204" i="7"/>
  <c r="K204" i="7" s="1"/>
  <c r="L204" i="7" s="1"/>
  <c r="M204" i="7" s="1"/>
  <c r="I911" i="7"/>
  <c r="K911" i="7" s="1"/>
  <c r="L911" i="7" s="1"/>
  <c r="I1954" i="7"/>
  <c r="K1954" i="7" s="1"/>
  <c r="L1954" i="7" s="1"/>
  <c r="I1774" i="7"/>
  <c r="K1774" i="7" s="1"/>
  <c r="L1774" i="7" s="1"/>
  <c r="I1614" i="7"/>
  <c r="K1614" i="7" s="1"/>
  <c r="L1614" i="7" s="1"/>
  <c r="M1614" i="7" s="1"/>
  <c r="I1334" i="7"/>
  <c r="K1334" i="7" s="1"/>
  <c r="L1334" i="7" s="1"/>
  <c r="M1334" i="7" s="1"/>
  <c r="I1054" i="7"/>
  <c r="K1054" i="7" s="1"/>
  <c r="L1054" i="7" s="1"/>
  <c r="M1054" i="7" s="1"/>
  <c r="I894" i="7"/>
  <c r="K894" i="7" s="1"/>
  <c r="L894" i="7" s="1"/>
  <c r="I434" i="7"/>
  <c r="K434" i="7" s="1"/>
  <c r="L434" i="7" s="1"/>
  <c r="M434" i="7" s="1"/>
  <c r="N434" i="7" s="1"/>
  <c r="I214" i="7"/>
  <c r="K214" i="7" s="1"/>
  <c r="L214" i="7" s="1"/>
  <c r="M214" i="7" s="1"/>
  <c r="I14" i="7"/>
  <c r="K14" i="7" s="1"/>
  <c r="L14" i="7" s="1"/>
  <c r="M14" i="7" s="1"/>
  <c r="I1579" i="7"/>
  <c r="K1579" i="7" s="1"/>
  <c r="L1579" i="7" s="1"/>
  <c r="M1579" i="7" s="1"/>
  <c r="I1142" i="7"/>
  <c r="K1142" i="7" s="1"/>
  <c r="L1142" i="7" s="1"/>
  <c r="M1142" i="7" s="1"/>
  <c r="I685" i="7"/>
  <c r="K685" i="7" s="1"/>
  <c r="L685" i="7" s="1"/>
  <c r="I319" i="7"/>
  <c r="K319" i="7" s="1"/>
  <c r="L319" i="7" s="1"/>
  <c r="M319" i="7" s="1"/>
  <c r="I1293" i="7"/>
  <c r="K1293" i="7" s="1"/>
  <c r="L1293" i="7" s="1"/>
  <c r="I1133" i="7"/>
  <c r="K1133" i="7" s="1"/>
  <c r="L1133" i="7" s="1"/>
  <c r="I953" i="7"/>
  <c r="K953" i="7" s="1"/>
  <c r="L953" i="7" s="1"/>
  <c r="I793" i="7"/>
  <c r="K793" i="7" s="1"/>
  <c r="L793" i="7" s="1"/>
  <c r="M793" i="7" s="1"/>
  <c r="I653" i="7"/>
  <c r="K653" i="7" s="1"/>
  <c r="L653" i="7" s="1"/>
  <c r="I493" i="7"/>
  <c r="K493" i="7" s="1"/>
  <c r="L493" i="7" s="1"/>
  <c r="I333" i="7"/>
  <c r="K333" i="7" s="1"/>
  <c r="L333" i="7" s="1"/>
  <c r="M333" i="7" s="1"/>
  <c r="I193" i="7"/>
  <c r="K193" i="7" s="1"/>
  <c r="L193" i="7" s="1"/>
  <c r="I1961" i="7"/>
  <c r="K1961" i="7" s="1"/>
  <c r="L1961" i="7" s="1"/>
  <c r="I525" i="7"/>
  <c r="K525" i="7" s="1"/>
  <c r="L525" i="7" s="1"/>
  <c r="M525" i="7" s="1"/>
  <c r="I147" i="7"/>
  <c r="K147" i="7" s="1"/>
  <c r="L147" i="7" s="1"/>
  <c r="M147" i="7" s="1"/>
  <c r="I1912" i="7"/>
  <c r="K1912" i="7" s="1"/>
  <c r="L1912" i="7" s="1"/>
  <c r="M1912" i="7" s="1"/>
  <c r="I1712" i="7"/>
  <c r="K1712" i="7" s="1"/>
  <c r="L1712" i="7" s="1"/>
  <c r="M1712" i="7" s="1"/>
  <c r="I1372" i="7"/>
  <c r="K1372" i="7" s="1"/>
  <c r="L1372" i="7" s="1"/>
  <c r="M1372" i="7" s="1"/>
  <c r="I1192" i="7"/>
  <c r="K1192" i="7" s="1"/>
  <c r="L1192" i="7" s="1"/>
  <c r="M1192" i="7" s="1"/>
  <c r="I992" i="7"/>
  <c r="K992" i="7" s="1"/>
  <c r="L992" i="7" s="1"/>
  <c r="M992" i="7" s="1"/>
  <c r="N992" i="7" s="1"/>
  <c r="I852" i="7"/>
  <c r="K852" i="7" s="1"/>
  <c r="L852" i="7" s="1"/>
  <c r="I692" i="7"/>
  <c r="K692" i="7" s="1"/>
  <c r="L692" i="7" s="1"/>
  <c r="M692" i="7" s="1"/>
  <c r="N692" i="7" s="1"/>
  <c r="I532" i="7"/>
  <c r="K532" i="7" s="1"/>
  <c r="L532" i="7" s="1"/>
  <c r="I32" i="7"/>
  <c r="K32" i="7" s="1"/>
  <c r="L32" i="7" s="1"/>
  <c r="M32" i="7" s="1"/>
  <c r="I1307" i="7"/>
  <c r="K1307" i="7" s="1"/>
  <c r="L1307" i="7" s="1"/>
  <c r="I891" i="7"/>
  <c r="K891" i="7" s="1"/>
  <c r="L891" i="7" s="1"/>
  <c r="I569" i="7"/>
  <c r="K569" i="7" s="1"/>
  <c r="L569" i="7" s="1"/>
  <c r="I145" i="7"/>
  <c r="K145" i="7" s="1"/>
  <c r="L145" i="7" s="1"/>
  <c r="I903" i="7"/>
  <c r="K903" i="7" s="1"/>
  <c r="L903" i="7" s="1"/>
  <c r="I1891" i="7"/>
  <c r="K1891" i="7" s="1"/>
  <c r="L1891" i="7" s="1"/>
  <c r="I1531" i="7"/>
  <c r="K1531" i="7" s="1"/>
  <c r="L1531" i="7" s="1"/>
  <c r="I1311" i="7"/>
  <c r="K1311" i="7" s="1"/>
  <c r="L1311" i="7" s="1"/>
  <c r="I1889" i="7"/>
  <c r="K1889" i="7" s="1"/>
  <c r="L1889" i="7" s="1"/>
  <c r="I1749" i="7"/>
  <c r="K1749" i="7" s="1"/>
  <c r="L1749" i="7" s="1"/>
  <c r="M1749" i="7" s="1"/>
  <c r="N1749" i="7" s="1"/>
  <c r="I1569" i="7"/>
  <c r="K1569" i="7" s="1"/>
  <c r="L1569" i="7" s="1"/>
  <c r="I1449" i="7"/>
  <c r="K1449" i="7" s="1"/>
  <c r="L1449" i="7" s="1"/>
  <c r="M1449" i="7" s="1"/>
  <c r="I1289" i="7"/>
  <c r="K1289" i="7" s="1"/>
  <c r="L1289" i="7" s="1"/>
  <c r="M1289" i="7" s="1"/>
  <c r="I1149" i="7"/>
  <c r="K1149" i="7" s="1"/>
  <c r="L1149" i="7" s="1"/>
  <c r="M1149" i="7" s="1"/>
  <c r="I909" i="7"/>
  <c r="K909" i="7" s="1"/>
  <c r="L909" i="7" s="1"/>
  <c r="M909" i="7" s="1"/>
  <c r="I789" i="7"/>
  <c r="K789" i="7" s="1"/>
  <c r="L789" i="7" s="1"/>
  <c r="M789" i="7" s="1"/>
  <c r="I589" i="7"/>
  <c r="K589" i="7" s="1"/>
  <c r="L589" i="7" s="1"/>
  <c r="I509" i="7"/>
  <c r="K509" i="7" s="1"/>
  <c r="L509" i="7" s="1"/>
  <c r="M509" i="7" s="1"/>
  <c r="I429" i="7"/>
  <c r="K429" i="7" s="1"/>
  <c r="L429" i="7" s="1"/>
  <c r="I1607" i="7"/>
  <c r="K1607" i="7" s="1"/>
  <c r="L1607" i="7" s="1"/>
  <c r="I927" i="7"/>
  <c r="K927" i="7" s="1"/>
  <c r="L927" i="7" s="1"/>
  <c r="I1748" i="7"/>
  <c r="K1748" i="7" s="1"/>
  <c r="L1748" i="7" s="1"/>
  <c r="I485" i="7"/>
  <c r="K485" i="7" s="1"/>
  <c r="L485" i="7" s="1"/>
  <c r="I1388" i="7"/>
  <c r="K1388" i="7" s="1"/>
  <c r="L1388" i="7" s="1"/>
  <c r="I948" i="7"/>
  <c r="K948" i="7" s="1"/>
  <c r="L948" i="7" s="1"/>
  <c r="I608" i="7"/>
  <c r="K608" i="7" s="1"/>
  <c r="L608" i="7" s="1"/>
  <c r="M608" i="7" s="1"/>
  <c r="I1965" i="7"/>
  <c r="K1965" i="7" s="1"/>
  <c r="L1965" i="7" s="1"/>
  <c r="I1785" i="7"/>
  <c r="K1785" i="7" s="1"/>
  <c r="L1785" i="7" s="1"/>
  <c r="M1785" i="7" s="1"/>
  <c r="I1725" i="7"/>
  <c r="K1725" i="7" s="1"/>
  <c r="L1725" i="7" s="1"/>
  <c r="M1725" i="7" s="1"/>
  <c r="I1565" i="7"/>
  <c r="K1565" i="7" s="1"/>
  <c r="L1565" i="7" s="1"/>
  <c r="I1445" i="7"/>
  <c r="K1445" i="7" s="1"/>
  <c r="L1445" i="7" s="1"/>
  <c r="M1445" i="7" s="1"/>
  <c r="I1385" i="7"/>
  <c r="K1385" i="7" s="1"/>
  <c r="L1385" i="7" s="1"/>
  <c r="I1285" i="7"/>
  <c r="K1285" i="7" s="1"/>
  <c r="L1285" i="7" s="1"/>
  <c r="I1245" i="7"/>
  <c r="K1245" i="7" s="1"/>
  <c r="L1245" i="7" s="1"/>
  <c r="M1245" i="7" s="1"/>
  <c r="I1123" i="7"/>
  <c r="K1123" i="7" s="1"/>
  <c r="L1123" i="7" s="1"/>
  <c r="M1123" i="7" s="1"/>
  <c r="I1125" i="7"/>
  <c r="K1125" i="7" s="1"/>
  <c r="L1125" i="7" s="1"/>
  <c r="M1125" i="7" s="1"/>
  <c r="I1045" i="7"/>
  <c r="K1045" i="7" s="1"/>
  <c r="L1045" i="7" s="1"/>
  <c r="I1025" i="7"/>
  <c r="K1025" i="7" s="1"/>
  <c r="L1025" i="7" s="1"/>
  <c r="I985" i="7"/>
  <c r="K985" i="7" s="1"/>
  <c r="L985" i="7" s="1"/>
  <c r="I945" i="7"/>
  <c r="K945" i="7" s="1"/>
  <c r="L945" i="7" s="1"/>
  <c r="I785" i="7"/>
  <c r="K785" i="7" s="1"/>
  <c r="L785" i="7" s="1"/>
  <c r="I765" i="7"/>
  <c r="K765" i="7" s="1"/>
  <c r="L765" i="7" s="1"/>
  <c r="I505" i="7"/>
  <c r="K505" i="7" s="1"/>
  <c r="L505" i="7" s="1"/>
  <c r="I425" i="7"/>
  <c r="K425" i="7" s="1"/>
  <c r="L425" i="7" s="1"/>
  <c r="I345" i="7"/>
  <c r="K345" i="7" s="1"/>
  <c r="L345" i="7" s="1"/>
  <c r="I165" i="7"/>
  <c r="K165" i="7" s="1"/>
  <c r="L165" i="7" s="1"/>
  <c r="I125" i="7"/>
  <c r="K125" i="7" s="1"/>
  <c r="L125" i="7" s="1"/>
  <c r="I123" i="7"/>
  <c r="K123" i="7" s="1"/>
  <c r="L123" i="7" s="1"/>
  <c r="M123" i="7" s="1"/>
  <c r="I105" i="7"/>
  <c r="K105" i="7" s="1"/>
  <c r="L105" i="7" s="1"/>
  <c r="M105" i="7" s="1"/>
  <c r="I1944" i="7"/>
  <c r="K1944" i="7" s="1"/>
  <c r="L1944" i="7" s="1"/>
  <c r="I1865" i="7"/>
  <c r="K1865" i="7" s="1"/>
  <c r="L1865" i="7" s="1"/>
  <c r="I1682" i="7"/>
  <c r="K1682" i="7" s="1"/>
  <c r="L1682" i="7" s="1"/>
  <c r="M1682" i="7" s="1"/>
  <c r="I1563" i="7"/>
  <c r="K1563" i="7" s="1"/>
  <c r="L1563" i="7" s="1"/>
  <c r="I1519" i="7"/>
  <c r="K1519" i="7" s="1"/>
  <c r="L1519" i="7" s="1"/>
  <c r="M1519" i="7" s="1"/>
  <c r="N1519" i="7" s="1"/>
  <c r="I1481" i="7"/>
  <c r="K1481" i="7" s="1"/>
  <c r="L1481" i="7" s="1"/>
  <c r="M1481" i="7" s="1"/>
  <c r="I1390" i="7"/>
  <c r="K1390" i="7" s="1"/>
  <c r="L1390" i="7" s="1"/>
  <c r="M1390" i="7" s="1"/>
  <c r="I1122" i="7"/>
  <c r="K1122" i="7" s="1"/>
  <c r="L1122" i="7" s="1"/>
  <c r="I970" i="7"/>
  <c r="K970" i="7" s="1"/>
  <c r="L970" i="7" s="1"/>
  <c r="I923" i="7"/>
  <c r="K923" i="7" s="1"/>
  <c r="L923" i="7" s="1"/>
  <c r="I865" i="7"/>
  <c r="K865" i="7" s="1"/>
  <c r="L865" i="7" s="1"/>
  <c r="I770" i="7"/>
  <c r="K770" i="7" s="1"/>
  <c r="L770" i="7" s="1"/>
  <c r="I504" i="7"/>
  <c r="K504" i="7" s="1"/>
  <c r="L504" i="7" s="1"/>
  <c r="I290" i="7"/>
  <c r="K290" i="7" s="1"/>
  <c r="L290" i="7" s="1"/>
  <c r="M290" i="7" s="1"/>
  <c r="I182" i="7"/>
  <c r="K182" i="7" s="1"/>
  <c r="L182" i="7" s="1"/>
  <c r="I121" i="7"/>
  <c r="K121" i="7" s="1"/>
  <c r="L121" i="7" s="1"/>
  <c r="I1806" i="7"/>
  <c r="K1806" i="7" s="1"/>
  <c r="L1806" i="7" s="1"/>
  <c r="I1225" i="7"/>
  <c r="K1225" i="7" s="1"/>
  <c r="L1225" i="7" s="1"/>
  <c r="I744" i="7"/>
  <c r="K744" i="7" s="1"/>
  <c r="L744" i="7" s="1"/>
  <c r="M744" i="7" s="1"/>
  <c r="N744" i="7" s="1"/>
  <c r="I162" i="7"/>
  <c r="K162" i="7" s="1"/>
  <c r="L162" i="7" s="1"/>
  <c r="M162" i="7" s="1"/>
  <c r="I1103" i="7"/>
  <c r="K1103" i="7" s="1"/>
  <c r="L1103" i="7" s="1"/>
  <c r="M1103" i="7" s="1"/>
  <c r="I269" i="7"/>
  <c r="K269" i="7" s="1"/>
  <c r="L269" i="7" s="1"/>
  <c r="I1615" i="7"/>
  <c r="K1615" i="7" s="1"/>
  <c r="L1615" i="7" s="1"/>
  <c r="M1615" i="7" s="1"/>
  <c r="I1315" i="7"/>
  <c r="K1315" i="7" s="1"/>
  <c r="L1315" i="7" s="1"/>
  <c r="M1315" i="7" s="1"/>
  <c r="I1155" i="7"/>
  <c r="K1155" i="7" s="1"/>
  <c r="L1155" i="7" s="1"/>
  <c r="M1155" i="7" s="1"/>
  <c r="I1015" i="7"/>
  <c r="K1015" i="7" s="1"/>
  <c r="L1015" i="7" s="1"/>
  <c r="M1015" i="7" s="1"/>
  <c r="N1015" i="7" s="1"/>
  <c r="I595" i="7"/>
  <c r="K595" i="7" s="1"/>
  <c r="L595" i="7" s="1"/>
  <c r="M595" i="7" s="1"/>
  <c r="I435" i="7"/>
  <c r="K435" i="7" s="1"/>
  <c r="L435" i="7" s="1"/>
  <c r="I255" i="7"/>
  <c r="K255" i="7" s="1"/>
  <c r="L255" i="7" s="1"/>
  <c r="M255" i="7" s="1"/>
  <c r="N255" i="7" s="1"/>
  <c r="I55" i="7"/>
  <c r="K55" i="7" s="1"/>
  <c r="L55" i="7" s="1"/>
  <c r="M55" i="7" s="1"/>
  <c r="I1414" i="7"/>
  <c r="K1414" i="7" s="1"/>
  <c r="L1414" i="7" s="1"/>
  <c r="I1001" i="7"/>
  <c r="K1001" i="7" s="1"/>
  <c r="L1001" i="7" s="1"/>
  <c r="I583" i="7"/>
  <c r="K583" i="7" s="1"/>
  <c r="L583" i="7" s="1"/>
  <c r="I150" i="7"/>
  <c r="K150" i="7" s="1"/>
  <c r="L150" i="7" s="1"/>
  <c r="I1974" i="7"/>
  <c r="K1974" i="7" s="1"/>
  <c r="L1974" i="7" s="1"/>
  <c r="I1834" i="7"/>
  <c r="K1834" i="7" s="1"/>
  <c r="L1834" i="7" s="1"/>
  <c r="I1474" i="7"/>
  <c r="K1474" i="7" s="1"/>
  <c r="L1474" i="7" s="1"/>
  <c r="I1314" i="7"/>
  <c r="K1314" i="7" s="1"/>
  <c r="L1314" i="7" s="1"/>
  <c r="I1154" i="7"/>
  <c r="K1154" i="7" s="1"/>
  <c r="L1154" i="7" s="1"/>
  <c r="M1154" i="7" s="1"/>
  <c r="I494" i="7"/>
  <c r="K494" i="7" s="1"/>
  <c r="L494" i="7" s="1"/>
  <c r="M494" i="7" s="1"/>
  <c r="I354" i="7"/>
  <c r="K354" i="7" s="1"/>
  <c r="L354" i="7" s="1"/>
  <c r="M354" i="7" s="1"/>
  <c r="N354" i="7" s="1"/>
  <c r="I1962" i="7"/>
  <c r="K1962" i="7" s="1"/>
  <c r="L1962" i="7" s="1"/>
  <c r="I1622" i="7"/>
  <c r="K1622" i="7" s="1"/>
  <c r="L1622" i="7" s="1"/>
  <c r="M1622" i="7" s="1"/>
  <c r="I1232" i="7"/>
  <c r="K1232" i="7" s="1"/>
  <c r="L1232" i="7" s="1"/>
  <c r="I424" i="7"/>
  <c r="K424" i="7" s="1"/>
  <c r="L424" i="7" s="1"/>
  <c r="I1373" i="7"/>
  <c r="K1373" i="7" s="1"/>
  <c r="L1373" i="7" s="1"/>
  <c r="M1373" i="7" s="1"/>
  <c r="I1093" i="7"/>
  <c r="K1093" i="7" s="1"/>
  <c r="L1093" i="7" s="1"/>
  <c r="I933" i="7"/>
  <c r="K933" i="7" s="1"/>
  <c r="L933" i="7" s="1"/>
  <c r="M933" i="7" s="1"/>
  <c r="I773" i="7"/>
  <c r="K773" i="7" s="1"/>
  <c r="L773" i="7" s="1"/>
  <c r="M773" i="7" s="1"/>
  <c r="I613" i="7"/>
  <c r="K613" i="7" s="1"/>
  <c r="L613" i="7" s="1"/>
  <c r="I453" i="7"/>
  <c r="K453" i="7" s="1"/>
  <c r="L453" i="7" s="1"/>
  <c r="I273" i="7"/>
  <c r="K273" i="7" s="1"/>
  <c r="L273" i="7" s="1"/>
  <c r="M273" i="7" s="1"/>
  <c r="I73" i="7"/>
  <c r="K73" i="7" s="1"/>
  <c r="L73" i="7" s="1"/>
  <c r="I843" i="7"/>
  <c r="K843" i="7" s="1"/>
  <c r="L843" i="7" s="1"/>
  <c r="I1592" i="7"/>
  <c r="K1592" i="7" s="1"/>
  <c r="L1592" i="7" s="1"/>
  <c r="M1592" i="7" s="1"/>
  <c r="I1412" i="7"/>
  <c r="K1412" i="7" s="1"/>
  <c r="L1412" i="7" s="1"/>
  <c r="M1412" i="7" s="1"/>
  <c r="I1252" i="7"/>
  <c r="K1252" i="7" s="1"/>
  <c r="L1252" i="7" s="1"/>
  <c r="I1052" i="7"/>
  <c r="K1052" i="7" s="1"/>
  <c r="L1052" i="7" s="1"/>
  <c r="I892" i="7"/>
  <c r="K892" i="7" s="1"/>
  <c r="L892" i="7" s="1"/>
  <c r="M892" i="7" s="1"/>
  <c r="I612" i="7"/>
  <c r="K612" i="7" s="1"/>
  <c r="L612" i="7" s="1"/>
  <c r="M612" i="7" s="1"/>
  <c r="N612" i="7" s="1"/>
  <c r="I492" i="7"/>
  <c r="K492" i="7" s="1"/>
  <c r="L492" i="7" s="1"/>
  <c r="I292" i="7"/>
  <c r="K292" i="7" s="1"/>
  <c r="L292" i="7" s="1"/>
  <c r="I192" i="7"/>
  <c r="K192" i="7" s="1"/>
  <c r="L192" i="7" s="1"/>
  <c r="I172" i="7"/>
  <c r="K172" i="7" s="1"/>
  <c r="L172" i="7" s="1"/>
  <c r="M172" i="7" s="1"/>
  <c r="I1919" i="7"/>
  <c r="K1919" i="7" s="1"/>
  <c r="L1919" i="7" s="1"/>
  <c r="I1767" i="7"/>
  <c r="K1767" i="7" s="1"/>
  <c r="L1767" i="7" s="1"/>
  <c r="M1767" i="7" s="1"/>
  <c r="N1767" i="7" s="1"/>
  <c r="I1362" i="7"/>
  <c r="K1362" i="7" s="1"/>
  <c r="L1362" i="7" s="1"/>
  <c r="M1362" i="7" s="1"/>
  <c r="I784" i="7"/>
  <c r="K784" i="7" s="1"/>
  <c r="L784" i="7" s="1"/>
  <c r="M784" i="7" s="1"/>
  <c r="I264" i="7"/>
  <c r="K264" i="7" s="1"/>
  <c r="L264" i="7" s="1"/>
  <c r="I1951" i="7"/>
  <c r="K1951" i="7" s="1"/>
  <c r="L1951" i="7" s="1"/>
  <c r="I1731" i="7"/>
  <c r="K1731" i="7" s="1"/>
  <c r="L1731" i="7" s="1"/>
  <c r="I1571" i="7"/>
  <c r="K1571" i="7" s="1"/>
  <c r="L1571" i="7" s="1"/>
  <c r="I1151" i="7"/>
  <c r="K1151" i="7" s="1"/>
  <c r="L1151" i="7" s="1"/>
  <c r="I1869" i="7"/>
  <c r="K1869" i="7" s="1"/>
  <c r="L1869" i="7" s="1"/>
  <c r="I1709" i="7"/>
  <c r="K1709" i="7" s="1"/>
  <c r="L1709" i="7" s="1"/>
  <c r="I1629" i="7"/>
  <c r="K1629" i="7" s="1"/>
  <c r="L1629" i="7" s="1"/>
  <c r="I1529" i="7"/>
  <c r="K1529" i="7" s="1"/>
  <c r="L1529" i="7" s="1"/>
  <c r="I1309" i="7"/>
  <c r="K1309" i="7" s="1"/>
  <c r="L1309" i="7" s="1"/>
  <c r="I1089" i="7"/>
  <c r="K1089" i="7" s="1"/>
  <c r="L1089" i="7" s="1"/>
  <c r="I989" i="7"/>
  <c r="K989" i="7" s="1"/>
  <c r="L989" i="7" s="1"/>
  <c r="M989" i="7" s="1"/>
  <c r="I929" i="7"/>
  <c r="K929" i="7" s="1"/>
  <c r="L929" i="7" s="1"/>
  <c r="M929" i="7" s="1"/>
  <c r="I389" i="7"/>
  <c r="K389" i="7" s="1"/>
  <c r="L389" i="7" s="1"/>
  <c r="M389" i="7" s="1"/>
  <c r="I249" i="7"/>
  <c r="K249" i="7" s="1"/>
  <c r="L249" i="7" s="1"/>
  <c r="I149" i="7"/>
  <c r="K149" i="7" s="1"/>
  <c r="L149" i="7" s="1"/>
  <c r="I1721" i="7"/>
  <c r="K1721" i="7" s="1"/>
  <c r="L1721" i="7" s="1"/>
  <c r="I244" i="7"/>
  <c r="K244" i="7" s="1"/>
  <c r="L244" i="7" s="1"/>
  <c r="M244" i="7" s="1"/>
  <c r="I1908" i="7"/>
  <c r="K1908" i="7" s="1"/>
  <c r="L1908" i="7" s="1"/>
  <c r="I1688" i="7"/>
  <c r="K1688" i="7" s="1"/>
  <c r="L1688" i="7" s="1"/>
  <c r="M1688" i="7" s="1"/>
  <c r="N1688" i="7" s="1"/>
  <c r="I1308" i="7"/>
  <c r="K1308" i="7" s="1"/>
  <c r="L1308" i="7" s="1"/>
  <c r="M1308" i="7" s="1"/>
  <c r="I1188" i="7"/>
  <c r="K1188" i="7" s="1"/>
  <c r="L1188" i="7" s="1"/>
  <c r="I688" i="7"/>
  <c r="K688" i="7" s="1"/>
  <c r="L688" i="7" s="1"/>
  <c r="I1263" i="7"/>
  <c r="K1263" i="7" s="1"/>
  <c r="L1263" i="7" s="1"/>
  <c r="I885" i="7"/>
  <c r="K885" i="7" s="1"/>
  <c r="L885" i="7" s="1"/>
  <c r="I1847" i="7"/>
  <c r="K1847" i="7" s="1"/>
  <c r="L1847" i="7" s="1"/>
  <c r="M1847" i="7" s="1"/>
  <c r="I1925" i="7"/>
  <c r="K1925" i="7" s="1"/>
  <c r="L1925" i="7" s="1"/>
  <c r="M1925" i="7" s="1"/>
  <c r="I1765" i="7"/>
  <c r="K1765" i="7" s="1"/>
  <c r="L1765" i="7" s="1"/>
  <c r="M1765" i="7" s="1"/>
  <c r="I1645" i="7"/>
  <c r="K1645" i="7" s="1"/>
  <c r="L1645" i="7" s="1"/>
  <c r="I1585" i="7"/>
  <c r="K1585" i="7" s="1"/>
  <c r="L1585" i="7" s="1"/>
  <c r="M1585" i="7" s="1"/>
  <c r="I1505" i="7"/>
  <c r="K1505" i="7" s="1"/>
  <c r="L1505" i="7" s="1"/>
  <c r="M1505" i="7" s="1"/>
  <c r="I1844" i="7"/>
  <c r="K1844" i="7" s="1"/>
  <c r="L1844" i="7" s="1"/>
  <c r="I1644" i="7"/>
  <c r="K1644" i="7" s="1"/>
  <c r="L1644" i="7" s="1"/>
  <c r="I1384" i="7"/>
  <c r="K1384" i="7" s="1"/>
  <c r="L1384" i="7" s="1"/>
  <c r="M1384" i="7" s="1"/>
  <c r="I1344" i="7"/>
  <c r="K1344" i="7" s="1"/>
  <c r="L1344" i="7" s="1"/>
  <c r="I1324" i="7"/>
  <c r="K1324" i="7" s="1"/>
  <c r="L1324" i="7" s="1"/>
  <c r="M1324" i="7" s="1"/>
  <c r="I1284" i="7"/>
  <c r="K1284" i="7" s="1"/>
  <c r="L1284" i="7" s="1"/>
  <c r="M1284" i="7" s="1"/>
  <c r="I1204" i="7"/>
  <c r="K1204" i="7" s="1"/>
  <c r="L1204" i="7" s="1"/>
  <c r="M1204" i="7" s="1"/>
  <c r="N1204" i="7" s="1"/>
  <c r="I1024" i="7"/>
  <c r="K1024" i="7" s="1"/>
  <c r="L1024" i="7" s="1"/>
  <c r="M1024" i="7" s="1"/>
  <c r="I1979" i="7"/>
  <c r="K1979" i="7" s="1"/>
  <c r="L1979" i="7" s="1"/>
  <c r="I1943" i="7"/>
  <c r="K1943" i="7" s="1"/>
  <c r="L1943" i="7" s="1"/>
  <c r="I1864" i="7"/>
  <c r="K1864" i="7" s="1"/>
  <c r="L1864" i="7" s="1"/>
  <c r="I1479" i="7"/>
  <c r="K1479" i="7" s="1"/>
  <c r="L1479" i="7" s="1"/>
  <c r="I1208" i="7"/>
  <c r="K1208" i="7" s="1"/>
  <c r="L1208" i="7" s="1"/>
  <c r="I922" i="7"/>
  <c r="K922" i="7" s="1"/>
  <c r="L922" i="7" s="1"/>
  <c r="I864" i="7"/>
  <c r="K864" i="7" s="1"/>
  <c r="L864" i="7" s="1"/>
  <c r="I661" i="7"/>
  <c r="K661" i="7" s="1"/>
  <c r="L661" i="7" s="1"/>
  <c r="M661" i="7" s="1"/>
  <c r="I662" i="7"/>
  <c r="K662" i="7" s="1"/>
  <c r="L662" i="7" s="1"/>
  <c r="M662" i="7" s="1"/>
  <c r="I604" i="7"/>
  <c r="K604" i="7" s="1"/>
  <c r="L604" i="7" s="1"/>
  <c r="I502" i="7"/>
  <c r="K502" i="7" s="1"/>
  <c r="L502" i="7" s="1"/>
  <c r="M502" i="7" s="1"/>
  <c r="I447" i="7"/>
  <c r="K447" i="7" s="1"/>
  <c r="L447" i="7" s="1"/>
  <c r="M447" i="7" s="1"/>
  <c r="N447" i="7" s="1"/>
  <c r="I350" i="7"/>
  <c r="K350" i="7" s="1"/>
  <c r="L350" i="7" s="1"/>
  <c r="M350" i="7" s="1"/>
  <c r="I50" i="7"/>
  <c r="K50" i="7" s="1"/>
  <c r="L50" i="7" s="1"/>
  <c r="M50" i="7" s="1"/>
  <c r="I1882" i="7"/>
  <c r="K1882" i="7" s="1"/>
  <c r="L1882" i="7" s="1"/>
  <c r="M1882" i="7" s="1"/>
  <c r="I1642" i="7"/>
  <c r="K1642" i="7" s="1"/>
  <c r="L1642" i="7" s="1"/>
  <c r="I1224" i="7"/>
  <c r="K1224" i="7" s="1"/>
  <c r="L1224" i="7" s="1"/>
  <c r="M1224" i="7" s="1"/>
  <c r="I1143" i="7"/>
  <c r="K1143" i="7" s="1"/>
  <c r="L1143" i="7" s="1"/>
  <c r="I274" i="7"/>
  <c r="K274" i="7" s="1"/>
  <c r="L274" i="7" s="1"/>
  <c r="M274" i="7" s="1"/>
  <c r="I729" i="7"/>
  <c r="K729" i="7" s="1"/>
  <c r="L729" i="7" s="1"/>
  <c r="M729" i="7" s="1"/>
  <c r="N729" i="7" s="1"/>
  <c r="I1503" i="7"/>
  <c r="K1503" i="7" s="1"/>
  <c r="L1503" i="7" s="1"/>
  <c r="M1503" i="7" s="1"/>
  <c r="I1430" i="7"/>
  <c r="K1430" i="7" s="1"/>
  <c r="L1430" i="7" s="1"/>
  <c r="M1430" i="7" s="1"/>
  <c r="I1244" i="7"/>
  <c r="K1244" i="7" s="1"/>
  <c r="L1244" i="7" s="1"/>
  <c r="I1010" i="7"/>
  <c r="K1010" i="7" s="1"/>
  <c r="L1010" i="7" s="1"/>
  <c r="I921" i="7"/>
  <c r="K921" i="7" s="1"/>
  <c r="L921" i="7" s="1"/>
  <c r="I863" i="7"/>
  <c r="K863" i="7" s="1"/>
  <c r="L863" i="7" s="1"/>
  <c r="I710" i="7"/>
  <c r="K710" i="7" s="1"/>
  <c r="L710" i="7" s="1"/>
  <c r="I603" i="7"/>
  <c r="K603" i="7" s="1"/>
  <c r="L603" i="7" s="1"/>
  <c r="M603" i="7" s="1"/>
  <c r="N603" i="7" s="1"/>
  <c r="I348" i="7"/>
  <c r="K348" i="7" s="1"/>
  <c r="L348" i="7" s="1"/>
  <c r="I288" i="7"/>
  <c r="K288" i="7" s="1"/>
  <c r="L288" i="7" s="1"/>
  <c r="I163" i="7"/>
  <c r="K163" i="7" s="1"/>
  <c r="L163" i="7" s="1"/>
  <c r="I1222" i="7"/>
  <c r="K1222" i="7" s="1"/>
  <c r="L1222" i="7" s="1"/>
  <c r="I1964" i="7"/>
  <c r="K1964" i="7" s="1"/>
  <c r="L1964" i="7" s="1"/>
  <c r="I1323" i="7"/>
  <c r="K1323" i="7" s="1"/>
  <c r="L1323" i="7" s="1"/>
  <c r="I899" i="7"/>
  <c r="K899" i="7" s="1"/>
  <c r="L899" i="7" s="1"/>
  <c r="I528" i="7"/>
  <c r="K528" i="7" s="1"/>
  <c r="L528" i="7" s="1"/>
  <c r="M528" i="7" s="1"/>
  <c r="I154" i="7"/>
  <c r="K154" i="7" s="1"/>
  <c r="L154" i="7" s="1"/>
  <c r="M154" i="7" s="1"/>
  <c r="N154" i="7" s="1"/>
  <c r="I1675" i="7"/>
  <c r="K1675" i="7" s="1"/>
  <c r="L1675" i="7" s="1"/>
  <c r="M1675" i="7" s="1"/>
  <c r="I1435" i="7"/>
  <c r="K1435" i="7" s="1"/>
  <c r="L1435" i="7" s="1"/>
  <c r="I1335" i="7"/>
  <c r="K1335" i="7" s="1"/>
  <c r="L1335" i="7" s="1"/>
  <c r="M1335" i="7" s="1"/>
  <c r="N1335" i="7" s="1"/>
  <c r="I995" i="7"/>
  <c r="K995" i="7" s="1"/>
  <c r="L995" i="7" s="1"/>
  <c r="M995" i="7" s="1"/>
  <c r="I835" i="7"/>
  <c r="K835" i="7" s="1"/>
  <c r="L835" i="7" s="1"/>
  <c r="I555" i="7"/>
  <c r="K555" i="7" s="1"/>
  <c r="L555" i="7" s="1"/>
  <c r="I415" i="7"/>
  <c r="K415" i="7" s="1"/>
  <c r="L415" i="7" s="1"/>
  <c r="M415" i="7" s="1"/>
  <c r="N415" i="7" s="1"/>
  <c r="I175" i="7"/>
  <c r="K175" i="7" s="1"/>
  <c r="L175" i="7" s="1"/>
  <c r="I1922" i="7"/>
  <c r="K1922" i="7" s="1"/>
  <c r="L1922" i="7" s="1"/>
  <c r="I1502" i="7"/>
  <c r="K1502" i="7" s="1"/>
  <c r="L1502" i="7" s="1"/>
  <c r="I1233" i="7"/>
  <c r="K1233" i="7" s="1"/>
  <c r="L1233" i="7" s="1"/>
  <c r="I632" i="7"/>
  <c r="K632" i="7" s="1"/>
  <c r="L632" i="7" s="1"/>
  <c r="M632" i="7" s="1"/>
  <c r="I1854" i="7"/>
  <c r="K1854" i="7" s="1"/>
  <c r="L1854" i="7" s="1"/>
  <c r="I1714" i="7"/>
  <c r="K1714" i="7" s="1"/>
  <c r="L1714" i="7" s="1"/>
  <c r="I1634" i="7"/>
  <c r="K1634" i="7" s="1"/>
  <c r="L1634" i="7" s="1"/>
  <c r="I914" i="7"/>
  <c r="K914" i="7" s="1"/>
  <c r="L914" i="7" s="1"/>
  <c r="M914" i="7" s="1"/>
  <c r="N914" i="7" s="1"/>
  <c r="I574" i="7"/>
  <c r="K574" i="7" s="1"/>
  <c r="L574" i="7" s="1"/>
  <c r="I94" i="7"/>
  <c r="K94" i="7" s="1"/>
  <c r="L94" i="7" s="1"/>
  <c r="M94" i="7" s="1"/>
  <c r="I1773" i="7"/>
  <c r="K1773" i="7" s="1"/>
  <c r="L1773" i="7" s="1"/>
  <c r="M1773" i="7" s="1"/>
  <c r="I1365" i="7"/>
  <c r="K1365" i="7" s="1"/>
  <c r="L1365" i="7" s="1"/>
  <c r="M1365" i="7" s="1"/>
  <c r="I941" i="7"/>
  <c r="K941" i="7" s="1"/>
  <c r="L941" i="7" s="1"/>
  <c r="M941" i="7" s="1"/>
  <c r="N941" i="7" s="1"/>
  <c r="I526" i="7"/>
  <c r="K526" i="7" s="1"/>
  <c r="L526" i="7" s="1"/>
  <c r="M526" i="7" s="1"/>
  <c r="I148" i="7"/>
  <c r="K148" i="7" s="1"/>
  <c r="L148" i="7" s="1"/>
  <c r="M148" i="7" s="1"/>
  <c r="I1593" i="7"/>
  <c r="K1593" i="7" s="1"/>
  <c r="L1593" i="7" s="1"/>
  <c r="M1593" i="7" s="1"/>
  <c r="I1473" i="7"/>
  <c r="K1473" i="7" s="1"/>
  <c r="L1473" i="7" s="1"/>
  <c r="I1273" i="7"/>
  <c r="K1273" i="7" s="1"/>
  <c r="L1273" i="7" s="1"/>
  <c r="I873" i="7"/>
  <c r="K873" i="7" s="1"/>
  <c r="L873" i="7" s="1"/>
  <c r="M873" i="7" s="1"/>
  <c r="I733" i="7"/>
  <c r="K733" i="7" s="1"/>
  <c r="L733" i="7" s="1"/>
  <c r="I593" i="7"/>
  <c r="K593" i="7" s="1"/>
  <c r="L593" i="7" s="1"/>
  <c r="M593" i="7" s="1"/>
  <c r="I473" i="7"/>
  <c r="K473" i="7" s="1"/>
  <c r="L473" i="7" s="1"/>
  <c r="M473" i="7" s="1"/>
  <c r="I353" i="7"/>
  <c r="K353" i="7" s="1"/>
  <c r="L353" i="7" s="1"/>
  <c r="I253" i="7"/>
  <c r="K253" i="7" s="1"/>
  <c r="L253" i="7" s="1"/>
  <c r="I153" i="7"/>
  <c r="K153" i="7" s="1"/>
  <c r="L153" i="7" s="1"/>
  <c r="M153" i="7" s="1"/>
  <c r="I33" i="7"/>
  <c r="K33" i="7" s="1"/>
  <c r="L33" i="7" s="1"/>
  <c r="M33" i="7" s="1"/>
  <c r="I1727" i="7"/>
  <c r="K1727" i="7" s="1"/>
  <c r="L1727" i="7" s="1"/>
  <c r="M1727" i="7" s="1"/>
  <c r="I630" i="7"/>
  <c r="K630" i="7" s="1"/>
  <c r="L630" i="7" s="1"/>
  <c r="M630" i="7" s="1"/>
  <c r="N630" i="7" s="1"/>
  <c r="I1852" i="7"/>
  <c r="K1852" i="7" s="1"/>
  <c r="L1852" i="7" s="1"/>
  <c r="M1852" i="7" s="1"/>
  <c r="I1652" i="7"/>
  <c r="K1652" i="7" s="1"/>
  <c r="L1652" i="7" s="1"/>
  <c r="M1652" i="7" s="1"/>
  <c r="I812" i="7"/>
  <c r="K812" i="7" s="1"/>
  <c r="L812" i="7" s="1"/>
  <c r="M812" i="7" s="1"/>
  <c r="I412" i="7"/>
  <c r="K412" i="7" s="1"/>
  <c r="L412" i="7" s="1"/>
  <c r="I252" i="7"/>
  <c r="K252" i="7" s="1"/>
  <c r="L252" i="7" s="1"/>
  <c r="M252" i="7" s="1"/>
  <c r="I132" i="7"/>
  <c r="K132" i="7" s="1"/>
  <c r="L132" i="7" s="1"/>
  <c r="M132" i="7" s="1"/>
  <c r="I1959" i="7"/>
  <c r="K1959" i="7" s="1"/>
  <c r="L1959" i="7" s="1"/>
  <c r="M1959" i="7" s="1"/>
  <c r="N1959" i="7" s="1"/>
  <c r="I1043" i="7"/>
  <c r="K1043" i="7" s="1"/>
  <c r="L1043" i="7" s="1"/>
  <c r="M1043" i="7" s="1"/>
  <c r="I739" i="7"/>
  <c r="K739" i="7" s="1"/>
  <c r="L739" i="7" s="1"/>
  <c r="I1465" i="7"/>
  <c r="K1465" i="7" s="1"/>
  <c r="L1465" i="7" s="1"/>
  <c r="I1831" i="7"/>
  <c r="K1831" i="7" s="1"/>
  <c r="L1831" i="7" s="1"/>
  <c r="I1671" i="7"/>
  <c r="K1671" i="7" s="1"/>
  <c r="L1671" i="7" s="1"/>
  <c r="I1591" i="7"/>
  <c r="K1591" i="7" s="1"/>
  <c r="L1591" i="7" s="1"/>
  <c r="I1471" i="7"/>
  <c r="K1471" i="7" s="1"/>
  <c r="L1471" i="7" s="1"/>
  <c r="I1191" i="7"/>
  <c r="K1191" i="7" s="1"/>
  <c r="L1191" i="7" s="1"/>
  <c r="M1191" i="7" s="1"/>
  <c r="I1969" i="7"/>
  <c r="K1969" i="7" s="1"/>
  <c r="L1969" i="7" s="1"/>
  <c r="I1589" i="7"/>
  <c r="K1589" i="7" s="1"/>
  <c r="L1589" i="7" s="1"/>
  <c r="M1589" i="7" s="1"/>
  <c r="I1469" i="7"/>
  <c r="K1469" i="7" s="1"/>
  <c r="L1469" i="7" s="1"/>
  <c r="I1269" i="7"/>
  <c r="K1269" i="7" s="1"/>
  <c r="L1269" i="7" s="1"/>
  <c r="I1029" i="7"/>
  <c r="K1029" i="7" s="1"/>
  <c r="L1029" i="7" s="1"/>
  <c r="M1029" i="7" s="1"/>
  <c r="I869" i="7"/>
  <c r="K869" i="7" s="1"/>
  <c r="L869" i="7" s="1"/>
  <c r="M869" i="7" s="1"/>
  <c r="I689" i="7"/>
  <c r="K689" i="7" s="1"/>
  <c r="L689" i="7" s="1"/>
  <c r="M689" i="7" s="1"/>
  <c r="I529" i="7"/>
  <c r="K529" i="7" s="1"/>
  <c r="L529" i="7" s="1"/>
  <c r="M529" i="7" s="1"/>
  <c r="I409" i="7"/>
  <c r="K409" i="7" s="1"/>
  <c r="L409" i="7" s="1"/>
  <c r="M409" i="7" s="1"/>
  <c r="I169" i="7"/>
  <c r="K169" i="7" s="1"/>
  <c r="L169" i="7" s="1"/>
  <c r="I29" i="7"/>
  <c r="K29" i="7" s="1"/>
  <c r="L29" i="7" s="1"/>
  <c r="I1801" i="7"/>
  <c r="K1801" i="7" s="1"/>
  <c r="L1801" i="7" s="1"/>
  <c r="M1801" i="7" s="1"/>
  <c r="I1127" i="7"/>
  <c r="K1127" i="7" s="1"/>
  <c r="L1127" i="7" s="1"/>
  <c r="M1127" i="7" s="1"/>
  <c r="I825" i="7"/>
  <c r="K825" i="7" s="1"/>
  <c r="L825" i="7" s="1"/>
  <c r="I561" i="7"/>
  <c r="K561" i="7" s="1"/>
  <c r="L561" i="7" s="1"/>
  <c r="M561" i="7" s="1"/>
  <c r="N561" i="7" s="1"/>
  <c r="I1243" i="7"/>
  <c r="K1243" i="7" s="1"/>
  <c r="L1243" i="7" s="1"/>
  <c r="I403" i="7"/>
  <c r="K403" i="7" s="1"/>
  <c r="L403" i="7" s="1"/>
  <c r="I1942" i="7"/>
  <c r="K1942" i="7" s="1"/>
  <c r="L1942" i="7" s="1"/>
  <c r="I1863" i="7"/>
  <c r="K1863" i="7" s="1"/>
  <c r="L1863" i="7" s="1"/>
  <c r="I1827" i="7"/>
  <c r="K1827" i="7" s="1"/>
  <c r="L1827" i="7" s="1"/>
  <c r="I1387" i="7"/>
  <c r="K1387" i="7" s="1"/>
  <c r="L1387" i="7" s="1"/>
  <c r="M1387" i="7" s="1"/>
  <c r="I1206" i="7"/>
  <c r="K1206" i="7" s="1"/>
  <c r="L1206" i="7" s="1"/>
  <c r="I968" i="7"/>
  <c r="K968" i="7" s="1"/>
  <c r="L968" i="7" s="1"/>
  <c r="M968" i="7" s="1"/>
  <c r="N968" i="7" s="1"/>
  <c r="I550" i="7"/>
  <c r="K550" i="7" s="1"/>
  <c r="L550" i="7" s="1"/>
  <c r="I1042" i="7"/>
  <c r="K1042" i="7" s="1"/>
  <c r="L1042" i="7" s="1"/>
  <c r="M1042" i="7" s="1"/>
  <c r="I942" i="7"/>
  <c r="K942" i="7" s="1"/>
  <c r="L942" i="7" s="1"/>
  <c r="I782" i="7"/>
  <c r="K782" i="7" s="1"/>
  <c r="L782" i="7" s="1"/>
  <c r="M782" i="7" s="1"/>
  <c r="I1941" i="7"/>
  <c r="K1941" i="7" s="1"/>
  <c r="L1941" i="7" s="1"/>
  <c r="M1941" i="7" s="1"/>
  <c r="I1862" i="7"/>
  <c r="K1862" i="7" s="1"/>
  <c r="L1862" i="7" s="1"/>
  <c r="M1862" i="7" s="1"/>
  <c r="I1825" i="7"/>
  <c r="K1825" i="7" s="1"/>
  <c r="L1825" i="7" s="1"/>
  <c r="M1825" i="7" s="1"/>
  <c r="I1747" i="7"/>
  <c r="K1747" i="7" s="1"/>
  <c r="L1747" i="7" s="1"/>
  <c r="I1330" i="7"/>
  <c r="K1330" i="7" s="1"/>
  <c r="L1330" i="7" s="1"/>
  <c r="I1242" i="7"/>
  <c r="K1242" i="7" s="1"/>
  <c r="L1242" i="7" s="1"/>
  <c r="M1242" i="7" s="1"/>
  <c r="I1205" i="7"/>
  <c r="K1205" i="7" s="1"/>
  <c r="L1205" i="7" s="1"/>
  <c r="I1008" i="7"/>
  <c r="K1008" i="7" s="1"/>
  <c r="L1008" i="7" s="1"/>
  <c r="M1008" i="7" s="1"/>
  <c r="I966" i="7"/>
  <c r="K966" i="7" s="1"/>
  <c r="L966" i="7" s="1"/>
  <c r="M966" i="7" s="1"/>
  <c r="I861" i="7"/>
  <c r="K861" i="7" s="1"/>
  <c r="L861" i="7" s="1"/>
  <c r="I602" i="7"/>
  <c r="K602" i="7" s="1"/>
  <c r="L602" i="7" s="1"/>
  <c r="M602" i="7" s="1"/>
  <c r="I501" i="7"/>
  <c r="K501" i="7" s="1"/>
  <c r="L501" i="7" s="1"/>
  <c r="M501" i="7" s="1"/>
  <c r="I445" i="7"/>
  <c r="K445" i="7" s="1"/>
  <c r="L445" i="7" s="1"/>
  <c r="I287" i="7"/>
  <c r="K287" i="7" s="1"/>
  <c r="L287" i="7" s="1"/>
  <c r="I104" i="7"/>
  <c r="K104" i="7" s="1"/>
  <c r="L104" i="7" s="1"/>
  <c r="I48" i="7"/>
  <c r="K48" i="7" s="1"/>
  <c r="L48" i="7" s="1"/>
  <c r="M48" i="7" s="1"/>
  <c r="I826" i="7"/>
  <c r="K826" i="7" s="1"/>
  <c r="L826" i="7" s="1"/>
  <c r="I1970" i="7"/>
  <c r="K1970" i="7" s="1"/>
  <c r="L1970" i="7" s="1"/>
  <c r="M1970" i="7" s="1"/>
  <c r="I1950" i="7"/>
  <c r="K1950" i="7" s="1"/>
  <c r="L1950" i="7" s="1"/>
  <c r="I1930" i="7"/>
  <c r="K1930" i="7" s="1"/>
  <c r="L1930" i="7" s="1"/>
  <c r="M1930" i="7" s="1"/>
  <c r="I1910" i="7"/>
  <c r="K1910" i="7" s="1"/>
  <c r="L1910" i="7" s="1"/>
  <c r="M1910" i="7" s="1"/>
  <c r="I1890" i="7"/>
  <c r="K1890" i="7" s="1"/>
  <c r="L1890" i="7" s="1"/>
  <c r="M1890" i="7" s="1"/>
  <c r="I1870" i="7"/>
  <c r="K1870" i="7" s="1"/>
  <c r="L1870" i="7" s="1"/>
  <c r="M1870" i="7" s="1"/>
  <c r="I1850" i="7"/>
  <c r="K1850" i="7" s="1"/>
  <c r="L1850" i="7" s="1"/>
  <c r="M1850" i="7" s="1"/>
  <c r="I1830" i="7"/>
  <c r="K1830" i="7" s="1"/>
  <c r="L1830" i="7" s="1"/>
  <c r="I1810" i="7"/>
  <c r="K1810" i="7" s="1"/>
  <c r="L1810" i="7" s="1"/>
  <c r="M1810" i="7" s="1"/>
  <c r="I1790" i="7"/>
  <c r="K1790" i="7" s="1"/>
  <c r="L1790" i="7" s="1"/>
  <c r="M1790" i="7" s="1"/>
  <c r="N1790" i="7" s="1"/>
  <c r="I1770" i="7"/>
  <c r="K1770" i="7" s="1"/>
  <c r="L1770" i="7" s="1"/>
  <c r="M1770" i="7" s="1"/>
  <c r="I1750" i="7"/>
  <c r="K1750" i="7" s="1"/>
  <c r="L1750" i="7" s="1"/>
  <c r="I1730" i="7"/>
  <c r="K1730" i="7" s="1"/>
  <c r="L1730" i="7" s="1"/>
  <c r="M1730" i="7" s="1"/>
  <c r="I1710" i="7"/>
  <c r="K1710" i="7" s="1"/>
  <c r="L1710" i="7" s="1"/>
  <c r="I1690" i="7"/>
  <c r="K1690" i="7" s="1"/>
  <c r="L1690" i="7" s="1"/>
  <c r="I1670" i="7"/>
  <c r="K1670" i="7" s="1"/>
  <c r="L1670" i="7" s="1"/>
  <c r="I1650" i="7"/>
  <c r="K1650" i="7" s="1"/>
  <c r="L1650" i="7" s="1"/>
  <c r="M1650" i="7" s="1"/>
  <c r="I1630" i="7"/>
  <c r="K1630" i="7" s="1"/>
  <c r="L1630" i="7" s="1"/>
  <c r="I1610" i="7"/>
  <c r="K1610" i="7" s="1"/>
  <c r="L1610" i="7" s="1"/>
  <c r="I1590" i="7"/>
  <c r="K1590" i="7" s="1"/>
  <c r="L1590" i="7" s="1"/>
  <c r="M1590" i="7" s="1"/>
  <c r="I1570" i="7"/>
  <c r="K1570" i="7" s="1"/>
  <c r="L1570" i="7" s="1"/>
  <c r="M1570" i="7" s="1"/>
  <c r="I1550" i="7"/>
  <c r="K1550" i="7" s="1"/>
  <c r="L1550" i="7" s="1"/>
  <c r="I1490" i="7"/>
  <c r="K1490" i="7" s="1"/>
  <c r="L1490" i="7" s="1"/>
  <c r="M1490" i="7" s="1"/>
  <c r="I1290" i="7"/>
  <c r="K1290" i="7" s="1"/>
  <c r="L1290" i="7" s="1"/>
  <c r="I1270" i="7"/>
  <c r="K1270" i="7" s="1"/>
  <c r="L1270" i="7" s="1"/>
  <c r="M1270" i="7" s="1"/>
  <c r="N1270" i="7" s="1"/>
  <c r="I1110" i="7"/>
  <c r="K1110" i="7" s="1"/>
  <c r="L1110" i="7" s="1"/>
  <c r="M1110" i="7" s="1"/>
  <c r="N1110" i="7" s="1"/>
  <c r="I890" i="7"/>
  <c r="K890" i="7" s="1"/>
  <c r="L890" i="7" s="1"/>
  <c r="M890" i="7" s="1"/>
  <c r="I850" i="7"/>
  <c r="K850" i="7" s="1"/>
  <c r="L850" i="7" s="1"/>
  <c r="M850" i="7" s="1"/>
  <c r="I830" i="7"/>
  <c r="K830" i="7" s="1"/>
  <c r="L830" i="7" s="1"/>
  <c r="M830" i="7" s="1"/>
  <c r="I810" i="7"/>
  <c r="K810" i="7" s="1"/>
  <c r="L810" i="7" s="1"/>
  <c r="I750" i="7"/>
  <c r="K750" i="7" s="1"/>
  <c r="L750" i="7" s="1"/>
  <c r="I670" i="7"/>
  <c r="K670" i="7" s="1"/>
  <c r="L670" i="7" s="1"/>
  <c r="I590" i="7"/>
  <c r="K590" i="7" s="1"/>
  <c r="L590" i="7" s="1"/>
  <c r="I510" i="7"/>
  <c r="K510" i="7" s="1"/>
  <c r="L510" i="7" s="1"/>
  <c r="I490" i="7"/>
  <c r="K490" i="7" s="1"/>
  <c r="L490" i="7" s="1"/>
  <c r="M490" i="7" s="1"/>
  <c r="N490" i="7" s="1"/>
  <c r="I450" i="7"/>
  <c r="K450" i="7" s="1"/>
  <c r="L450" i="7" s="1"/>
  <c r="M450" i="7" s="1"/>
  <c r="I430" i="7"/>
  <c r="K430" i="7" s="1"/>
  <c r="L430" i="7" s="1"/>
  <c r="I410" i="7"/>
  <c r="K410" i="7" s="1"/>
  <c r="L410" i="7" s="1"/>
  <c r="I390" i="7"/>
  <c r="K390" i="7" s="1"/>
  <c r="L390" i="7" s="1"/>
  <c r="I330" i="7"/>
  <c r="K330" i="7" s="1"/>
  <c r="L330" i="7" s="1"/>
  <c r="I310" i="7"/>
  <c r="K310" i="7" s="1"/>
  <c r="L310" i="7" s="1"/>
  <c r="M310" i="7" s="1"/>
  <c r="N310" i="7" s="1"/>
  <c r="I250" i="7"/>
  <c r="K250" i="7" s="1"/>
  <c r="L250" i="7" s="1"/>
  <c r="I230" i="7"/>
  <c r="K230" i="7" s="1"/>
  <c r="L230" i="7" s="1"/>
  <c r="M230" i="7" s="1"/>
  <c r="I190" i="7"/>
  <c r="K190" i="7" s="1"/>
  <c r="L190" i="7" s="1"/>
  <c r="M190" i="7" s="1"/>
  <c r="N190" i="7" s="1"/>
  <c r="I170" i="7"/>
  <c r="K170" i="7" s="1"/>
  <c r="L170" i="7" s="1"/>
  <c r="I130" i="7"/>
  <c r="K130" i="7" s="1"/>
  <c r="L130" i="7" s="1"/>
  <c r="M130" i="7" s="1"/>
  <c r="I110" i="7"/>
  <c r="K110" i="7" s="1"/>
  <c r="L110" i="7" s="1"/>
  <c r="M110" i="7" s="1"/>
  <c r="N110" i="7" s="1"/>
  <c r="I90" i="7"/>
  <c r="K90" i="7" s="1"/>
  <c r="L90" i="7" s="1"/>
  <c r="M90" i="7" s="1"/>
  <c r="N90" i="7" s="1"/>
  <c r="I30" i="7"/>
  <c r="K30" i="7" s="1"/>
  <c r="L30" i="7" s="1"/>
  <c r="I1823" i="7"/>
  <c r="K1823" i="7" s="1"/>
  <c r="L1823" i="7" s="1"/>
  <c r="M1823" i="7" s="1"/>
  <c r="I1739" i="7"/>
  <c r="K1739" i="7" s="1"/>
  <c r="L1739" i="7" s="1"/>
  <c r="I1681" i="7"/>
  <c r="K1681" i="7" s="1"/>
  <c r="L1681" i="7" s="1"/>
  <c r="I1623" i="7"/>
  <c r="K1623" i="7" s="1"/>
  <c r="L1623" i="7" s="1"/>
  <c r="I627" i="7"/>
  <c r="K627" i="7" s="1"/>
  <c r="L627" i="7" s="1"/>
  <c r="I267" i="7"/>
  <c r="K267" i="7" s="1"/>
  <c r="L267" i="7" s="1"/>
  <c r="I183" i="7"/>
  <c r="K183" i="7" s="1"/>
  <c r="L183" i="7" s="1"/>
  <c r="M183" i="7" s="1"/>
  <c r="I47" i="7"/>
  <c r="K47" i="7" s="1"/>
  <c r="L47" i="7" s="1"/>
  <c r="I1868" i="7"/>
  <c r="K1868" i="7" s="1"/>
  <c r="L1868" i="7" s="1"/>
  <c r="I1668" i="7"/>
  <c r="K1668" i="7" s="1"/>
  <c r="L1668" i="7" s="1"/>
  <c r="M1668" i="7" s="1"/>
  <c r="I1548" i="7"/>
  <c r="K1548" i="7" s="1"/>
  <c r="L1548" i="7" s="1"/>
  <c r="I848" i="7"/>
  <c r="K848" i="7" s="1"/>
  <c r="L848" i="7" s="1"/>
  <c r="M848" i="7" s="1"/>
  <c r="I728" i="7"/>
  <c r="K728" i="7" s="1"/>
  <c r="L728" i="7" s="1"/>
  <c r="M728" i="7" s="1"/>
  <c r="N728" i="7" s="1"/>
  <c r="I408" i="7"/>
  <c r="K408" i="7" s="1"/>
  <c r="L408" i="7" s="1"/>
  <c r="M408" i="7" s="1"/>
  <c r="I328" i="7"/>
  <c r="K328" i="7" s="1"/>
  <c r="L328" i="7" s="1"/>
  <c r="I248" i="7"/>
  <c r="K248" i="7" s="1"/>
  <c r="L248" i="7" s="1"/>
  <c r="M248" i="7" s="1"/>
  <c r="I228" i="7"/>
  <c r="K228" i="7" s="1"/>
  <c r="L228" i="7" s="1"/>
  <c r="M228" i="7" s="1"/>
  <c r="I168" i="7"/>
  <c r="K168" i="7" s="1"/>
  <c r="L168" i="7" s="1"/>
  <c r="M168" i="7" s="1"/>
  <c r="I108" i="7"/>
  <c r="K108" i="7" s="1"/>
  <c r="L108" i="7" s="1"/>
  <c r="I88" i="7"/>
  <c r="K88" i="7" s="1"/>
  <c r="L88" i="7" s="1"/>
  <c r="I28" i="7"/>
  <c r="K28" i="7" s="1"/>
  <c r="L28" i="7" s="1"/>
  <c r="I1763" i="7"/>
  <c r="K1763" i="7" s="1"/>
  <c r="L1763" i="7" s="1"/>
  <c r="I1679" i="7"/>
  <c r="K1679" i="7" s="1"/>
  <c r="L1679" i="7" s="1"/>
  <c r="M1679" i="7" s="1"/>
  <c r="N1679" i="7" s="1"/>
  <c r="I1621" i="7"/>
  <c r="K1621" i="7" s="1"/>
  <c r="L1621" i="7" s="1"/>
  <c r="I1446" i="7"/>
  <c r="K1446" i="7" s="1"/>
  <c r="L1446" i="7" s="1"/>
  <c r="I1286" i="7"/>
  <c r="K1286" i="7" s="1"/>
  <c r="L1286" i="7" s="1"/>
  <c r="I1227" i="7"/>
  <c r="K1227" i="7" s="1"/>
  <c r="L1227" i="7" s="1"/>
  <c r="M1227" i="7" s="1"/>
  <c r="I1126" i="7"/>
  <c r="K1126" i="7" s="1"/>
  <c r="L1126" i="7" s="1"/>
  <c r="I1027" i="7"/>
  <c r="K1027" i="7" s="1"/>
  <c r="L1027" i="7" s="1"/>
  <c r="M1027" i="7" s="1"/>
  <c r="I919" i="7"/>
  <c r="K919" i="7" s="1"/>
  <c r="L919" i="7" s="1"/>
  <c r="M919" i="7" s="1"/>
  <c r="I805" i="7"/>
  <c r="K805" i="7" s="1"/>
  <c r="L805" i="7" s="1"/>
  <c r="I624" i="7"/>
  <c r="K624" i="7" s="1"/>
  <c r="L624" i="7" s="1"/>
  <c r="M624" i="7" s="1"/>
  <c r="I582" i="7"/>
  <c r="K582" i="7" s="1"/>
  <c r="L582" i="7" s="1"/>
  <c r="M582" i="7" s="1"/>
  <c r="I545" i="7"/>
  <c r="K545" i="7" s="1"/>
  <c r="L545" i="7" s="1"/>
  <c r="M545" i="7" s="1"/>
  <c r="I465" i="7"/>
  <c r="K465" i="7" s="1"/>
  <c r="L465" i="7" s="1"/>
  <c r="I423" i="7"/>
  <c r="K423" i="7" s="1"/>
  <c r="L423" i="7" s="1"/>
  <c r="M423" i="7" s="1"/>
  <c r="I386" i="7"/>
  <c r="K386" i="7" s="1"/>
  <c r="L386" i="7" s="1"/>
  <c r="I344" i="7"/>
  <c r="K344" i="7" s="1"/>
  <c r="L344" i="7" s="1"/>
  <c r="M344" i="7" s="1"/>
  <c r="I181" i="7"/>
  <c r="K181" i="7" s="1"/>
  <c r="L181" i="7" s="1"/>
  <c r="M181" i="7" s="1"/>
  <c r="I45" i="7"/>
  <c r="K45" i="7" s="1"/>
  <c r="L45" i="7" s="1"/>
  <c r="M45" i="7" s="1"/>
  <c r="N45" i="7" s="1"/>
  <c r="I1948" i="7"/>
  <c r="K1948" i="7" s="1"/>
  <c r="L1948" i="7" s="1"/>
  <c r="I1768" i="7"/>
  <c r="K1768" i="7" s="1"/>
  <c r="L1768" i="7" s="1"/>
  <c r="I1588" i="7"/>
  <c r="K1588" i="7" s="1"/>
  <c r="L1588" i="7" s="1"/>
  <c r="M1588" i="7" s="1"/>
  <c r="I1248" i="7"/>
  <c r="K1248" i="7" s="1"/>
  <c r="L1248" i="7" s="1"/>
  <c r="I1108" i="7"/>
  <c r="K1108" i="7" s="1"/>
  <c r="L1108" i="7" s="1"/>
  <c r="I988" i="7"/>
  <c r="K988" i="7" s="1"/>
  <c r="L988" i="7" s="1"/>
  <c r="I768" i="7"/>
  <c r="K768" i="7" s="1"/>
  <c r="L768" i="7" s="1"/>
  <c r="I648" i="7"/>
  <c r="K648" i="7" s="1"/>
  <c r="L648" i="7" s="1"/>
  <c r="I508" i="7"/>
  <c r="K508" i="7" s="1"/>
  <c r="L508" i="7" s="1"/>
  <c r="M508" i="7" s="1"/>
  <c r="I368" i="7"/>
  <c r="K368" i="7" s="1"/>
  <c r="L368" i="7" s="1"/>
  <c r="I1322" i="7"/>
  <c r="K1322" i="7" s="1"/>
  <c r="L1322" i="7" s="1"/>
  <c r="I1547" i="7"/>
  <c r="K1547" i="7" s="1"/>
  <c r="L1547" i="7" s="1"/>
  <c r="I1527" i="7"/>
  <c r="K1527" i="7" s="1"/>
  <c r="L1527" i="7" s="1"/>
  <c r="M1527" i="7" s="1"/>
  <c r="N1527" i="7" s="1"/>
  <c r="I1507" i="7"/>
  <c r="K1507" i="7" s="1"/>
  <c r="L1507" i="7" s="1"/>
  <c r="M1507" i="7" s="1"/>
  <c r="I1487" i="7"/>
  <c r="K1487" i="7" s="1"/>
  <c r="L1487" i="7" s="1"/>
  <c r="I1427" i="7"/>
  <c r="K1427" i="7" s="1"/>
  <c r="L1427" i="7" s="1"/>
  <c r="M1427" i="7" s="1"/>
  <c r="N1427" i="7" s="1"/>
  <c r="I1287" i="7"/>
  <c r="K1287" i="7" s="1"/>
  <c r="L1287" i="7" s="1"/>
  <c r="M1287" i="7" s="1"/>
  <c r="I1267" i="7"/>
  <c r="K1267" i="7" s="1"/>
  <c r="L1267" i="7" s="1"/>
  <c r="M1267" i="7" s="1"/>
  <c r="N1267" i="7" s="1"/>
  <c r="I1247" i="7"/>
  <c r="K1247" i="7" s="1"/>
  <c r="L1247" i="7" s="1"/>
  <c r="M1247" i="7" s="1"/>
  <c r="I1207" i="7"/>
  <c r="K1207" i="7" s="1"/>
  <c r="L1207" i="7" s="1"/>
  <c r="M1207" i="7" s="1"/>
  <c r="I1087" i="7"/>
  <c r="K1087" i="7" s="1"/>
  <c r="L1087" i="7" s="1"/>
  <c r="I987" i="7"/>
  <c r="K987" i="7" s="1"/>
  <c r="L987" i="7" s="1"/>
  <c r="I967" i="7"/>
  <c r="K967" i="7" s="1"/>
  <c r="L967" i="7" s="1"/>
  <c r="M967" i="7" s="1"/>
  <c r="I907" i="7"/>
  <c r="K907" i="7" s="1"/>
  <c r="L907" i="7" s="1"/>
  <c r="M907" i="7" s="1"/>
  <c r="I887" i="7"/>
  <c r="K887" i="7" s="1"/>
  <c r="L887" i="7" s="1"/>
  <c r="I827" i="7"/>
  <c r="K827" i="7" s="1"/>
  <c r="L827" i="7" s="1"/>
  <c r="I727" i="7"/>
  <c r="K727" i="7" s="1"/>
  <c r="L727" i="7" s="1"/>
  <c r="I647" i="7"/>
  <c r="K647" i="7" s="1"/>
  <c r="L647" i="7" s="1"/>
  <c r="I567" i="7"/>
  <c r="K567" i="7" s="1"/>
  <c r="L567" i="7" s="1"/>
  <c r="I487" i="7"/>
  <c r="K487" i="7" s="1"/>
  <c r="L487" i="7" s="1"/>
  <c r="I407" i="7"/>
  <c r="K407" i="7" s="1"/>
  <c r="L407" i="7" s="1"/>
  <c r="I327" i="7"/>
  <c r="K327" i="7" s="1"/>
  <c r="L327" i="7" s="1"/>
  <c r="I307" i="7"/>
  <c r="K307" i="7" s="1"/>
  <c r="L307" i="7" s="1"/>
  <c r="M307" i="7" s="1"/>
  <c r="I247" i="7"/>
  <c r="K247" i="7" s="1"/>
  <c r="L247" i="7" s="1"/>
  <c r="M247" i="7" s="1"/>
  <c r="I227" i="7"/>
  <c r="K227" i="7" s="1"/>
  <c r="L227" i="7" s="1"/>
  <c r="I167" i="7"/>
  <c r="K167" i="7" s="1"/>
  <c r="L167" i="7" s="1"/>
  <c r="M167" i="7" s="1"/>
  <c r="I27" i="7"/>
  <c r="K27" i="7" s="1"/>
  <c r="L27" i="7" s="1"/>
  <c r="M27" i="7" s="1"/>
  <c r="I1762" i="7"/>
  <c r="K1762" i="7" s="1"/>
  <c r="L1762" i="7" s="1"/>
  <c r="M1762" i="7" s="1"/>
  <c r="I1562" i="7"/>
  <c r="K1562" i="7" s="1"/>
  <c r="L1562" i="7" s="1"/>
  <c r="M1562" i="7" s="1"/>
  <c r="I1501" i="7"/>
  <c r="K1501" i="7" s="1"/>
  <c r="L1501" i="7" s="1"/>
  <c r="I1441" i="7"/>
  <c r="K1441" i="7" s="1"/>
  <c r="L1441" i="7" s="1"/>
  <c r="I1321" i="7"/>
  <c r="K1321" i="7" s="1"/>
  <c r="L1321" i="7" s="1"/>
  <c r="M1321" i="7" s="1"/>
  <c r="I581" i="7"/>
  <c r="K581" i="7" s="1"/>
  <c r="L581" i="7" s="1"/>
  <c r="M581" i="7" s="1"/>
  <c r="I544" i="7"/>
  <c r="K544" i="7" s="1"/>
  <c r="L544" i="7" s="1"/>
  <c r="I422" i="7"/>
  <c r="K422" i="7" s="1"/>
  <c r="L422" i="7" s="1"/>
  <c r="I343" i="7"/>
  <c r="K343" i="7" s="1"/>
  <c r="L343" i="7" s="1"/>
  <c r="I263" i="7"/>
  <c r="K263" i="7" s="1"/>
  <c r="L263" i="7" s="1"/>
  <c r="I1808" i="7"/>
  <c r="K1808" i="7" s="1"/>
  <c r="L1808" i="7" s="1"/>
  <c r="M1808" i="7" s="1"/>
  <c r="I1608" i="7"/>
  <c r="K1608" i="7" s="1"/>
  <c r="L1608" i="7" s="1"/>
  <c r="M1608" i="7" s="1"/>
  <c r="I1448" i="7"/>
  <c r="K1448" i="7" s="1"/>
  <c r="L1448" i="7" s="1"/>
  <c r="M1448" i="7" s="1"/>
  <c r="I1088" i="7"/>
  <c r="K1088" i="7" s="1"/>
  <c r="L1088" i="7" s="1"/>
  <c r="I908" i="7"/>
  <c r="K908" i="7" s="1"/>
  <c r="L908" i="7" s="1"/>
  <c r="M908" i="7" s="1"/>
  <c r="I828" i="7"/>
  <c r="K828" i="7" s="1"/>
  <c r="L828" i="7" s="1"/>
  <c r="M828" i="7" s="1"/>
  <c r="I748" i="7"/>
  <c r="K748" i="7" s="1"/>
  <c r="L748" i="7" s="1"/>
  <c r="M748" i="7" s="1"/>
  <c r="I668" i="7"/>
  <c r="K668" i="7" s="1"/>
  <c r="L668" i="7" s="1"/>
  <c r="M668" i="7" s="1"/>
  <c r="I1879" i="7"/>
  <c r="K1879" i="7" s="1"/>
  <c r="L1879" i="7" s="1"/>
  <c r="M1879" i="7" s="1"/>
  <c r="I1826" i="7"/>
  <c r="K1826" i="7" s="1"/>
  <c r="L1826" i="7" s="1"/>
  <c r="M1826" i="7" s="1"/>
  <c r="I1746" i="7"/>
  <c r="K1746" i="7" s="1"/>
  <c r="L1746" i="7" s="1"/>
  <c r="I1686" i="7"/>
  <c r="K1686" i="7" s="1"/>
  <c r="L1686" i="7" s="1"/>
  <c r="I1666" i="7"/>
  <c r="K1666" i="7" s="1"/>
  <c r="L1666" i="7" s="1"/>
  <c r="M1666" i="7" s="1"/>
  <c r="I1606" i="7"/>
  <c r="K1606" i="7" s="1"/>
  <c r="L1606" i="7" s="1"/>
  <c r="I1586" i="7"/>
  <c r="K1586" i="7" s="1"/>
  <c r="L1586" i="7" s="1"/>
  <c r="I1526" i="7"/>
  <c r="K1526" i="7" s="1"/>
  <c r="L1526" i="7" s="1"/>
  <c r="I1466" i="7"/>
  <c r="K1466" i="7" s="1"/>
  <c r="L1466" i="7" s="1"/>
  <c r="I1246" i="7"/>
  <c r="K1246" i="7" s="1"/>
  <c r="L1246" i="7" s="1"/>
  <c r="I1226" i="7"/>
  <c r="K1226" i="7" s="1"/>
  <c r="L1226" i="7" s="1"/>
  <c r="I1106" i="7"/>
  <c r="K1106" i="7" s="1"/>
  <c r="L1106" i="7" s="1"/>
  <c r="M1106" i="7" s="1"/>
  <c r="N1106" i="7" s="1"/>
  <c r="I986" i="7"/>
  <c r="K986" i="7" s="1"/>
  <c r="L986" i="7" s="1"/>
  <c r="I806" i="7"/>
  <c r="K806" i="7" s="1"/>
  <c r="L806" i="7" s="1"/>
  <c r="I766" i="7"/>
  <c r="K766" i="7" s="1"/>
  <c r="L766" i="7" s="1"/>
  <c r="M766" i="7" s="1"/>
  <c r="I726" i="7"/>
  <c r="K726" i="7" s="1"/>
  <c r="L726" i="7" s="1"/>
  <c r="I706" i="7"/>
  <c r="K706" i="7" s="1"/>
  <c r="L706" i="7" s="1"/>
  <c r="I646" i="7"/>
  <c r="K646" i="7" s="1"/>
  <c r="L646" i="7" s="1"/>
  <c r="I566" i="7"/>
  <c r="K566" i="7" s="1"/>
  <c r="L566" i="7" s="1"/>
  <c r="I486" i="7"/>
  <c r="K486" i="7" s="1"/>
  <c r="L486" i="7" s="1"/>
  <c r="M486" i="7" s="1"/>
  <c r="I466" i="7"/>
  <c r="K466" i="7" s="1"/>
  <c r="L466" i="7" s="1"/>
  <c r="M466" i="7" s="1"/>
  <c r="I406" i="7"/>
  <c r="K406" i="7" s="1"/>
  <c r="L406" i="7" s="1"/>
  <c r="M406" i="7" s="1"/>
  <c r="I366" i="7"/>
  <c r="K366" i="7" s="1"/>
  <c r="L366" i="7" s="1"/>
  <c r="M366" i="7" s="1"/>
  <c r="I346" i="7"/>
  <c r="K346" i="7" s="1"/>
  <c r="L346" i="7" s="1"/>
  <c r="M346" i="7" s="1"/>
  <c r="I326" i="7"/>
  <c r="K326" i="7" s="1"/>
  <c r="L326" i="7" s="1"/>
  <c r="I226" i="7"/>
  <c r="K226" i="7" s="1"/>
  <c r="L226" i="7" s="1"/>
  <c r="I166" i="7"/>
  <c r="K166" i="7" s="1"/>
  <c r="L166" i="7" s="1"/>
  <c r="I146" i="7"/>
  <c r="K146" i="7" s="1"/>
  <c r="L146" i="7" s="1"/>
  <c r="M146" i="7" s="1"/>
  <c r="N146" i="7" s="1"/>
  <c r="I86" i="7"/>
  <c r="K86" i="7" s="1"/>
  <c r="L86" i="7" s="1"/>
  <c r="I26" i="7"/>
  <c r="K26" i="7" s="1"/>
  <c r="L26" i="7" s="1"/>
  <c r="I1761" i="7"/>
  <c r="K1761" i="7" s="1"/>
  <c r="L1761" i="7" s="1"/>
  <c r="I1619" i="7"/>
  <c r="K1619" i="7" s="1"/>
  <c r="L1619" i="7" s="1"/>
  <c r="M1619" i="7" s="1"/>
  <c r="I1561" i="7"/>
  <c r="K1561" i="7" s="1"/>
  <c r="L1561" i="7" s="1"/>
  <c r="I1499" i="7"/>
  <c r="K1499" i="7" s="1"/>
  <c r="L1499" i="7" s="1"/>
  <c r="M1499" i="7" s="1"/>
  <c r="I983" i="7"/>
  <c r="K983" i="7" s="1"/>
  <c r="L983" i="7" s="1"/>
  <c r="M983" i="7" s="1"/>
  <c r="N983" i="7" s="1"/>
  <c r="I763" i="7"/>
  <c r="K763" i="7" s="1"/>
  <c r="L763" i="7" s="1"/>
  <c r="M763" i="7" s="1"/>
  <c r="I421" i="7"/>
  <c r="K421" i="7" s="1"/>
  <c r="L421" i="7" s="1"/>
  <c r="M421" i="7" s="1"/>
  <c r="I379" i="7"/>
  <c r="K379" i="7" s="1"/>
  <c r="L379" i="7" s="1"/>
  <c r="M379" i="7" s="1"/>
  <c r="I262" i="7"/>
  <c r="K262" i="7" s="1"/>
  <c r="L262" i="7" s="1"/>
  <c r="I1928" i="7"/>
  <c r="K1928" i="7" s="1"/>
  <c r="L1928" i="7" s="1"/>
  <c r="M1928" i="7" s="1"/>
  <c r="I1828" i="7"/>
  <c r="K1828" i="7" s="1"/>
  <c r="L1828" i="7" s="1"/>
  <c r="M1828" i="7" s="1"/>
  <c r="I1528" i="7"/>
  <c r="K1528" i="7" s="1"/>
  <c r="L1528" i="7" s="1"/>
  <c r="M1528" i="7" s="1"/>
  <c r="I1268" i="7"/>
  <c r="K1268" i="7" s="1"/>
  <c r="L1268" i="7" s="1"/>
  <c r="I1068" i="7"/>
  <c r="K1068" i="7" s="1"/>
  <c r="L1068" i="7" s="1"/>
  <c r="M1068" i="7" s="1"/>
  <c r="I808" i="7"/>
  <c r="K808" i="7" s="1"/>
  <c r="L808" i="7" s="1"/>
  <c r="M808" i="7" s="1"/>
  <c r="I568" i="7"/>
  <c r="K568" i="7" s="1"/>
  <c r="L568" i="7" s="1"/>
  <c r="I448" i="7"/>
  <c r="K448" i="7" s="1"/>
  <c r="L448" i="7" s="1"/>
  <c r="I388" i="7"/>
  <c r="K388" i="7" s="1"/>
  <c r="L388" i="7" s="1"/>
  <c r="I1926" i="7"/>
  <c r="K1926" i="7" s="1"/>
  <c r="L1926" i="7" s="1"/>
  <c r="M1926" i="7" s="1"/>
  <c r="I1866" i="7"/>
  <c r="K1866" i="7" s="1"/>
  <c r="L1866" i="7" s="1"/>
  <c r="I1786" i="7"/>
  <c r="K1786" i="7" s="1"/>
  <c r="L1786" i="7" s="1"/>
  <c r="I1545" i="7"/>
  <c r="K1545" i="7" s="1"/>
  <c r="L1545" i="7" s="1"/>
  <c r="I1265" i="7"/>
  <c r="K1265" i="7" s="1"/>
  <c r="L1265" i="7" s="1"/>
  <c r="I1185" i="7"/>
  <c r="K1185" i="7" s="1"/>
  <c r="L1185" i="7" s="1"/>
  <c r="I1085" i="7"/>
  <c r="K1085" i="7" s="1"/>
  <c r="L1085" i="7" s="1"/>
  <c r="I1065" i="7"/>
  <c r="K1065" i="7" s="1"/>
  <c r="L1065" i="7" s="1"/>
  <c r="M1065" i="7" s="1"/>
  <c r="I725" i="7"/>
  <c r="K725" i="7" s="1"/>
  <c r="L725" i="7" s="1"/>
  <c r="I705" i="7"/>
  <c r="K705" i="7" s="1"/>
  <c r="L705" i="7" s="1"/>
  <c r="M705" i="7" s="1"/>
  <c r="N705" i="7" s="1"/>
  <c r="I645" i="7"/>
  <c r="K645" i="7" s="1"/>
  <c r="L645" i="7" s="1"/>
  <c r="M645" i="7" s="1"/>
  <c r="I565" i="7"/>
  <c r="K565" i="7" s="1"/>
  <c r="L565" i="7" s="1"/>
  <c r="M565" i="7" s="1"/>
  <c r="I405" i="7"/>
  <c r="K405" i="7" s="1"/>
  <c r="L405" i="7" s="1"/>
  <c r="M405" i="7" s="1"/>
  <c r="I385" i="7"/>
  <c r="K385" i="7" s="1"/>
  <c r="L385" i="7" s="1"/>
  <c r="I325" i="7"/>
  <c r="K325" i="7" s="1"/>
  <c r="L325" i="7" s="1"/>
  <c r="M325" i="7" s="1"/>
  <c r="N325" i="7" s="1"/>
  <c r="I305" i="7"/>
  <c r="K305" i="7" s="1"/>
  <c r="L305" i="7" s="1"/>
  <c r="M305" i="7" s="1"/>
  <c r="N305" i="7" s="1"/>
  <c r="I285" i="7"/>
  <c r="K285" i="7" s="1"/>
  <c r="L285" i="7" s="1"/>
  <c r="M285" i="7" s="1"/>
  <c r="I225" i="7"/>
  <c r="K225" i="7" s="1"/>
  <c r="L225" i="7" s="1"/>
  <c r="I85" i="7"/>
  <c r="K85" i="7" s="1"/>
  <c r="L85" i="7" s="1"/>
  <c r="I65" i="7"/>
  <c r="K65" i="7" s="1"/>
  <c r="L65" i="7" s="1"/>
  <c r="I25" i="7"/>
  <c r="K25" i="7" s="1"/>
  <c r="L25" i="7" s="1"/>
  <c r="I1902" i="7"/>
  <c r="K1902" i="7" s="1"/>
  <c r="L1902" i="7" s="1"/>
  <c r="I1559" i="7"/>
  <c r="K1559" i="7" s="1"/>
  <c r="L1559" i="7" s="1"/>
  <c r="I1283" i="7"/>
  <c r="K1283" i="7" s="1"/>
  <c r="L1283" i="7" s="1"/>
  <c r="I839" i="7"/>
  <c r="K839" i="7" s="1"/>
  <c r="L839" i="7" s="1"/>
  <c r="I762" i="7"/>
  <c r="K762" i="7" s="1"/>
  <c r="L762" i="7" s="1"/>
  <c r="M762" i="7" s="1"/>
  <c r="I404" i="7"/>
  <c r="K404" i="7" s="1"/>
  <c r="L404" i="7" s="1"/>
  <c r="M404" i="7" s="1"/>
  <c r="I1888" i="7"/>
  <c r="K1888" i="7" s="1"/>
  <c r="L1888" i="7" s="1"/>
  <c r="M1888" i="7" s="1"/>
  <c r="N1888" i="7" s="1"/>
  <c r="I1708" i="7"/>
  <c r="K1708" i="7" s="1"/>
  <c r="L1708" i="7" s="1"/>
  <c r="M1708" i="7" s="1"/>
  <c r="I1628" i="7"/>
  <c r="K1628" i="7" s="1"/>
  <c r="L1628" i="7" s="1"/>
  <c r="M1628" i="7" s="1"/>
  <c r="N1628" i="7" s="1"/>
  <c r="I1568" i="7"/>
  <c r="K1568" i="7" s="1"/>
  <c r="L1568" i="7" s="1"/>
  <c r="I1508" i="7"/>
  <c r="K1508" i="7" s="1"/>
  <c r="L1508" i="7" s="1"/>
  <c r="M1508" i="7" s="1"/>
  <c r="I788" i="7"/>
  <c r="K788" i="7" s="1"/>
  <c r="L788" i="7" s="1"/>
  <c r="M788" i="7" s="1"/>
  <c r="I588" i="7"/>
  <c r="K588" i="7" s="1"/>
  <c r="L588" i="7" s="1"/>
  <c r="M588" i="7" s="1"/>
  <c r="I488" i="7"/>
  <c r="K488" i="7" s="1"/>
  <c r="L488" i="7" s="1"/>
  <c r="M488" i="7" s="1"/>
  <c r="I308" i="7"/>
  <c r="K308" i="7" s="1"/>
  <c r="L308" i="7" s="1"/>
  <c r="M308" i="7" s="1"/>
  <c r="I1946" i="7"/>
  <c r="K1946" i="7" s="1"/>
  <c r="L1946" i="7" s="1"/>
  <c r="M1946" i="7" s="1"/>
  <c r="I1886" i="7"/>
  <c r="K1886" i="7" s="1"/>
  <c r="L1886" i="7" s="1"/>
  <c r="I1626" i="7"/>
  <c r="K1626" i="7" s="1"/>
  <c r="L1626" i="7" s="1"/>
  <c r="I1484" i="7"/>
  <c r="K1484" i="7" s="1"/>
  <c r="L1484" i="7" s="1"/>
  <c r="I1464" i="7"/>
  <c r="K1464" i="7" s="1"/>
  <c r="L1464" i="7" s="1"/>
  <c r="I1444" i="7"/>
  <c r="K1444" i="7" s="1"/>
  <c r="L1444" i="7" s="1"/>
  <c r="I1424" i="7"/>
  <c r="K1424" i="7" s="1"/>
  <c r="L1424" i="7" s="1"/>
  <c r="M1424" i="7" s="1"/>
  <c r="I1064" i="7"/>
  <c r="K1064" i="7" s="1"/>
  <c r="L1064" i="7" s="1"/>
  <c r="M1064" i="7" s="1"/>
  <c r="I984" i="7"/>
  <c r="K984" i="7" s="1"/>
  <c r="L984" i="7" s="1"/>
  <c r="I904" i="7"/>
  <c r="K904" i="7" s="1"/>
  <c r="L904" i="7" s="1"/>
  <c r="M904" i="7" s="1"/>
  <c r="I884" i="7"/>
  <c r="K884" i="7" s="1"/>
  <c r="L884" i="7" s="1"/>
  <c r="M884" i="7" s="1"/>
  <c r="I804" i="7"/>
  <c r="K804" i="7" s="1"/>
  <c r="L804" i="7" s="1"/>
  <c r="I724" i="7"/>
  <c r="K724" i="7" s="1"/>
  <c r="L724" i="7" s="1"/>
  <c r="M724" i="7" s="1"/>
  <c r="I684" i="7"/>
  <c r="K684" i="7" s="1"/>
  <c r="L684" i="7" s="1"/>
  <c r="M684" i="7" s="1"/>
  <c r="I324" i="7"/>
  <c r="K324" i="7" s="1"/>
  <c r="L324" i="7" s="1"/>
  <c r="M324" i="7" s="1"/>
  <c r="N324" i="7" s="1"/>
  <c r="I224" i="7"/>
  <c r="K224" i="7" s="1"/>
  <c r="L224" i="7" s="1"/>
  <c r="M224" i="7" s="1"/>
  <c r="I84" i="7"/>
  <c r="K84" i="7" s="1"/>
  <c r="L84" i="7" s="1"/>
  <c r="M84" i="7" s="1"/>
  <c r="I1901" i="7"/>
  <c r="K1901" i="7" s="1"/>
  <c r="L1901" i="7" s="1"/>
  <c r="M1901" i="7" s="1"/>
  <c r="I1759" i="7"/>
  <c r="K1759" i="7" s="1"/>
  <c r="L1759" i="7" s="1"/>
  <c r="M1759" i="7" s="1"/>
  <c r="I1643" i="7"/>
  <c r="K1643" i="7" s="1"/>
  <c r="L1643" i="7" s="1"/>
  <c r="I1282" i="7"/>
  <c r="K1282" i="7" s="1"/>
  <c r="L1282" i="7" s="1"/>
  <c r="I1023" i="7"/>
  <c r="K1023" i="7" s="1"/>
  <c r="L1023" i="7" s="1"/>
  <c r="I981" i="7"/>
  <c r="K981" i="7" s="1"/>
  <c r="L981" i="7" s="1"/>
  <c r="I761" i="7"/>
  <c r="K761" i="7" s="1"/>
  <c r="L761" i="7" s="1"/>
  <c r="I419" i="7"/>
  <c r="K419" i="7" s="1"/>
  <c r="L419" i="7" s="1"/>
  <c r="M419" i="7" s="1"/>
  <c r="I643" i="7"/>
  <c r="K643" i="7" s="1"/>
  <c r="L643" i="7" s="1"/>
  <c r="I1784" i="7"/>
  <c r="K1784" i="7" s="1"/>
  <c r="L1784" i="7" s="1"/>
  <c r="I1584" i="7"/>
  <c r="K1584" i="7" s="1"/>
  <c r="L1584" i="7" s="1"/>
  <c r="I1310" i="7"/>
  <c r="K1310" i="7" s="1"/>
  <c r="L1310" i="7" s="1"/>
  <c r="I1250" i="7"/>
  <c r="K1250" i="7" s="1"/>
  <c r="L1250" i="7" s="1"/>
  <c r="I1187" i="7"/>
  <c r="K1187" i="7" s="1"/>
  <c r="L1187" i="7" s="1"/>
  <c r="M1187" i="7" s="1"/>
  <c r="I1150" i="7"/>
  <c r="K1150" i="7" s="1"/>
  <c r="L1150" i="7" s="1"/>
  <c r="I1084" i="7"/>
  <c r="K1084" i="7" s="1"/>
  <c r="L1084" i="7" s="1"/>
  <c r="M1084" i="7" s="1"/>
  <c r="I944" i="7"/>
  <c r="K944" i="7" s="1"/>
  <c r="L944" i="7" s="1"/>
  <c r="I867" i="7"/>
  <c r="K867" i="7" s="1"/>
  <c r="L867" i="7" s="1"/>
  <c r="M867" i="7" s="1"/>
  <c r="I687" i="7"/>
  <c r="K687" i="7" s="1"/>
  <c r="L687" i="7" s="1"/>
  <c r="M687" i="7" s="1"/>
  <c r="I650" i="7"/>
  <c r="K650" i="7" s="1"/>
  <c r="L650" i="7" s="1"/>
  <c r="M650" i="7" s="1"/>
  <c r="I530" i="7"/>
  <c r="K530" i="7" s="1"/>
  <c r="L530" i="7" s="1"/>
  <c r="M530" i="7" s="1"/>
  <c r="I164" i="7"/>
  <c r="K164" i="7" s="1"/>
  <c r="L164" i="7" s="1"/>
  <c r="M164" i="7" s="1"/>
  <c r="I1443" i="7"/>
  <c r="K1443" i="7" s="1"/>
  <c r="L1443" i="7" s="1"/>
  <c r="I1403" i="7"/>
  <c r="K1403" i="7" s="1"/>
  <c r="L1403" i="7" s="1"/>
  <c r="I1363" i="7"/>
  <c r="K1363" i="7" s="1"/>
  <c r="L1363" i="7" s="1"/>
  <c r="I1223" i="7"/>
  <c r="K1223" i="7" s="1"/>
  <c r="L1223" i="7" s="1"/>
  <c r="I1203" i="7"/>
  <c r="K1203" i="7" s="1"/>
  <c r="L1203" i="7" s="1"/>
  <c r="I1083" i="7"/>
  <c r="K1083" i="7" s="1"/>
  <c r="L1083" i="7" s="1"/>
  <c r="I1063" i="7"/>
  <c r="K1063" i="7" s="1"/>
  <c r="L1063" i="7" s="1"/>
  <c r="I883" i="7"/>
  <c r="K883" i="7" s="1"/>
  <c r="L883" i="7" s="1"/>
  <c r="I723" i="7"/>
  <c r="K723" i="7" s="1"/>
  <c r="L723" i="7" s="1"/>
  <c r="I683" i="7"/>
  <c r="K683" i="7" s="1"/>
  <c r="L683" i="7" s="1"/>
  <c r="I623" i="7"/>
  <c r="K623" i="7" s="1"/>
  <c r="L623" i="7" s="1"/>
  <c r="M623" i="7" s="1"/>
  <c r="I563" i="7"/>
  <c r="K563" i="7" s="1"/>
  <c r="L563" i="7" s="1"/>
  <c r="M563" i="7" s="1"/>
  <c r="N563" i="7" s="1"/>
  <c r="I543" i="7"/>
  <c r="K543" i="7" s="1"/>
  <c r="L543" i="7" s="1"/>
  <c r="M543" i="7" s="1"/>
  <c r="I483" i="7"/>
  <c r="K483" i="7" s="1"/>
  <c r="L483" i="7" s="1"/>
  <c r="I463" i="7"/>
  <c r="K463" i="7" s="1"/>
  <c r="L463" i="7" s="1"/>
  <c r="I383" i="7"/>
  <c r="K383" i="7" s="1"/>
  <c r="L383" i="7" s="1"/>
  <c r="M383" i="7" s="1"/>
  <c r="N383" i="7" s="1"/>
  <c r="I282" i="7"/>
  <c r="K282" i="7" s="1"/>
  <c r="L282" i="7" s="1"/>
  <c r="M282" i="7" s="1"/>
  <c r="I143" i="7"/>
  <c r="K143" i="7" s="1"/>
  <c r="L143" i="7" s="1"/>
  <c r="I1525" i="7"/>
  <c r="K1525" i="7" s="1"/>
  <c r="L1525" i="7" s="1"/>
  <c r="I1482" i="7"/>
  <c r="K1482" i="7" s="1"/>
  <c r="L1482" i="7" s="1"/>
  <c r="M1482" i="7" s="1"/>
  <c r="I1442" i="7"/>
  <c r="K1442" i="7" s="1"/>
  <c r="L1442" i="7" s="1"/>
  <c r="M1442" i="7" s="1"/>
  <c r="I1402" i="7"/>
  <c r="K1402" i="7" s="1"/>
  <c r="L1402" i="7" s="1"/>
  <c r="I1382" i="7"/>
  <c r="K1382" i="7" s="1"/>
  <c r="L1382" i="7" s="1"/>
  <c r="M1382" i="7" s="1"/>
  <c r="I1202" i="7"/>
  <c r="K1202" i="7" s="1"/>
  <c r="L1202" i="7" s="1"/>
  <c r="I1182" i="7"/>
  <c r="K1182" i="7" s="1"/>
  <c r="L1182" i="7" s="1"/>
  <c r="I1062" i="7"/>
  <c r="K1062" i="7" s="1"/>
  <c r="L1062" i="7" s="1"/>
  <c r="I1022" i="7"/>
  <c r="K1022" i="7" s="1"/>
  <c r="L1022" i="7" s="1"/>
  <c r="I862" i="7"/>
  <c r="K862" i="7" s="1"/>
  <c r="L862" i="7" s="1"/>
  <c r="M862" i="7" s="1"/>
  <c r="I802" i="7"/>
  <c r="K802" i="7" s="1"/>
  <c r="L802" i="7" s="1"/>
  <c r="I722" i="7"/>
  <c r="K722" i="7" s="1"/>
  <c r="L722" i="7" s="1"/>
  <c r="I682" i="7"/>
  <c r="K682" i="7" s="1"/>
  <c r="L682" i="7" s="1"/>
  <c r="M682" i="7" s="1"/>
  <c r="N682" i="7" s="1"/>
  <c r="I462" i="7"/>
  <c r="K462" i="7" s="1"/>
  <c r="L462" i="7" s="1"/>
  <c r="M462" i="7" s="1"/>
  <c r="I382" i="7"/>
  <c r="K382" i="7" s="1"/>
  <c r="L382" i="7" s="1"/>
  <c r="M382" i="7" s="1"/>
  <c r="I322" i="7"/>
  <c r="K322" i="7" s="1"/>
  <c r="L322" i="7" s="1"/>
  <c r="M322" i="7" s="1"/>
  <c r="N322" i="7" s="1"/>
  <c r="I222" i="7"/>
  <c r="K222" i="7" s="1"/>
  <c r="L222" i="7" s="1"/>
  <c r="I82" i="7"/>
  <c r="K82" i="7" s="1"/>
  <c r="L82" i="7" s="1"/>
  <c r="M82" i="7" s="1"/>
  <c r="I42" i="7"/>
  <c r="K42" i="7" s="1"/>
  <c r="L42" i="7" s="1"/>
  <c r="M42" i="7" s="1"/>
  <c r="I1983" i="7"/>
  <c r="K1983" i="7" s="1"/>
  <c r="L1983" i="7" s="1"/>
  <c r="M1983" i="7" s="1"/>
  <c r="N1983" i="7" s="1"/>
  <c r="I1783" i="7"/>
  <c r="K1783" i="7" s="1"/>
  <c r="L1783" i="7" s="1"/>
  <c r="M1783" i="7" s="1"/>
  <c r="I1641" i="7"/>
  <c r="K1641" i="7" s="1"/>
  <c r="L1641" i="7" s="1"/>
  <c r="I1583" i="7"/>
  <c r="K1583" i="7" s="1"/>
  <c r="L1583" i="7" s="1"/>
  <c r="M1583" i="7" s="1"/>
  <c r="I1523" i="7"/>
  <c r="K1523" i="7" s="1"/>
  <c r="L1523" i="7" s="1"/>
  <c r="I1082" i="7"/>
  <c r="K1082" i="7" s="1"/>
  <c r="L1082" i="7" s="1"/>
  <c r="I943" i="7"/>
  <c r="K943" i="7" s="1"/>
  <c r="L943" i="7" s="1"/>
  <c r="I902" i="7"/>
  <c r="K902" i="7" s="1"/>
  <c r="L902" i="7" s="1"/>
  <c r="I759" i="7"/>
  <c r="K759" i="7" s="1"/>
  <c r="L759" i="7" s="1"/>
  <c r="I122" i="7"/>
  <c r="K122" i="7" s="1"/>
  <c r="L122" i="7" s="1"/>
  <c r="I24" i="7"/>
  <c r="K24" i="7" s="1"/>
  <c r="L24" i="7" s="1"/>
  <c r="I564" i="7"/>
  <c r="K564" i="7" s="1"/>
  <c r="L564" i="7" s="1"/>
  <c r="I787" i="7"/>
  <c r="K787" i="7" s="1"/>
  <c r="L787" i="7" s="1"/>
  <c r="I767" i="7"/>
  <c r="K767" i="7" s="1"/>
  <c r="L767" i="7" s="1"/>
  <c r="I747" i="7"/>
  <c r="K747" i="7" s="1"/>
  <c r="L747" i="7" s="1"/>
  <c r="M747" i="7" s="1"/>
  <c r="I427" i="7"/>
  <c r="K427" i="7" s="1"/>
  <c r="L427" i="7" s="1"/>
  <c r="I387" i="7"/>
  <c r="K387" i="7" s="1"/>
  <c r="L387" i="7" s="1"/>
  <c r="I367" i="7"/>
  <c r="K367" i="7" s="1"/>
  <c r="L367" i="7" s="1"/>
  <c r="I347" i="7"/>
  <c r="K347" i="7" s="1"/>
  <c r="L347" i="7" s="1"/>
  <c r="I127" i="7"/>
  <c r="K127" i="7" s="1"/>
  <c r="L127" i="7" s="1"/>
  <c r="M127" i="7" s="1"/>
  <c r="I107" i="7"/>
  <c r="K107" i="7" s="1"/>
  <c r="L107" i="7" s="1"/>
  <c r="I87" i="7"/>
  <c r="K87" i="7" s="1"/>
  <c r="L87" i="7" s="1"/>
  <c r="M87" i="7" s="1"/>
  <c r="N87" i="7" s="1"/>
  <c r="I464" i="7"/>
  <c r="K464" i="7" s="1"/>
  <c r="L464" i="7" s="1"/>
  <c r="M464" i="7" s="1"/>
  <c r="I439" i="7"/>
  <c r="K439" i="7" s="1"/>
  <c r="L439" i="7" s="1"/>
  <c r="M439" i="7" s="1"/>
  <c r="I384" i="7"/>
  <c r="K384" i="7" s="1"/>
  <c r="L384" i="7" s="1"/>
  <c r="M384" i="7" s="1"/>
  <c r="N384" i="7" s="1"/>
  <c r="I359" i="7"/>
  <c r="K359" i="7" s="1"/>
  <c r="L359" i="7" s="1"/>
  <c r="M359" i="7" s="1"/>
  <c r="N359" i="7" s="1"/>
  <c r="I279" i="7"/>
  <c r="K279" i="7" s="1"/>
  <c r="L279" i="7" s="1"/>
  <c r="I144" i="7"/>
  <c r="K144" i="7" s="1"/>
  <c r="L144" i="7" s="1"/>
  <c r="I764" i="7"/>
  <c r="K764" i="7" s="1"/>
  <c r="L764" i="7" s="1"/>
  <c r="I704" i="7"/>
  <c r="K704" i="7" s="1"/>
  <c r="L704" i="7" s="1"/>
  <c r="I304" i="7"/>
  <c r="K304" i="7" s="1"/>
  <c r="L304" i="7" s="1"/>
  <c r="I284" i="7"/>
  <c r="K284" i="7" s="1"/>
  <c r="L284" i="7" s="1"/>
  <c r="I64" i="7"/>
  <c r="K64" i="7" s="1"/>
  <c r="L64" i="7" s="1"/>
  <c r="I703" i="7"/>
  <c r="K703" i="7" s="1"/>
  <c r="L703" i="7" s="1"/>
  <c r="I303" i="7"/>
  <c r="K303" i="7" s="1"/>
  <c r="L303" i="7" s="1"/>
  <c r="I283" i="7"/>
  <c r="K283" i="7" s="1"/>
  <c r="L283" i="7" s="1"/>
  <c r="I83" i="7"/>
  <c r="K83" i="7" s="1"/>
  <c r="L83" i="7" s="1"/>
  <c r="I63" i="7"/>
  <c r="K63" i="7" s="1"/>
  <c r="L63" i="7" s="1"/>
  <c r="M63" i="7" s="1"/>
  <c r="I642" i="7"/>
  <c r="K642" i="7" s="1"/>
  <c r="L642" i="7" s="1"/>
  <c r="I1021" i="7"/>
  <c r="K1021" i="7" s="1"/>
  <c r="L1021" i="7" s="1"/>
  <c r="M1021" i="7" s="1"/>
  <c r="I701" i="7"/>
  <c r="K701" i="7" s="1"/>
  <c r="L701" i="7" s="1"/>
  <c r="M701" i="7" s="1"/>
  <c r="I641" i="7"/>
  <c r="K641" i="7" s="1"/>
  <c r="L641" i="7" s="1"/>
  <c r="M641" i="7" s="1"/>
  <c r="I621" i="7"/>
  <c r="K621" i="7" s="1"/>
  <c r="L621" i="7" s="1"/>
  <c r="M621" i="7" s="1"/>
  <c r="N621" i="7" s="1"/>
  <c r="I301" i="7"/>
  <c r="K301" i="7" s="1"/>
  <c r="L301" i="7" s="1"/>
  <c r="I221" i="7"/>
  <c r="K221" i="7" s="1"/>
  <c r="L221" i="7" s="1"/>
  <c r="M221" i="7" s="1"/>
  <c r="I61" i="7"/>
  <c r="K61" i="7" s="1"/>
  <c r="L61" i="7" s="1"/>
  <c r="M61" i="7" s="1"/>
  <c r="I41" i="7"/>
  <c r="K41" i="7" s="1"/>
  <c r="L41" i="7" s="1"/>
  <c r="M41" i="7" s="1"/>
  <c r="I484" i="7"/>
  <c r="K484" i="7" s="1"/>
  <c r="L484" i="7" s="1"/>
  <c r="I223" i="7"/>
  <c r="K223" i="7" s="1"/>
  <c r="L223" i="7" s="1"/>
  <c r="I81" i="7"/>
  <c r="K81" i="7" s="1"/>
  <c r="L81" i="7" s="1"/>
  <c r="I1319" i="7"/>
  <c r="K1319" i="7" s="1"/>
  <c r="L1319" i="7" s="1"/>
  <c r="I1239" i="7"/>
  <c r="K1239" i="7" s="1"/>
  <c r="L1239" i="7" s="1"/>
  <c r="I1199" i="7"/>
  <c r="K1199" i="7" s="1"/>
  <c r="L1199" i="7" s="1"/>
  <c r="I1159" i="7"/>
  <c r="K1159" i="7" s="1"/>
  <c r="L1159" i="7" s="1"/>
  <c r="I1079" i="7"/>
  <c r="K1079" i="7" s="1"/>
  <c r="L1079" i="7" s="1"/>
  <c r="M1079" i="7" s="1"/>
  <c r="I1019" i="7"/>
  <c r="K1019" i="7" s="1"/>
  <c r="L1019" i="7" s="1"/>
  <c r="M1019" i="7" s="1"/>
  <c r="I999" i="7"/>
  <c r="K999" i="7" s="1"/>
  <c r="L999" i="7" s="1"/>
  <c r="I599" i="7"/>
  <c r="K599" i="7" s="1"/>
  <c r="L599" i="7" s="1"/>
  <c r="I219" i="7"/>
  <c r="K219" i="7" s="1"/>
  <c r="L219" i="7" s="1"/>
  <c r="M219" i="7" s="1"/>
  <c r="N219" i="7" s="1"/>
  <c r="I199" i="7"/>
  <c r="K199" i="7" s="1"/>
  <c r="L199" i="7" s="1"/>
  <c r="M199" i="7" s="1"/>
  <c r="I159" i="7"/>
  <c r="K159" i="7" s="1"/>
  <c r="L159" i="7" s="1"/>
  <c r="I119" i="7"/>
  <c r="K119" i="7" s="1"/>
  <c r="L119" i="7" s="1"/>
  <c r="I79" i="7"/>
  <c r="K79" i="7" s="1"/>
  <c r="L79" i="7" s="1"/>
  <c r="I39" i="7"/>
  <c r="K39" i="7" s="1"/>
  <c r="L39" i="7" s="1"/>
  <c r="M39" i="7" s="1"/>
  <c r="I19" i="7"/>
  <c r="K19" i="7" s="1"/>
  <c r="L19" i="7" s="1"/>
  <c r="M19" i="7" s="1"/>
  <c r="M174" i="7" l="1"/>
  <c r="M749" i="7"/>
  <c r="M1516" i="7"/>
  <c r="M859" i="7"/>
  <c r="M1653" i="7"/>
  <c r="M534" i="7"/>
  <c r="M1775" i="7"/>
  <c r="M777" i="7"/>
  <c r="N1177" i="7"/>
  <c r="M1637" i="7"/>
  <c r="M1741" i="7"/>
  <c r="M220" i="7"/>
  <c r="M1000" i="7"/>
  <c r="M1460" i="7"/>
  <c r="M18" i="7"/>
  <c r="M518" i="7"/>
  <c r="M1478" i="7"/>
  <c r="N1478" i="7" s="1"/>
  <c r="M1878" i="7"/>
  <c r="M1025" i="7"/>
  <c r="N693" i="7"/>
  <c r="M109" i="7"/>
  <c r="N109" i="7" s="1"/>
  <c r="N1531" i="7"/>
  <c r="N1532" i="7" s="1"/>
  <c r="N1533" i="7" s="1"/>
  <c r="N1534" i="7" s="1"/>
  <c r="M851" i="7"/>
  <c r="N851" i="7" s="1"/>
  <c r="N1934" i="7"/>
  <c r="N1935" i="7" s="1"/>
  <c r="M740" i="7"/>
  <c r="M1523" i="7"/>
  <c r="M1402" i="7"/>
  <c r="M1282" i="7"/>
  <c r="M1501" i="7"/>
  <c r="M1979" i="7"/>
  <c r="N1689" i="7"/>
  <c r="N1690" i="7" s="1"/>
  <c r="N1691" i="7" s="1"/>
  <c r="N1692" i="7" s="1"/>
  <c r="N1693" i="7" s="1"/>
  <c r="N1694" i="7" s="1"/>
  <c r="N1695" i="7" s="1"/>
  <c r="N1696" i="7" s="1"/>
  <c r="N1579" i="7"/>
  <c r="N1580" i="7" s="1"/>
  <c r="N1581" i="7" s="1"/>
  <c r="N1582" i="7" s="1"/>
  <c r="N1583" i="7" s="1"/>
  <c r="M875" i="7"/>
  <c r="M842" i="7"/>
  <c r="M1168" i="7"/>
  <c r="M1404" i="7"/>
  <c r="M514" i="7"/>
  <c r="M1625" i="7"/>
  <c r="N1625" i="7" s="1"/>
  <c r="M1713" i="7"/>
  <c r="N1713" i="7" s="1"/>
  <c r="M156" i="7"/>
  <c r="M355" i="7"/>
  <c r="M754" i="7"/>
  <c r="M337" i="7"/>
  <c r="M260" i="7"/>
  <c r="M1040" i="7"/>
  <c r="M1600" i="7"/>
  <c r="N158" i="7"/>
  <c r="M950" i="7"/>
  <c r="N950" i="7" s="1"/>
  <c r="M558" i="7"/>
  <c r="M1178" i="7"/>
  <c r="M1758" i="7"/>
  <c r="M1271" i="7"/>
  <c r="M1880" i="7"/>
  <c r="M23" i="7"/>
  <c r="N23" i="7" s="1"/>
  <c r="M106" i="7"/>
  <c r="M1524" i="7"/>
  <c r="M265" i="7"/>
  <c r="N265" i="7" s="1"/>
  <c r="N1303" i="7"/>
  <c r="M899" i="7"/>
  <c r="M1865" i="7"/>
  <c r="N147" i="7"/>
  <c r="N148" i="7" s="1"/>
  <c r="M1013" i="7"/>
  <c r="M1914" i="7"/>
  <c r="N1745" i="7"/>
  <c r="M1900" i="7"/>
  <c r="N1277" i="7"/>
  <c r="N1924" i="7"/>
  <c r="N1925" i="7" s="1"/>
  <c r="N1926" i="7" s="1"/>
  <c r="N1927" i="7" s="1"/>
  <c r="N1928" i="7" s="1"/>
  <c r="N1984" i="7"/>
  <c r="N1985" i="7" s="1"/>
  <c r="N1986" i="7" s="1"/>
  <c r="N1987" i="7" s="1"/>
  <c r="M1988" i="7" s="1"/>
  <c r="M149" i="7"/>
  <c r="N149" i="7" s="1"/>
  <c r="M1364" i="7"/>
  <c r="M1487" i="7"/>
  <c r="M930" i="7"/>
  <c r="M1033" i="7"/>
  <c r="M896" i="7"/>
  <c r="N808" i="7"/>
  <c r="M1791" i="7"/>
  <c r="N1791" i="7" s="1"/>
  <c r="N1792" i="7" s="1"/>
  <c r="M37" i="7"/>
  <c r="N259" i="7"/>
  <c r="N260" i="7" s="1"/>
  <c r="M1406" i="7"/>
  <c r="M804" i="7"/>
  <c r="M726" i="7"/>
  <c r="M1088" i="7"/>
  <c r="M1322" i="7"/>
  <c r="M1548" i="7"/>
  <c r="M330" i="7"/>
  <c r="N330" i="7" s="1"/>
  <c r="N331" i="7" s="1"/>
  <c r="M826" i="7"/>
  <c r="M550" i="7"/>
  <c r="M1311" i="7"/>
  <c r="M686" i="7"/>
  <c r="M1809" i="7"/>
  <c r="M870" i="7"/>
  <c r="M1306" i="7"/>
  <c r="M679" i="7"/>
  <c r="M212" i="7"/>
  <c r="M1036" i="7"/>
  <c r="M1174" i="7"/>
  <c r="M1135" i="7"/>
  <c r="N1135" i="7" s="1"/>
  <c r="M66" i="7"/>
  <c r="M537" i="7"/>
  <c r="M699" i="7"/>
  <c r="M446" i="7"/>
  <c r="N446" i="7" s="1"/>
  <c r="M1986" i="7"/>
  <c r="M711" i="7"/>
  <c r="M1196" i="7"/>
  <c r="M399" i="7"/>
  <c r="N399" i="7" s="1"/>
  <c r="N1336" i="7"/>
  <c r="M79" i="7"/>
  <c r="M412" i="7"/>
  <c r="M1563" i="7"/>
  <c r="M1949" i="7"/>
  <c r="M1944" i="7"/>
  <c r="N1944" i="7" s="1"/>
  <c r="N1945" i="7" s="1"/>
  <c r="N1946" i="7" s="1"/>
  <c r="N1947" i="7" s="1"/>
  <c r="M516" i="7"/>
  <c r="M1961" i="7"/>
  <c r="M730" i="7"/>
  <c r="N730" i="7" s="1"/>
  <c r="N731" i="7" s="1"/>
  <c r="N732" i="7" s="1"/>
  <c r="N733" i="7" s="1"/>
  <c r="N1448" i="7"/>
  <c r="N1449" i="7" s="1"/>
  <c r="N1450" i="7" s="1"/>
  <c r="M1159" i="7"/>
  <c r="M1250" i="7"/>
  <c r="O1250" i="7" s="1"/>
  <c r="O1251" i="7" s="1"/>
  <c r="M1630" i="7"/>
  <c r="M1206" i="7"/>
  <c r="M1854" i="7"/>
  <c r="M288" i="7"/>
  <c r="N288" i="7" s="1"/>
  <c r="M604" i="7"/>
  <c r="N604" i="7" s="1"/>
  <c r="N605" i="7" s="1"/>
  <c r="N606" i="7" s="1"/>
  <c r="M1474" i="7"/>
  <c r="M1229" i="7"/>
  <c r="M1415" i="7"/>
  <c r="N1415" i="7" s="1"/>
  <c r="N1575" i="7"/>
  <c r="N1576" i="7" s="1"/>
  <c r="M1497" i="7"/>
  <c r="M1340" i="7"/>
  <c r="M697" i="7"/>
  <c r="M965" i="7"/>
  <c r="N965" i="7" s="1"/>
  <c r="M1435" i="7"/>
  <c r="M119" i="7"/>
  <c r="N1890" i="7"/>
  <c r="N1317" i="7"/>
  <c r="N1318" i="7" s="1"/>
  <c r="N1319" i="7" s="1"/>
  <c r="N1320" i="7" s="1"/>
  <c r="N1321" i="7" s="1"/>
  <c r="N1322" i="7" s="1"/>
  <c r="N1323" i="7" s="1"/>
  <c r="N1324" i="7" s="1"/>
  <c r="M1290" i="7"/>
  <c r="N1290" i="7" s="1"/>
  <c r="N1291" i="7" s="1"/>
  <c r="N1292" i="7" s="1"/>
  <c r="N1293" i="7" s="1"/>
  <c r="N1294" i="7" s="1"/>
  <c r="N1295" i="7" s="1"/>
  <c r="N1296" i="7" s="1"/>
  <c r="N1297" i="7" s="1"/>
  <c r="N452" i="7"/>
  <c r="N453" i="7" s="1"/>
  <c r="N454" i="7" s="1"/>
  <c r="M347" i="7"/>
  <c r="N1362" i="7"/>
  <c r="M1265" i="7"/>
  <c r="M986" i="7"/>
  <c r="N986" i="7" s="1"/>
  <c r="N1808" i="7"/>
  <c r="M430" i="7"/>
  <c r="M287" i="7"/>
  <c r="M1647" i="7"/>
  <c r="M1752" i="7"/>
  <c r="N1495" i="7"/>
  <c r="N1496" i="7" s="1"/>
  <c r="N1058" i="7"/>
  <c r="N1059" i="7" s="1"/>
  <c r="N1060" i="7" s="1"/>
  <c r="M1542" i="7"/>
  <c r="M1919" i="7"/>
  <c r="M1431" i="7"/>
  <c r="M227" i="7"/>
  <c r="M1331" i="7"/>
  <c r="M944" i="7"/>
  <c r="N1528" i="7"/>
  <c r="N355" i="7"/>
  <c r="N356" i="7" s="1"/>
  <c r="N357" i="7" s="1"/>
  <c r="N298" i="7"/>
  <c r="M802" i="7"/>
  <c r="N1064" i="7"/>
  <c r="N1065" i="7" s="1"/>
  <c r="N1066" i="7" s="1"/>
  <c r="N1067" i="7" s="1"/>
  <c r="N1068" i="7" s="1"/>
  <c r="N1069" i="7" s="1"/>
  <c r="N1070" i="7" s="1"/>
  <c r="N1227" i="7"/>
  <c r="M845" i="7"/>
  <c r="N845" i="7" s="1"/>
  <c r="M1747" i="7"/>
  <c r="M1721" i="7"/>
  <c r="M1802" i="7"/>
  <c r="M774" i="7"/>
  <c r="M143" i="7"/>
  <c r="N565" i="7"/>
  <c r="M328" i="7"/>
  <c r="N328" i="7" s="1"/>
  <c r="N188" i="7"/>
  <c r="M1559" i="7"/>
  <c r="N1559" i="7" s="1"/>
  <c r="N1560" i="7" s="1"/>
  <c r="M1761" i="7"/>
  <c r="N1761" i="7" s="1"/>
  <c r="N1762" i="7" s="1"/>
  <c r="M988" i="7"/>
  <c r="N491" i="7"/>
  <c r="M1471" i="7"/>
  <c r="M864" i="7"/>
  <c r="N864" i="7" s="1"/>
  <c r="N346" i="7"/>
  <c r="N1721" i="7"/>
  <c r="N1271" i="7"/>
  <c r="N1376" i="7"/>
  <c r="N1377" i="7" s="1"/>
  <c r="N1378" i="7" s="1"/>
  <c r="N374" i="7"/>
  <c r="N375" i="7" s="1"/>
  <c r="N376" i="7" s="1"/>
  <c r="N377" i="7" s="1"/>
  <c r="N378" i="7" s="1"/>
  <c r="N379" i="7" s="1"/>
  <c r="N380" i="7" s="1"/>
  <c r="N381" i="7" s="1"/>
  <c r="N382" i="7" s="1"/>
  <c r="N12" i="7"/>
  <c r="N13" i="7" s="1"/>
  <c r="N14" i="7" s="1"/>
  <c r="M497" i="7"/>
  <c r="N497" i="7" s="1"/>
  <c r="N239" i="7"/>
  <c r="N240" i="7" s="1"/>
  <c r="N352" i="7"/>
  <c r="N353" i="7" s="1"/>
  <c r="M122" i="7"/>
  <c r="M504" i="7"/>
  <c r="M606" i="7"/>
  <c r="M1804" i="7"/>
  <c r="M832" i="7"/>
  <c r="M1576" i="7"/>
  <c r="M1641" i="7"/>
  <c r="M300" i="7"/>
  <c r="N300" i="7" s="1"/>
  <c r="N942" i="7"/>
  <c r="N943" i="7" s="1"/>
  <c r="N944" i="7" s="1"/>
  <c r="N945" i="7" s="1"/>
  <c r="N946" i="7" s="1"/>
  <c r="N947" i="7" s="1"/>
  <c r="N948" i="7" s="1"/>
  <c r="N949" i="7" s="1"/>
  <c r="N1520" i="7"/>
  <c r="N155" i="7"/>
  <c r="N156" i="7" s="1"/>
  <c r="N157" i="7" s="1"/>
  <c r="N1910" i="7"/>
  <c r="N1081" i="7"/>
  <c r="N1082" i="7" s="1"/>
  <c r="M1338" i="7"/>
  <c r="N1338" i="7" s="1"/>
  <c r="M999" i="7"/>
  <c r="M706" i="7"/>
  <c r="M1971" i="7"/>
  <c r="M1279" i="7"/>
  <c r="M1610" i="7"/>
  <c r="M1131" i="7"/>
  <c r="N1131" i="7" s="1"/>
  <c r="N1132" i="7" s="1"/>
  <c r="N1133" i="7" s="1"/>
  <c r="M1083" i="7"/>
  <c r="N1083" i="7" s="1"/>
  <c r="N1084" i="7" s="1"/>
  <c r="M1464" i="7"/>
  <c r="M1466" i="7"/>
  <c r="M403" i="7"/>
  <c r="M921" i="7"/>
  <c r="M924" i="7"/>
  <c r="N93" i="7"/>
  <c r="N94" i="7" s="1"/>
  <c r="N95" i="7" s="1"/>
  <c r="N96" i="7" s="1"/>
  <c r="N97" i="7" s="1"/>
  <c r="N98" i="7" s="1"/>
  <c r="M1873" i="7"/>
  <c r="N1873" i="7" s="1"/>
  <c r="M1495" i="7"/>
  <c r="M752" i="7"/>
  <c r="O11" i="7"/>
  <c r="N11" i="7"/>
  <c r="N837" i="7"/>
  <c r="M1746" i="7"/>
  <c r="M29" i="7"/>
  <c r="M103" i="7"/>
  <c r="M1143" i="7"/>
  <c r="N435" i="7"/>
  <c r="N436" i="7" s="1"/>
  <c r="N427" i="7"/>
  <c r="N428" i="7" s="1"/>
  <c r="M1757" i="7"/>
  <c r="N1757" i="7" s="1"/>
  <c r="N191" i="7"/>
  <c r="N192" i="7" s="1"/>
  <c r="M836" i="7"/>
  <c r="N836" i="7" s="1"/>
  <c r="M1605" i="7"/>
  <c r="M1469" i="7"/>
  <c r="M1309" i="7"/>
  <c r="M1203" i="7"/>
  <c r="M1484" i="7"/>
  <c r="N1588" i="7"/>
  <c r="N1589" i="7" s="1"/>
  <c r="N1590" i="7" s="1"/>
  <c r="M1681" i="7"/>
  <c r="N966" i="7"/>
  <c r="N967" i="7" s="1"/>
  <c r="N416" i="7"/>
  <c r="N417" i="7" s="1"/>
  <c r="M1010" i="7"/>
  <c r="M453" i="7"/>
  <c r="M955" i="7"/>
  <c r="O1842" i="7"/>
  <c r="O1843" i="7" s="1"/>
  <c r="M1843" i="7"/>
  <c r="M1403" i="7"/>
  <c r="M326" i="7"/>
  <c r="O45" i="7"/>
  <c r="M88" i="7"/>
  <c r="N88" i="7" s="1"/>
  <c r="M30" i="7"/>
  <c r="N30" i="7" s="1"/>
  <c r="N31" i="7" s="1"/>
  <c r="N32" i="7" s="1"/>
  <c r="N33" i="7" s="1"/>
  <c r="N34" i="7" s="1"/>
  <c r="N35" i="7" s="1"/>
  <c r="N36" i="7" s="1"/>
  <c r="N37" i="7" s="1"/>
  <c r="O1688" i="7"/>
  <c r="O255" i="7"/>
  <c r="M970" i="7"/>
  <c r="N970" i="7" s="1"/>
  <c r="O692" i="7"/>
  <c r="M1210" i="7"/>
  <c r="M1124" i="7"/>
  <c r="M934" i="7"/>
  <c r="M1101" i="7"/>
  <c r="M1595" i="7"/>
  <c r="O1266" i="7"/>
  <c r="O1530" i="7"/>
  <c r="O191" i="7"/>
  <c r="O1876" i="7"/>
  <c r="O1556" i="7"/>
  <c r="M46" i="7"/>
  <c r="N46" i="7" s="1"/>
  <c r="M277" i="7"/>
  <c r="N277" i="7" s="1"/>
  <c r="M664" i="7"/>
  <c r="O1138" i="7"/>
  <c r="M1179" i="7"/>
  <c r="N1179" i="7" s="1"/>
  <c r="O720" i="7"/>
  <c r="M721" i="7"/>
  <c r="N721" i="7" s="1"/>
  <c r="O1478" i="7"/>
  <c r="M1325" i="7"/>
  <c r="N1325" i="7" s="1"/>
  <c r="O823" i="7"/>
  <c r="M821" i="7"/>
  <c r="M301" i="7"/>
  <c r="M1443" i="7"/>
  <c r="M1643" i="7"/>
  <c r="O305" i="7"/>
  <c r="M1686" i="7"/>
  <c r="M108" i="7"/>
  <c r="O90" i="7"/>
  <c r="M1830" i="7"/>
  <c r="M1330" i="7"/>
  <c r="N1330" i="7" s="1"/>
  <c r="N1331" i="7" s="1"/>
  <c r="N1332" i="7" s="1"/>
  <c r="N1333" i="7" s="1"/>
  <c r="N1334" i="7" s="1"/>
  <c r="O1959" i="7"/>
  <c r="O1335" i="7"/>
  <c r="M1908" i="7"/>
  <c r="N1908" i="7" s="1"/>
  <c r="M1093" i="7"/>
  <c r="N1093" i="7" s="1"/>
  <c r="M435" i="7"/>
  <c r="M1122" i="7"/>
  <c r="M1045" i="7"/>
  <c r="M589" i="7"/>
  <c r="N589" i="7" s="1"/>
  <c r="M852" i="7"/>
  <c r="N852" i="7" s="1"/>
  <c r="M1261" i="7"/>
  <c r="N1261" i="7" s="1"/>
  <c r="N1262" i="7" s="1"/>
  <c r="M1407" i="7"/>
  <c r="N1407" i="7" s="1"/>
  <c r="N1408" i="7" s="1"/>
  <c r="N1409" i="7" s="1"/>
  <c r="N1410" i="7" s="1"/>
  <c r="N1411" i="7" s="1"/>
  <c r="N1412" i="7" s="1"/>
  <c r="N1413" i="7" s="1"/>
  <c r="M1603" i="7"/>
  <c r="M1440" i="7"/>
  <c r="M1703" i="7"/>
  <c r="M292" i="7"/>
  <c r="N292" i="7" s="1"/>
  <c r="M476" i="7"/>
  <c r="M1371" i="7"/>
  <c r="M878" i="7"/>
  <c r="M139" i="7"/>
  <c r="M1258" i="7"/>
  <c r="M1704" i="7"/>
  <c r="M1302" i="7"/>
  <c r="N1302" i="7" s="1"/>
  <c r="O242" i="7"/>
  <c r="M599" i="7"/>
  <c r="N599" i="7" s="1"/>
  <c r="M367" i="7"/>
  <c r="N367" i="7" s="1"/>
  <c r="M222" i="7"/>
  <c r="M463" i="7"/>
  <c r="O1628" i="7"/>
  <c r="O705" i="7"/>
  <c r="O706" i="7" s="1"/>
  <c r="M646" i="7"/>
  <c r="O1527" i="7"/>
  <c r="O1528" i="7" s="1"/>
  <c r="O1529" i="7" s="1"/>
  <c r="O728" i="7"/>
  <c r="O729" i="7" s="1"/>
  <c r="O730" i="7" s="1"/>
  <c r="O731" i="7" s="1"/>
  <c r="O732" i="7" s="1"/>
  <c r="O733" i="7" s="1"/>
  <c r="M250" i="7"/>
  <c r="M1550" i="7"/>
  <c r="M1950" i="7"/>
  <c r="M942" i="7"/>
  <c r="M574" i="7"/>
  <c r="M1323" i="7"/>
  <c r="M1644" i="7"/>
  <c r="O1546" i="7"/>
  <c r="M1491" i="7"/>
  <c r="M83" i="7"/>
  <c r="M387" i="7"/>
  <c r="O322" i="7"/>
  <c r="M483" i="7"/>
  <c r="M725" i="7"/>
  <c r="M327" i="7"/>
  <c r="N327" i="7" s="1"/>
  <c r="M1547" i="7"/>
  <c r="N1547" i="7" s="1"/>
  <c r="O310" i="7"/>
  <c r="O630" i="7"/>
  <c r="O914" i="7"/>
  <c r="M1964" i="7"/>
  <c r="M1844" i="7"/>
  <c r="O612" i="7"/>
  <c r="O354" i="7"/>
  <c r="O355" i="7" s="1"/>
  <c r="O1944" i="7"/>
  <c r="M1268" i="7"/>
  <c r="N1268" i="7" s="1"/>
  <c r="O1204" i="7"/>
  <c r="O1184" i="7"/>
  <c r="O1072" i="7"/>
  <c r="O1713" i="7"/>
  <c r="M1525" i="7"/>
  <c r="O188" i="7"/>
  <c r="M1697" i="7"/>
  <c r="N1697" i="7" s="1"/>
  <c r="O1329" i="7"/>
  <c r="M159" i="7"/>
  <c r="N159" i="7" s="1"/>
  <c r="M809" i="7"/>
  <c r="M1829" i="7"/>
  <c r="M413" i="7"/>
  <c r="O276" i="7"/>
  <c r="M249" i="7"/>
  <c r="O1375" i="7"/>
  <c r="M76" i="7"/>
  <c r="M1291" i="7"/>
  <c r="M133" i="7"/>
  <c r="M675" i="7"/>
  <c r="M397" i="7"/>
  <c r="N397" i="7" s="1"/>
  <c r="M858" i="7"/>
  <c r="M1777" i="7"/>
  <c r="N1777" i="7" s="1"/>
  <c r="M80" i="7"/>
  <c r="O1728" i="7"/>
  <c r="M1596" i="7"/>
  <c r="M427" i="7"/>
  <c r="M805" i="7"/>
  <c r="M1634" i="7"/>
  <c r="M1089" i="7"/>
  <c r="M735" i="7"/>
  <c r="O187" i="7"/>
  <c r="O836" i="7"/>
  <c r="O837" i="7" s="1"/>
  <c r="M702" i="7"/>
  <c r="M53" i="7"/>
  <c r="M460" i="7"/>
  <c r="O1447" i="7"/>
  <c r="O1267" i="7"/>
  <c r="O1720" i="7"/>
  <c r="M107" i="7"/>
  <c r="M192" i="7"/>
  <c r="M1774" i="7"/>
  <c r="O351" i="7"/>
  <c r="O352" i="7" s="1"/>
  <c r="M1255" i="7"/>
  <c r="M169" i="7"/>
  <c r="M1285" i="7"/>
  <c r="O219" i="7"/>
  <c r="O1544" i="7"/>
  <c r="M390" i="7"/>
  <c r="M1954" i="7"/>
  <c r="M341" i="7"/>
  <c r="M910" i="7"/>
  <c r="O992" i="7"/>
  <c r="O1110" i="7"/>
  <c r="O1983" i="7"/>
  <c r="M170" i="7"/>
  <c r="O1215" i="7"/>
  <c r="M1391" i="7"/>
  <c r="M283" i="7"/>
  <c r="M1269" i="7"/>
  <c r="N1269" i="7" s="1"/>
  <c r="M303" i="7"/>
  <c r="O968" i="7"/>
  <c r="O969" i="7" s="1"/>
  <c r="O744" i="7"/>
  <c r="M189" i="7"/>
  <c r="N189" i="7" s="1"/>
  <c r="O110" i="7"/>
  <c r="O1427" i="7"/>
  <c r="O434" i="7"/>
  <c r="M642" i="7"/>
  <c r="O1888" i="7"/>
  <c r="M368" i="7"/>
  <c r="M160" i="7"/>
  <c r="M703" i="7"/>
  <c r="M1225" i="7"/>
  <c r="O1361" i="7"/>
  <c r="O1362" i="7" s="1"/>
  <c r="O1363" i="7" s="1"/>
  <c r="O469" i="7"/>
  <c r="O1217" i="7"/>
  <c r="M1540" i="7"/>
  <c r="O519" i="7"/>
  <c r="O1624" i="7"/>
  <c r="O1270" i="7"/>
  <c r="O154" i="7"/>
  <c r="M1044" i="7"/>
  <c r="O1893" i="7"/>
  <c r="M1956" i="7"/>
  <c r="M838" i="7"/>
  <c r="O541" i="7"/>
  <c r="O190" i="7"/>
  <c r="M1642" i="7"/>
  <c r="O1348" i="7"/>
  <c r="M755" i="7"/>
  <c r="M820" i="7"/>
  <c r="M1400" i="7"/>
  <c r="M262" i="7"/>
  <c r="M1907" i="7"/>
  <c r="M1685" i="7"/>
  <c r="M715" i="7"/>
  <c r="M860" i="7"/>
  <c r="M1150" i="7"/>
  <c r="M1222" i="7"/>
  <c r="M1911" i="7"/>
  <c r="M1374" i="7"/>
  <c r="M531" i="7"/>
  <c r="O12" i="7"/>
  <c r="O13" i="7" s="1"/>
  <c r="O14" i="7" s="1"/>
  <c r="O15" i="7" s="1"/>
  <c r="M676" i="7"/>
  <c r="O1260" i="7"/>
  <c r="O563" i="7"/>
  <c r="O1448" i="7"/>
  <c r="O1449" i="7" s="1"/>
  <c r="O1450" i="7" s="1"/>
  <c r="M1714" i="7"/>
  <c r="M1052" i="7"/>
  <c r="M193" i="7"/>
  <c r="M693" i="7"/>
  <c r="M571" i="7"/>
  <c r="M309" i="7"/>
  <c r="M736" i="7"/>
  <c r="M636" i="7"/>
  <c r="N636" i="7" s="1"/>
  <c r="O1098" i="7"/>
  <c r="O258" i="7"/>
  <c r="M1020" i="7"/>
  <c r="M551" i="7"/>
  <c r="M1698" i="7"/>
  <c r="M767" i="7"/>
  <c r="N767" i="7" s="1"/>
  <c r="M806" i="7"/>
  <c r="M104" i="7"/>
  <c r="M1645" i="7"/>
  <c r="M1314" i="7"/>
  <c r="M1531" i="7"/>
  <c r="M629" i="7"/>
  <c r="N629" i="7" s="1"/>
  <c r="O1767" i="7"/>
  <c r="M385" i="7"/>
  <c r="N385" i="7" s="1"/>
  <c r="O941" i="7"/>
  <c r="O149" i="7"/>
  <c r="O1519" i="7"/>
  <c r="O426" i="7"/>
  <c r="O1923" i="7"/>
  <c r="M1272" i="7"/>
  <c r="N1272" i="7" s="1"/>
  <c r="N1273" i="7" s="1"/>
  <c r="N1274" i="7" s="1"/>
  <c r="N1275" i="7" s="1"/>
  <c r="O1753" i="7"/>
  <c r="M20" i="7"/>
  <c r="M465" i="7"/>
  <c r="M1232" i="7"/>
  <c r="M894" i="7"/>
  <c r="O431" i="7"/>
  <c r="O1793" i="7"/>
  <c r="M1737" i="7"/>
  <c r="O1238" i="7"/>
  <c r="O383" i="7"/>
  <c r="O384" i="7" s="1"/>
  <c r="M1568" i="7"/>
  <c r="M1385" i="7"/>
  <c r="N1385" i="7" s="1"/>
  <c r="N1386" i="7" s="1"/>
  <c r="N1387" i="7" s="1"/>
  <c r="M1655" i="7"/>
  <c r="O451" i="7"/>
  <c r="M256" i="7"/>
  <c r="N256" i="7" s="1"/>
  <c r="M120" i="7"/>
  <c r="N120" i="7" s="1"/>
  <c r="O447" i="7"/>
  <c r="M1889" i="7"/>
  <c r="N1889" i="7" s="1"/>
  <c r="M302" i="7"/>
  <c r="M1742" i="7"/>
  <c r="M17" i="7"/>
  <c r="N17" i="7" s="1"/>
  <c r="M1837" i="7"/>
  <c r="M1920" i="7"/>
  <c r="O238" i="7"/>
  <c r="M1121" i="7"/>
  <c r="M1085" i="7"/>
  <c r="N1085" i="7" s="1"/>
  <c r="N1086" i="7" s="1"/>
  <c r="N1087" i="7" s="1"/>
  <c r="N1088" i="7" s="1"/>
  <c r="N1089" i="7" s="1"/>
  <c r="M487" i="7"/>
  <c r="M163" i="7"/>
  <c r="M915" i="7"/>
  <c r="M245" i="7"/>
  <c r="O807" i="7"/>
  <c r="O808" i="7" s="1"/>
  <c r="O809" i="7" s="1"/>
  <c r="M229" i="7"/>
  <c r="N229" i="7" s="1"/>
  <c r="N230" i="7" s="1"/>
  <c r="N231" i="7" s="1"/>
  <c r="N232" i="7" s="1"/>
  <c r="N233" i="7" s="1"/>
  <c r="N234" i="7" s="1"/>
  <c r="N235" i="7" s="1"/>
  <c r="N236" i="7" s="1"/>
  <c r="N237" i="7" s="1"/>
  <c r="M440" i="7"/>
  <c r="M380" i="7"/>
  <c r="M1881" i="7"/>
  <c r="M1172" i="7"/>
  <c r="O682" i="7"/>
  <c r="M1185" i="7"/>
  <c r="M567" i="7"/>
  <c r="M410" i="7"/>
  <c r="M1252" i="7"/>
  <c r="N1252" i="7" s="1"/>
  <c r="M1965" i="7"/>
  <c r="M911" i="7"/>
  <c r="O621" i="7"/>
  <c r="O1625" i="7"/>
  <c r="O760" i="7"/>
  <c r="O87" i="7"/>
  <c r="M386" i="7"/>
  <c r="O1015" i="7"/>
  <c r="O1669" i="7"/>
  <c r="M1722" i="7"/>
  <c r="O16" i="7"/>
  <c r="O815" i="7"/>
  <c r="O1300" i="7"/>
  <c r="O1301" i="7" s="1"/>
  <c r="M424" i="7"/>
  <c r="M261" i="7"/>
  <c r="O734" i="7"/>
  <c r="O735" i="7" s="1"/>
  <c r="O857" i="7"/>
  <c r="M1451" i="7"/>
  <c r="N1451" i="7" s="1"/>
  <c r="M1218" i="7"/>
  <c r="M1221" i="7"/>
  <c r="M1344" i="7"/>
  <c r="M1684" i="7"/>
  <c r="M513" i="7"/>
  <c r="M356" i="7"/>
  <c r="M376" i="7"/>
  <c r="M1916" i="7"/>
  <c r="O324" i="7"/>
  <c r="O325" i="7" s="1"/>
  <c r="M566" i="7"/>
  <c r="O834" i="7"/>
  <c r="M1392" i="7"/>
  <c r="N1392" i="7" s="1"/>
  <c r="N1393" i="7" s="1"/>
  <c r="N1394" i="7" s="1"/>
  <c r="M1401" i="7"/>
  <c r="M407" i="7"/>
  <c r="O330" i="7"/>
  <c r="O331" i="7" s="1"/>
  <c r="M1689" i="7"/>
  <c r="M1492" i="7"/>
  <c r="N1492" i="7" s="1"/>
  <c r="M973" i="7"/>
  <c r="M363" i="7"/>
  <c r="M1461" i="7"/>
  <c r="M155" i="7"/>
  <c r="O1338" i="7"/>
  <c r="M824" i="7"/>
  <c r="N824" i="7" s="1"/>
  <c r="M1960" i="7"/>
  <c r="N1960" i="7" s="1"/>
  <c r="O983" i="7"/>
  <c r="M673" i="7"/>
  <c r="M1734" i="7"/>
  <c r="M72" i="7"/>
  <c r="M756" i="7"/>
  <c r="M1094" i="7"/>
  <c r="M1115" i="7"/>
  <c r="M101" i="7"/>
  <c r="M517" i="7"/>
  <c r="M1877" i="7"/>
  <c r="N1877" i="7" s="1"/>
  <c r="O1426" i="7"/>
  <c r="M778" i="7"/>
  <c r="M1868" i="7"/>
  <c r="O288" i="7"/>
  <c r="M1529" i="7"/>
  <c r="M125" i="7"/>
  <c r="M1661" i="7"/>
  <c r="O1131" i="7"/>
  <c r="O1132" i="7" s="1"/>
  <c r="M365" i="7"/>
  <c r="M329" i="7"/>
  <c r="N329" i="7" s="1"/>
  <c r="M912" i="7"/>
  <c r="O1134" i="7"/>
  <c r="M243" i="7"/>
  <c r="M1405" i="7"/>
  <c r="M251" i="7"/>
  <c r="M871" i="7"/>
  <c r="M266" i="7"/>
  <c r="O294" i="7"/>
  <c r="O846" i="7"/>
  <c r="M1656" i="7"/>
  <c r="M1049" i="7"/>
  <c r="N1049" i="7" s="1"/>
  <c r="N1050" i="7" s="1"/>
  <c r="N1051" i="7" s="1"/>
  <c r="O1107" i="7"/>
  <c r="O1756" i="7"/>
  <c r="O1757" i="7" s="1"/>
  <c r="O1758" i="7" s="1"/>
  <c r="O1759" i="7" s="1"/>
  <c r="O1760" i="7" s="1"/>
  <c r="O814" i="7"/>
  <c r="M1616" i="7"/>
  <c r="N1616" i="7" s="1"/>
  <c r="M481" i="7"/>
  <c r="M317" i="7"/>
  <c r="M1197" i="7"/>
  <c r="M1657" i="7"/>
  <c r="M709" i="7"/>
  <c r="M259" i="7"/>
  <c r="O201" i="7"/>
  <c r="M1281" i="7"/>
  <c r="M665" i="7"/>
  <c r="M286" i="7"/>
  <c r="M38" i="7"/>
  <c r="M538" i="7"/>
  <c r="M1219" i="7"/>
  <c r="M801" i="7"/>
  <c r="O1558" i="7"/>
  <c r="M1463" i="7"/>
  <c r="M1211" i="7"/>
  <c r="M1520" i="7"/>
  <c r="M1760" i="7"/>
  <c r="M231" i="7"/>
  <c r="M1240" i="7"/>
  <c r="M1604" i="7"/>
  <c r="M299" i="7"/>
  <c r="N299" i="7" s="1"/>
  <c r="M492" i="7"/>
  <c r="M1962" i="7"/>
  <c r="M269" i="7"/>
  <c r="M1569" i="7"/>
  <c r="N1569" i="7" s="1"/>
  <c r="N1570" i="7" s="1"/>
  <c r="N1571" i="7" s="1"/>
  <c r="N1572" i="7" s="1"/>
  <c r="N1573" i="7" s="1"/>
  <c r="M321" i="7"/>
  <c r="M1945" i="7"/>
  <c r="M467" i="7"/>
  <c r="M1312" i="7"/>
  <c r="M1355" i="7"/>
  <c r="N1355" i="7" s="1"/>
  <c r="O1249" i="7"/>
  <c r="M173" i="7"/>
  <c r="N173" i="7" s="1"/>
  <c r="M275" i="7"/>
  <c r="M1468" i="7"/>
  <c r="M1511" i="7"/>
  <c r="M293" i="7"/>
  <c r="M1014" i="7"/>
  <c r="N1014" i="7" s="1"/>
  <c r="M625" i="7"/>
  <c r="N625" i="7" s="1"/>
  <c r="N626" i="7" s="1"/>
  <c r="N627" i="7" s="1"/>
  <c r="N628" i="7" s="1"/>
  <c r="M610" i="7"/>
  <c r="N610" i="7" s="1"/>
  <c r="M783" i="7"/>
  <c r="M853" i="7"/>
  <c r="M1432" i="7"/>
  <c r="O496" i="7"/>
  <c r="O959" i="7"/>
  <c r="M1913" i="7"/>
  <c r="N1913" i="7" s="1"/>
  <c r="O874" i="7"/>
  <c r="M536" i="7"/>
  <c r="M1428" i="7"/>
  <c r="N1428" i="7" s="1"/>
  <c r="M895" i="7"/>
  <c r="M1658" i="7"/>
  <c r="M457" i="7"/>
  <c r="O1337" i="7"/>
  <c r="M898" i="7"/>
  <c r="M585" i="7"/>
  <c r="M1160" i="7"/>
  <c r="O1899" i="7"/>
  <c r="O1900" i="7" s="1"/>
  <c r="O1901" i="7" s="1"/>
  <c r="M1780" i="7"/>
  <c r="M1483" i="7"/>
  <c r="M1278" i="7"/>
  <c r="M140" i="7"/>
  <c r="M920" i="7"/>
  <c r="M207" i="7"/>
  <c r="M1800" i="7"/>
  <c r="M211" i="7"/>
  <c r="M1751" i="7"/>
  <c r="M1541" i="7"/>
  <c r="M1903" i="7"/>
  <c r="M1680" i="7"/>
  <c r="M696" i="7"/>
  <c r="M1328" i="7"/>
  <c r="N1328" i="7" s="1"/>
  <c r="M1636" i="7"/>
  <c r="M1565" i="7"/>
  <c r="N1565" i="7" s="1"/>
  <c r="O1749" i="7"/>
  <c r="O633" i="7"/>
  <c r="M1141" i="7"/>
  <c r="M1855" i="7"/>
  <c r="M1947" i="7"/>
  <c r="M1609" i="7"/>
  <c r="O373" i="7"/>
  <c r="M515" i="7"/>
  <c r="M1968" i="7"/>
  <c r="M690" i="7"/>
  <c r="M1871" i="7"/>
  <c r="O1744" i="7"/>
  <c r="O1745" i="7" s="1"/>
  <c r="O1746" i="7" s="1"/>
  <c r="O1747" i="7" s="1"/>
  <c r="M1452" i="7"/>
  <c r="M576" i="7"/>
  <c r="M306" i="7"/>
  <c r="N306" i="7" s="1"/>
  <c r="N307" i="7" s="1"/>
  <c r="N308" i="7" s="1"/>
  <c r="N309" i="7" s="1"/>
  <c r="M1929" i="7"/>
  <c r="M639" i="7"/>
  <c r="M596" i="7"/>
  <c r="M49" i="7"/>
  <c r="M1635" i="7"/>
  <c r="M477" i="7"/>
  <c r="N477" i="7" s="1"/>
  <c r="O937" i="7"/>
  <c r="M1817" i="7"/>
  <c r="M958" i="7"/>
  <c r="M360" i="7"/>
  <c r="M1259" i="7"/>
  <c r="N1259" i="7" s="1"/>
  <c r="M1345" i="7"/>
  <c r="M1489" i="7"/>
  <c r="M1853" i="7"/>
  <c r="M694" i="7"/>
  <c r="M1298" i="7"/>
  <c r="M940" i="7"/>
  <c r="M1646" i="7"/>
  <c r="M1980" i="7"/>
  <c r="M311" i="7"/>
  <c r="N311" i="7" s="1"/>
  <c r="N312" i="7" s="1"/>
  <c r="N313" i="7" s="1"/>
  <c r="N314" i="7" s="1"/>
  <c r="N315" i="7" s="1"/>
  <c r="N316" i="7" s="1"/>
  <c r="N317" i="7" s="1"/>
  <c r="N318" i="7" s="1"/>
  <c r="N319" i="7" s="1"/>
  <c r="N320" i="7" s="1"/>
  <c r="N321" i="7" s="1"/>
  <c r="M205" i="7"/>
  <c r="M270" i="7"/>
  <c r="M503" i="7"/>
  <c r="N503" i="7" s="1"/>
  <c r="M605" i="7"/>
  <c r="M126" i="7"/>
  <c r="O1061" i="7"/>
  <c r="M1398" i="7"/>
  <c r="M882" i="7"/>
  <c r="M278" i="7"/>
  <c r="N278" i="7" s="1"/>
  <c r="N279" i="7" s="1"/>
  <c r="N280" i="7" s="1"/>
  <c r="M241" i="7"/>
  <c r="M1199" i="7"/>
  <c r="M64" i="7"/>
  <c r="M787" i="7"/>
  <c r="M722" i="7"/>
  <c r="M683" i="7"/>
  <c r="M1310" i="7"/>
  <c r="N1310" i="7" s="1"/>
  <c r="N1311" i="7" s="1"/>
  <c r="N1312" i="7" s="1"/>
  <c r="N1313" i="7" s="1"/>
  <c r="N1314" i="7" s="1"/>
  <c r="N1315" i="7" s="1"/>
  <c r="M984" i="7"/>
  <c r="N984" i="7" s="1"/>
  <c r="N985" i="7" s="1"/>
  <c r="M839" i="7"/>
  <c r="M1561" i="7"/>
  <c r="N1561" i="7" s="1"/>
  <c r="N1562" i="7" s="1"/>
  <c r="O986" i="7"/>
  <c r="M647" i="7"/>
  <c r="N647" i="7" s="1"/>
  <c r="N648" i="7" s="1"/>
  <c r="M648" i="7"/>
  <c r="M1126" i="7"/>
  <c r="M47" i="7"/>
  <c r="M1969" i="7"/>
  <c r="M253" i="7"/>
  <c r="M348" i="7"/>
  <c r="M1629" i="7"/>
  <c r="N1629" i="7" s="1"/>
  <c r="M1806" i="7"/>
  <c r="N1806" i="7" s="1"/>
  <c r="M165" i="7"/>
  <c r="M1891" i="7"/>
  <c r="N1891" i="7" s="1"/>
  <c r="M493" i="7"/>
  <c r="M202" i="7"/>
  <c r="N202" i="7" s="1"/>
  <c r="N203" i="7" s="1"/>
  <c r="N204" i="7" s="1"/>
  <c r="N205" i="7" s="1"/>
  <c r="N206" i="7" s="1"/>
  <c r="N207" i="7" s="1"/>
  <c r="N208" i="7" s="1"/>
  <c r="N209" i="7" s="1"/>
  <c r="N210" i="7" s="1"/>
  <c r="N211" i="7" s="1"/>
  <c r="N212" i="7" s="1"/>
  <c r="N213" i="7" s="1"/>
  <c r="N214" i="7" s="1"/>
  <c r="N215" i="7" s="1"/>
  <c r="N216" i="7" s="1"/>
  <c r="N217" i="7" s="1"/>
  <c r="N218" i="7" s="1"/>
  <c r="M239" i="7"/>
  <c r="M1587" i="7"/>
  <c r="N1587" i="7" s="1"/>
  <c r="M1053" i="7"/>
  <c r="M1687" i="7"/>
  <c r="M993" i="7"/>
  <c r="N993" i="7" s="1"/>
  <c r="N994" i="7" s="1"/>
  <c r="N995" i="7" s="1"/>
  <c r="N996" i="7" s="1"/>
  <c r="N997" i="7" s="1"/>
  <c r="N998" i="7" s="1"/>
  <c r="N999" i="7" s="1"/>
  <c r="N1000" i="7" s="1"/>
  <c r="N1001" i="7" s="1"/>
  <c r="N1002" i="7" s="1"/>
  <c r="N1003" i="7" s="1"/>
  <c r="N1004" i="7" s="1"/>
  <c r="N1005" i="7" s="1"/>
  <c r="N1006" i="7" s="1"/>
  <c r="N1007" i="7" s="1"/>
  <c r="N1008" i="7" s="1"/>
  <c r="N1009" i="7" s="1"/>
  <c r="N1010" i="7" s="1"/>
  <c r="N1011" i="7" s="1"/>
  <c r="N1012" i="7" s="1"/>
  <c r="N1013" i="7" s="1"/>
  <c r="M1102" i="7"/>
  <c r="M470" i="7"/>
  <c r="N470" i="7" s="1"/>
  <c r="N471" i="7" s="1"/>
  <c r="M990" i="7"/>
  <c r="N990" i="7" s="1"/>
  <c r="N991" i="7" s="1"/>
  <c r="M1723" i="7"/>
  <c r="M611" i="7"/>
  <c r="M1724" i="7"/>
  <c r="M15" i="7"/>
  <c r="M232" i="7"/>
  <c r="M1692" i="7"/>
  <c r="M932" i="7"/>
  <c r="M1161" i="7"/>
  <c r="M1173" i="7"/>
  <c r="M1076" i="7"/>
  <c r="M1368" i="7"/>
  <c r="N1368" i="7" s="1"/>
  <c r="M1274" i="7"/>
  <c r="M916" i="7"/>
  <c r="M813" i="7"/>
  <c r="N813" i="7" s="1"/>
  <c r="M1275" i="7"/>
  <c r="M796" i="7"/>
  <c r="M69" i="7"/>
  <c r="N69" i="7" s="1"/>
  <c r="N70" i="7" s="1"/>
  <c r="N71" i="7" s="1"/>
  <c r="M77" i="7"/>
  <c r="O557" i="7"/>
  <c r="O558" i="7" s="1"/>
  <c r="M1957" i="7"/>
  <c r="N1957" i="7" s="1"/>
  <c r="M1438" i="7"/>
  <c r="M1145" i="7"/>
  <c r="M579" i="7"/>
  <c r="N579" i="7" s="1"/>
  <c r="M1320" i="7"/>
  <c r="M1007" i="7"/>
  <c r="M1972" i="7"/>
  <c r="M700" i="7"/>
  <c r="M549" i="7"/>
  <c r="M1551" i="7"/>
  <c r="M338" i="7"/>
  <c r="M918" i="7"/>
  <c r="M420" i="7"/>
  <c r="M1080" i="7"/>
  <c r="N1080" i="7" s="1"/>
  <c r="M1982" i="7"/>
  <c r="M323" i="7"/>
  <c r="N323" i="7" s="1"/>
  <c r="M751" i="7"/>
  <c r="M437" i="7"/>
  <c r="N437" i="7" s="1"/>
  <c r="M954" i="7"/>
  <c r="M1147" i="7"/>
  <c r="N1147" i="7" s="1"/>
  <c r="N1148" i="7" s="1"/>
  <c r="N1149" i="7" s="1"/>
  <c r="M1041" i="7"/>
  <c r="M1416" i="7"/>
  <c r="N1416" i="7" s="1"/>
  <c r="M1699" i="7"/>
  <c r="M644" i="7"/>
  <c r="M1148" i="7"/>
  <c r="M334" i="7"/>
  <c r="M1239" i="7"/>
  <c r="N1239" i="7" s="1"/>
  <c r="M284" i="7"/>
  <c r="M564" i="7"/>
  <c r="N564" i="7" s="1"/>
  <c r="M723" i="7"/>
  <c r="M1584" i="7"/>
  <c r="M1283" i="7"/>
  <c r="M1545" i="7"/>
  <c r="N1545" i="7" s="1"/>
  <c r="O1106" i="7"/>
  <c r="M263" i="7"/>
  <c r="M727" i="7"/>
  <c r="M768" i="7"/>
  <c r="M1670" i="7"/>
  <c r="M445" i="7"/>
  <c r="M1827" i="7"/>
  <c r="M353" i="7"/>
  <c r="M1233" i="7"/>
  <c r="O603" i="7"/>
  <c r="O604" i="7" s="1"/>
  <c r="M1709" i="7"/>
  <c r="M1834" i="7"/>
  <c r="M121" i="7"/>
  <c r="N121" i="7" s="1"/>
  <c r="N122" i="7" s="1"/>
  <c r="N123" i="7" s="1"/>
  <c r="N124" i="7" s="1"/>
  <c r="M345" i="7"/>
  <c r="N345" i="7" s="1"/>
  <c r="M948" i="7"/>
  <c r="M903" i="7"/>
  <c r="M653" i="7"/>
  <c r="M527" i="7"/>
  <c r="M1026" i="7"/>
  <c r="M1349" i="7"/>
  <c r="N1349" i="7" s="1"/>
  <c r="M913" i="7"/>
  <c r="M128" i="7"/>
  <c r="N128" i="7" s="1"/>
  <c r="N129" i="7" s="1"/>
  <c r="N130" i="7" s="1"/>
  <c r="N131" i="7" s="1"/>
  <c r="N132" i="7" s="1"/>
  <c r="N133" i="7" s="1"/>
  <c r="N134" i="7" s="1"/>
  <c r="N135" i="7" s="1"/>
  <c r="N136" i="7" s="1"/>
  <c r="N137" i="7" s="1"/>
  <c r="N138" i="7" s="1"/>
  <c r="N139" i="7" s="1"/>
  <c r="N140" i="7" s="1"/>
  <c r="N141" i="7" s="1"/>
  <c r="N142" i="7" s="1"/>
  <c r="N143" i="7" s="1"/>
  <c r="N144" i="7" s="1"/>
  <c r="N145" i="7" s="1"/>
  <c r="M1651" i="7"/>
  <c r="M1253" i="7"/>
  <c r="M89" i="7"/>
  <c r="M1228" i="7"/>
  <c r="M1050" i="7"/>
  <c r="M1764" i="7"/>
  <c r="M651" i="7"/>
  <c r="M372" i="7"/>
  <c r="M335" i="7"/>
  <c r="M312" i="7"/>
  <c r="M1732" i="7"/>
  <c r="O936" i="7"/>
  <c r="M1162" i="7"/>
  <c r="N1162" i="7" s="1"/>
  <c r="M1213" i="7"/>
  <c r="O1574" i="7"/>
  <c r="M1136" i="7"/>
  <c r="M1627" i="7"/>
  <c r="N1627" i="7" s="1"/>
  <c r="M1016" i="7"/>
  <c r="N1016" i="7" s="1"/>
  <c r="N1017" i="7" s="1"/>
  <c r="M1067" i="7"/>
  <c r="M1395" i="7"/>
  <c r="M876" i="7"/>
  <c r="M1429" i="7"/>
  <c r="N1429" i="7" s="1"/>
  <c r="N1430" i="7" s="1"/>
  <c r="N1431" i="7" s="1"/>
  <c r="N1432" i="7" s="1"/>
  <c r="N1433" i="7" s="1"/>
  <c r="N1434" i="7" s="1"/>
  <c r="N1435" i="7" s="1"/>
  <c r="N1436" i="7" s="1"/>
  <c r="M577" i="7"/>
  <c r="M1037" i="7"/>
  <c r="M1977" i="7"/>
  <c r="N1977" i="7" s="1"/>
  <c r="N1978" i="7" s="1"/>
  <c r="M99" i="7"/>
  <c r="N99" i="7" s="1"/>
  <c r="N100" i="7" s="1"/>
  <c r="M1326" i="7"/>
  <c r="N1326" i="7" s="1"/>
  <c r="M580" i="7"/>
  <c r="M1146" i="7"/>
  <c r="M1386" i="7"/>
  <c r="M1662" i="7"/>
  <c r="M358" i="7"/>
  <c r="N358" i="7" s="1"/>
  <c r="M938" i="7"/>
  <c r="M179" i="7"/>
  <c r="M500" i="7"/>
  <c r="M1180" i="7"/>
  <c r="M1165" i="7"/>
  <c r="M1241" i="7"/>
  <c r="M951" i="7"/>
  <c r="M597" i="7"/>
  <c r="M1514" i="7"/>
  <c r="M1582" i="7"/>
  <c r="M1861" i="7"/>
  <c r="M1535" i="7"/>
  <c r="N1535" i="7" s="1"/>
  <c r="N1536" i="7" s="1"/>
  <c r="M1940" i="7"/>
  <c r="M622" i="7"/>
  <c r="N622" i="7" s="1"/>
  <c r="N623" i="7" s="1"/>
  <c r="N624" i="7" s="1"/>
  <c r="M1555" i="7"/>
  <c r="N1555" i="7" s="1"/>
  <c r="M856" i="7"/>
  <c r="M816" i="7"/>
  <c r="N816" i="7" s="1"/>
  <c r="N817" i="7" s="1"/>
  <c r="M1917" i="7"/>
  <c r="M1936" i="7"/>
  <c r="M1319" i="7"/>
  <c r="M304" i="7"/>
  <c r="N304" i="7" s="1"/>
  <c r="M24" i="7"/>
  <c r="N24" i="7" s="1"/>
  <c r="M883" i="7"/>
  <c r="M1784" i="7"/>
  <c r="O1559" i="7"/>
  <c r="O1560" i="7" s="1"/>
  <c r="M1786" i="7"/>
  <c r="O1761" i="7"/>
  <c r="O1762" i="7" s="1"/>
  <c r="O1763" i="7" s="1"/>
  <c r="M1226" i="7"/>
  <c r="N1226" i="7" s="1"/>
  <c r="M343" i="7"/>
  <c r="M827" i="7"/>
  <c r="M1286" i="7"/>
  <c r="M267" i="7"/>
  <c r="O490" i="7"/>
  <c r="O491" i="7" s="1"/>
  <c r="M1690" i="7"/>
  <c r="M1863" i="7"/>
  <c r="M1502" i="7"/>
  <c r="M710" i="7"/>
  <c r="O864" i="7"/>
  <c r="M1869" i="7"/>
  <c r="N1869" i="7" s="1"/>
  <c r="N1870" i="7" s="1"/>
  <c r="N1871" i="7" s="1"/>
  <c r="N1872" i="7" s="1"/>
  <c r="M843" i="7"/>
  <c r="M1974" i="7"/>
  <c r="M182" i="7"/>
  <c r="M425" i="7"/>
  <c r="M1388" i="7"/>
  <c r="M145" i="7"/>
  <c r="O845" i="7"/>
  <c r="M401" i="7"/>
  <c r="M1066" i="7"/>
  <c r="M1509" i="7"/>
  <c r="N1509" i="7" s="1"/>
  <c r="N1510" i="7" s="1"/>
  <c r="M1333" i="7"/>
  <c r="M468" i="7"/>
  <c r="M1811" i="7"/>
  <c r="M203" i="7"/>
  <c r="M792" i="7"/>
  <c r="M209" i="7"/>
  <c r="M1884" i="7"/>
  <c r="M1353" i="7"/>
  <c r="M562" i="7"/>
  <c r="N562" i="7" s="1"/>
  <c r="M1090" i="7"/>
  <c r="N1090" i="7" s="1"/>
  <c r="N1091" i="7" s="1"/>
  <c r="N1092" i="7" s="1"/>
  <c r="M1803" i="7"/>
  <c r="M671" i="7"/>
  <c r="M332" i="7"/>
  <c r="M790" i="7"/>
  <c r="M455" i="7"/>
  <c r="N455" i="7" s="1"/>
  <c r="N456" i="7" s="1"/>
  <c r="N457" i="7" s="1"/>
  <c r="N458" i="7" s="1"/>
  <c r="N459" i="7" s="1"/>
  <c r="N460" i="7" s="1"/>
  <c r="N461" i="7" s="1"/>
  <c r="N462" i="7" s="1"/>
  <c r="N463" i="7" s="1"/>
  <c r="N464" i="7" s="1"/>
  <c r="N465" i="7" s="1"/>
  <c r="N466" i="7" s="1"/>
  <c r="N467" i="7" s="1"/>
  <c r="N468" i="7" s="1"/>
  <c r="M392" i="7"/>
  <c r="M996" i="7"/>
  <c r="M1163" i="7"/>
  <c r="M1393" i="7"/>
  <c r="M1754" i="7"/>
  <c r="N1754" i="7" s="1"/>
  <c r="M1276" i="7"/>
  <c r="N1276" i="7" s="1"/>
  <c r="O1494" i="7"/>
  <c r="M1116" i="7"/>
  <c r="M1193" i="7"/>
  <c r="M1455" i="7"/>
  <c r="M976" i="7"/>
  <c r="M847" i="7"/>
  <c r="M117" i="7"/>
  <c r="M617" i="7"/>
  <c r="O1057" i="7"/>
  <c r="M1517" i="7"/>
  <c r="M546" i="7"/>
  <c r="M1099" i="7"/>
  <c r="N1099" i="7" s="1"/>
  <c r="N1100" i="7" s="1"/>
  <c r="N1101" i="7" s="1"/>
  <c r="N1102" i="7" s="1"/>
  <c r="N1103" i="7" s="1"/>
  <c r="N1104" i="7" s="1"/>
  <c r="N1105" i="7" s="1"/>
  <c r="M619" i="7"/>
  <c r="M1339" i="7"/>
  <c r="N1339" i="7" s="1"/>
  <c r="M1327" i="7"/>
  <c r="N1327" i="7" s="1"/>
  <c r="M442" i="7"/>
  <c r="O964" i="7"/>
  <c r="M1389" i="7"/>
  <c r="M1975" i="7"/>
  <c r="N1975" i="7" s="1"/>
  <c r="M378" i="7"/>
  <c r="M978" i="7"/>
  <c r="M719" i="7"/>
  <c r="M520" i="7"/>
  <c r="M1200" i="7"/>
  <c r="M1648" i="7"/>
  <c r="N1648" i="7" s="1"/>
  <c r="N1649" i="7" s="1"/>
  <c r="N1650" i="7" s="1"/>
  <c r="M1822" i="7"/>
  <c r="N1822" i="7" s="1"/>
  <c r="N1823" i="7" s="1"/>
  <c r="N1824" i="7" s="1"/>
  <c r="N1825" i="7" s="1"/>
  <c r="N1826" i="7" s="1"/>
  <c r="N1827" i="7" s="1"/>
  <c r="N1828" i="7" s="1"/>
  <c r="N1829" i="7" s="1"/>
  <c r="N1830" i="7" s="1"/>
  <c r="N1831" i="7" s="1"/>
  <c r="N1832" i="7" s="1"/>
  <c r="N1833" i="7" s="1"/>
  <c r="N1834" i="7" s="1"/>
  <c r="N1835" i="7" s="1"/>
  <c r="N1836" i="7" s="1"/>
  <c r="N1837" i="7" s="1"/>
  <c r="N1838" i="7" s="1"/>
  <c r="N1839" i="7" s="1"/>
  <c r="N1840" i="7" s="1"/>
  <c r="N1841" i="7" s="1"/>
  <c r="M971" i="7"/>
  <c r="M1845" i="7"/>
  <c r="N1845" i="7" s="1"/>
  <c r="M151" i="7"/>
  <c r="M1874" i="7"/>
  <c r="M1789" i="7"/>
  <c r="M1938" i="7"/>
  <c r="M1288" i="7"/>
  <c r="M556" i="7"/>
  <c r="O1612" i="7"/>
  <c r="M716" i="7"/>
  <c r="M81" i="7"/>
  <c r="M704" i="7"/>
  <c r="N704" i="7" s="1"/>
  <c r="M1022" i="7"/>
  <c r="M1063" i="7"/>
  <c r="N1063" i="7" s="1"/>
  <c r="M643" i="7"/>
  <c r="M1444" i="7"/>
  <c r="M1902" i="7"/>
  <c r="M1866" i="7"/>
  <c r="M26" i="7"/>
  <c r="M1246" i="7"/>
  <c r="M422" i="7"/>
  <c r="M887" i="7"/>
  <c r="M1108" i="7"/>
  <c r="N1108" i="7" s="1"/>
  <c r="N1109" i="7" s="1"/>
  <c r="M1446" i="7"/>
  <c r="M627" i="7"/>
  <c r="M510" i="7"/>
  <c r="M1710" i="7"/>
  <c r="M1942" i="7"/>
  <c r="N1942" i="7" s="1"/>
  <c r="M1591" i="7"/>
  <c r="N1591" i="7" s="1"/>
  <c r="N1592" i="7" s="1"/>
  <c r="N1593" i="7" s="1"/>
  <c r="N1594" i="7" s="1"/>
  <c r="M1922" i="7"/>
  <c r="M863" i="7"/>
  <c r="M922" i="7"/>
  <c r="M885" i="7"/>
  <c r="M1151" i="7"/>
  <c r="M73" i="7"/>
  <c r="N73" i="7" s="1"/>
  <c r="N74" i="7" s="1"/>
  <c r="N75" i="7" s="1"/>
  <c r="M150" i="7"/>
  <c r="M505" i="7"/>
  <c r="M485" i="7"/>
  <c r="M569" i="7"/>
  <c r="N569" i="7" s="1"/>
  <c r="N570" i="7" s="1"/>
  <c r="N571" i="7" s="1"/>
  <c r="N572" i="7" s="1"/>
  <c r="N573" i="7" s="1"/>
  <c r="N574" i="7" s="1"/>
  <c r="N575" i="7" s="1"/>
  <c r="N576" i="7" s="1"/>
  <c r="N577" i="7" s="1"/>
  <c r="N578" i="7" s="1"/>
  <c r="M953" i="7"/>
  <c r="M1183" i="7"/>
  <c r="N1183" i="7" s="1"/>
  <c r="M506" i="7"/>
  <c r="M1186" i="7"/>
  <c r="M1769" i="7"/>
  <c r="M741" i="7"/>
  <c r="M559" i="7"/>
  <c r="M868" i="7"/>
  <c r="M524" i="7"/>
  <c r="M631" i="7"/>
  <c r="N631" i="7" s="1"/>
  <c r="N632" i="7" s="1"/>
  <c r="M1144" i="7"/>
  <c r="M349" i="7"/>
  <c r="M495" i="7"/>
  <c r="M781" i="7"/>
  <c r="M1190" i="7"/>
  <c r="N1190" i="7" s="1"/>
  <c r="N1191" i="7" s="1"/>
  <c r="N1192" i="7" s="1"/>
  <c r="N1193" i="7" s="1"/>
  <c r="N1194" i="7" s="1"/>
  <c r="N1195" i="7" s="1"/>
  <c r="M31" i="7"/>
  <c r="M691" i="7"/>
  <c r="M472" i="7"/>
  <c r="M1659" i="7"/>
  <c r="M615" i="7"/>
  <c r="M552" i="7"/>
  <c r="M1832" i="7"/>
  <c r="M1096" i="7"/>
  <c r="M1169" i="7"/>
  <c r="M1433" i="7"/>
  <c r="M1794" i="7"/>
  <c r="N1794" i="7" s="1"/>
  <c r="N1795" i="7" s="1"/>
  <c r="N1796" i="7" s="1"/>
  <c r="N1797" i="7" s="1"/>
  <c r="N1798" i="7" s="1"/>
  <c r="N1799" i="7" s="1"/>
  <c r="N1800" i="7" s="1"/>
  <c r="N1801" i="7" s="1"/>
  <c r="N1802" i="7" s="1"/>
  <c r="N1803" i="7" s="1"/>
  <c r="N1804" i="7" s="1"/>
  <c r="N1805" i="7" s="1"/>
  <c r="M1336" i="7"/>
  <c r="M74" i="7"/>
  <c r="M1694" i="7"/>
  <c r="M1216" i="7"/>
  <c r="M1369" i="7"/>
  <c r="N1369" i="7" s="1"/>
  <c r="N1370" i="7" s="1"/>
  <c r="M1575" i="7"/>
  <c r="M1056" i="7"/>
  <c r="M634" i="7"/>
  <c r="N634" i="7" s="1"/>
  <c r="N635" i="7" s="1"/>
  <c r="M137" i="7"/>
  <c r="M657" i="7"/>
  <c r="M1077" i="7"/>
  <c r="M1537" i="7"/>
  <c r="M1004" i="7"/>
  <c r="M960" i="7"/>
  <c r="M620" i="7"/>
  <c r="M1359" i="7"/>
  <c r="M900" i="7"/>
  <c r="O963" i="7"/>
  <c r="M394" i="7"/>
  <c r="N394" i="7" s="1"/>
  <c r="N395" i="7" s="1"/>
  <c r="N396" i="7" s="1"/>
  <c r="M398" i="7"/>
  <c r="N398" i="7" s="1"/>
  <c r="M1018" i="7"/>
  <c r="M799" i="7"/>
  <c r="M539" i="7"/>
  <c r="M141" i="7"/>
  <c r="M1729" i="7"/>
  <c r="N1729" i="7" s="1"/>
  <c r="N1730" i="7" s="1"/>
  <c r="M161" i="7"/>
  <c r="M1011" i="7"/>
  <c r="M1498" i="7"/>
  <c r="M1457" i="7"/>
  <c r="N1457" i="7" s="1"/>
  <c r="N1458" i="7" s="1"/>
  <c r="N1459" i="7" s="1"/>
  <c r="M1897" i="7"/>
  <c r="N1897" i="7" s="1"/>
  <c r="M586" i="7"/>
  <c r="M637" i="7"/>
  <c r="N637" i="7" s="1"/>
  <c r="N638" i="7" s="1"/>
  <c r="N639" i="7" s="1"/>
  <c r="N640" i="7" s="1"/>
  <c r="N641" i="7" s="1"/>
  <c r="N642" i="7" s="1"/>
  <c r="N643" i="7" s="1"/>
  <c r="M1601" i="7"/>
  <c r="N1601" i="7" s="1"/>
  <c r="N1602" i="7" s="1"/>
  <c r="N1603" i="7" s="1"/>
  <c r="M906" i="7"/>
  <c r="N906" i="7" s="1"/>
  <c r="N907" i="7" s="1"/>
  <c r="N908" i="7" s="1"/>
  <c r="N909" i="7" s="1"/>
  <c r="N910" i="7" s="1"/>
  <c r="N911" i="7" s="1"/>
  <c r="N912" i="7" s="1"/>
  <c r="N913" i="7" s="1"/>
  <c r="M1667" i="7"/>
  <c r="M57" i="7"/>
  <c r="M223" i="7"/>
  <c r="M764" i="7"/>
  <c r="M759" i="7"/>
  <c r="N759" i="7" s="1"/>
  <c r="M1062" i="7"/>
  <c r="N1062" i="7" s="1"/>
  <c r="M25" i="7"/>
  <c r="M86" i="7"/>
  <c r="M544" i="7"/>
  <c r="M1248" i="7"/>
  <c r="M1621" i="7"/>
  <c r="M1623" i="7"/>
  <c r="M590" i="7"/>
  <c r="N590" i="7" s="1"/>
  <c r="N591" i="7" s="1"/>
  <c r="N592" i="7" s="1"/>
  <c r="N593" i="7" s="1"/>
  <c r="N594" i="7" s="1"/>
  <c r="N595" i="7" s="1"/>
  <c r="N596" i="7" s="1"/>
  <c r="M861" i="7"/>
  <c r="N861" i="7" s="1"/>
  <c r="N862" i="7" s="1"/>
  <c r="N863" i="7" s="1"/>
  <c r="M1671" i="7"/>
  <c r="M733" i="7"/>
  <c r="M175" i="7"/>
  <c r="M1208" i="7"/>
  <c r="M1263" i="7"/>
  <c r="M1571" i="7"/>
  <c r="M583" i="7"/>
  <c r="M765" i="7"/>
  <c r="M1748" i="7"/>
  <c r="M891" i="7"/>
  <c r="M1133" i="7"/>
  <c r="M1346" i="7"/>
  <c r="M1909" i="7"/>
  <c r="N1909" i="7" s="1"/>
  <c r="M454" i="7"/>
  <c r="M607" i="7"/>
  <c r="N607" i="7" s="1"/>
  <c r="N608" i="7" s="1"/>
  <c r="N609" i="7" s="1"/>
  <c r="M1128" i="7"/>
  <c r="M1046" i="7"/>
  <c r="M1504" i="7"/>
  <c r="M489" i="7"/>
  <c r="M432" i="7"/>
  <c r="N432" i="7" s="1"/>
  <c r="N433" i="7" s="1"/>
  <c r="M1673" i="7"/>
  <c r="M655" i="7"/>
  <c r="M888" i="7"/>
  <c r="M1230" i="7"/>
  <c r="M91" i="7"/>
  <c r="N91" i="7" s="1"/>
  <c r="M731" i="7"/>
  <c r="M1807" i="7"/>
  <c r="N1807" i="7" s="1"/>
  <c r="M775" i="7"/>
  <c r="M592" i="7"/>
  <c r="M1952" i="7"/>
  <c r="M1176" i="7"/>
  <c r="N1176" i="7" s="1"/>
  <c r="M1453" i="7"/>
  <c r="N1453" i="7" s="1"/>
  <c r="N1454" i="7" s="1"/>
  <c r="M1894" i="7"/>
  <c r="N1894" i="7" s="1"/>
  <c r="N1895" i="7" s="1"/>
  <c r="N1896" i="7" s="1"/>
  <c r="M1496" i="7"/>
  <c r="M234" i="7"/>
  <c r="M1814" i="7"/>
  <c r="M1316" i="7"/>
  <c r="N1316" i="7" s="1"/>
  <c r="M1632" i="7"/>
  <c r="M1695" i="7"/>
  <c r="M1156" i="7"/>
  <c r="M96" i="7"/>
  <c r="M177" i="7"/>
  <c r="M677" i="7"/>
  <c r="M1097" i="7"/>
  <c r="M1557" i="7"/>
  <c r="N1557" i="7" s="1"/>
  <c r="M1383" i="7"/>
  <c r="M1423" i="7"/>
  <c r="M40" i="7"/>
  <c r="M660" i="7"/>
  <c r="M1360" i="7"/>
  <c r="M1705" i="7"/>
  <c r="M1105" i="7"/>
  <c r="M962" i="7"/>
  <c r="M1235" i="7"/>
  <c r="M1848" i="7"/>
  <c r="N1848" i="7" s="1"/>
  <c r="M418" i="7"/>
  <c r="N418" i="7" s="1"/>
  <c r="N419" i="7" s="1"/>
  <c r="N420" i="7" s="1"/>
  <c r="N421" i="7" s="1"/>
  <c r="N422" i="7" s="1"/>
  <c r="N423" i="7" s="1"/>
  <c r="N424" i="7" s="1"/>
  <c r="N425" i="7" s="1"/>
  <c r="M1038" i="7"/>
  <c r="M879" i="7"/>
  <c r="M560" i="7"/>
  <c r="N560" i="7" s="1"/>
  <c r="M381" i="7"/>
  <c r="M1904" i="7"/>
  <c r="M289" i="7"/>
  <c r="N289" i="7" s="1"/>
  <c r="N290" i="7" s="1"/>
  <c r="N291" i="7" s="1"/>
  <c r="M1031" i="7"/>
  <c r="M1618" i="7"/>
  <c r="M1538" i="7"/>
  <c r="M1458" i="7"/>
  <c r="M443" i="7"/>
  <c r="M1518" i="7"/>
  <c r="M1701" i="7"/>
  <c r="M1781" i="7"/>
  <c r="M1846" i="7"/>
  <c r="M1073" i="7"/>
  <c r="N1073" i="7" s="1"/>
  <c r="N1074" i="7" s="1"/>
  <c r="N1075" i="7" s="1"/>
  <c r="N1076" i="7" s="1"/>
  <c r="O1135" i="7"/>
  <c r="M281" i="7"/>
  <c r="M1104" i="7"/>
  <c r="M400" i="7"/>
  <c r="M484" i="7"/>
  <c r="M144" i="7"/>
  <c r="M902" i="7"/>
  <c r="M1182" i="7"/>
  <c r="M761" i="7"/>
  <c r="N761" i="7" s="1"/>
  <c r="N762" i="7" s="1"/>
  <c r="N763" i="7" s="1"/>
  <c r="N764" i="7" s="1"/>
  <c r="N765" i="7" s="1"/>
  <c r="N766" i="7" s="1"/>
  <c r="M65" i="7"/>
  <c r="M388" i="7"/>
  <c r="O146" i="7"/>
  <c r="O147" i="7" s="1"/>
  <c r="O148" i="7" s="1"/>
  <c r="M1526" i="7"/>
  <c r="O1679" i="7"/>
  <c r="M670" i="7"/>
  <c r="M1750" i="7"/>
  <c r="N1750" i="7" s="1"/>
  <c r="N1751" i="7" s="1"/>
  <c r="M1243" i="7"/>
  <c r="M1831" i="7"/>
  <c r="O415" i="7"/>
  <c r="O416" i="7" s="1"/>
  <c r="O417" i="7" s="1"/>
  <c r="M1479" i="7"/>
  <c r="N1479" i="7" s="1"/>
  <c r="N1480" i="7" s="1"/>
  <c r="N1481" i="7" s="1"/>
  <c r="N1482" i="7" s="1"/>
  <c r="N1483" i="7" s="1"/>
  <c r="N1484" i="7" s="1"/>
  <c r="N1485" i="7" s="1"/>
  <c r="N1486" i="7" s="1"/>
  <c r="N1487" i="7" s="1"/>
  <c r="N1488" i="7" s="1"/>
  <c r="N1489" i="7" s="1"/>
  <c r="N1490" i="7" s="1"/>
  <c r="N1491" i="7" s="1"/>
  <c r="M688" i="7"/>
  <c r="M1731" i="7"/>
  <c r="M1001" i="7"/>
  <c r="M770" i="7"/>
  <c r="N770" i="7" s="1"/>
  <c r="M785" i="7"/>
  <c r="M927" i="7"/>
  <c r="N927" i="7" s="1"/>
  <c r="N928" i="7" s="1"/>
  <c r="N929" i="7" s="1"/>
  <c r="M1307" i="7"/>
  <c r="M1293" i="7"/>
  <c r="M1892" i="7"/>
  <c r="M1566" i="7"/>
  <c r="M1611" i="7"/>
  <c r="M614" i="7"/>
  <c r="N614" i="7" s="1"/>
  <c r="M667" i="7"/>
  <c r="M1408" i="7"/>
  <c r="O92" i="7"/>
  <c r="O93" i="7" s="1"/>
  <c r="O94" i="7" s="1"/>
  <c r="O95" i="7" s="1"/>
  <c r="M54" i="7"/>
  <c r="M649" i="7"/>
  <c r="N649" i="7" s="1"/>
  <c r="N650" i="7" s="1"/>
  <c r="N651" i="7" s="1"/>
  <c r="N652" i="7" s="1"/>
  <c r="N653" i="7" s="1"/>
  <c r="N654" i="7" s="1"/>
  <c r="M572" i="7"/>
  <c r="O1873" i="7"/>
  <c r="M795" i="7"/>
  <c r="M928" i="7"/>
  <c r="M1350" i="7"/>
  <c r="N1350" i="7" s="1"/>
  <c r="N1351" i="7" s="1"/>
  <c r="N1352" i="7" s="1"/>
  <c r="N1353" i="7" s="1"/>
  <c r="M111" i="7"/>
  <c r="N111" i="7" s="1"/>
  <c r="N112" i="7" s="1"/>
  <c r="N113" i="7" s="1"/>
  <c r="N114" i="7" s="1"/>
  <c r="N115" i="7" s="1"/>
  <c r="N116" i="7" s="1"/>
  <c r="N117" i="7" s="1"/>
  <c r="N118" i="7" s="1"/>
  <c r="N119" i="7" s="1"/>
  <c r="M771" i="7"/>
  <c r="M1152" i="7"/>
  <c r="M1887" i="7"/>
  <c r="N1887" i="7" s="1"/>
  <c r="M935" i="7"/>
  <c r="M712" i="7"/>
  <c r="M1506" i="7"/>
  <c r="M1256" i="7"/>
  <c r="M1493" i="7"/>
  <c r="N1493" i="7" s="1"/>
  <c r="M1933" i="7"/>
  <c r="N1933" i="7" s="1"/>
  <c r="M314" i="7"/>
  <c r="M1396" i="7"/>
  <c r="M95" i="7"/>
  <c r="M1715" i="7"/>
  <c r="M1296" i="7"/>
  <c r="M542" i="7"/>
  <c r="N542" i="7" s="1"/>
  <c r="N543" i="7" s="1"/>
  <c r="N544" i="7" s="1"/>
  <c r="N545" i="7" s="1"/>
  <c r="N546" i="7" s="1"/>
  <c r="N547" i="7" s="1"/>
  <c r="N548" i="7" s="1"/>
  <c r="N549" i="7" s="1"/>
  <c r="N550" i="7" s="1"/>
  <c r="N551" i="7" s="1"/>
  <c r="N552" i="7" s="1"/>
  <c r="N553" i="7" s="1"/>
  <c r="N554" i="7" s="1"/>
  <c r="N555" i="7" s="1"/>
  <c r="N556" i="7" s="1"/>
  <c r="M197" i="7"/>
  <c r="M717" i="7"/>
  <c r="M1117" i="7"/>
  <c r="M1577" i="7"/>
  <c r="M1812" i="7"/>
  <c r="M1422" i="7"/>
  <c r="M659" i="7"/>
  <c r="M1379" i="7"/>
  <c r="N1379" i="7" s="1"/>
  <c r="M1707" i="7"/>
  <c r="M1342" i="7"/>
  <c r="M157" i="7"/>
  <c r="M1896" i="7"/>
  <c r="M458" i="7"/>
  <c r="M1058" i="7"/>
  <c r="M979" i="7"/>
  <c r="M600" i="7"/>
  <c r="M461" i="7"/>
  <c r="M369" i="7"/>
  <c r="M1071" i="7"/>
  <c r="N1071" i="7" s="1"/>
  <c r="M1718" i="7"/>
  <c r="M1638" i="7"/>
  <c r="M1578" i="7"/>
  <c r="N1578" i="7" s="1"/>
  <c r="M1743" i="7"/>
  <c r="M1598" i="7"/>
  <c r="M1521" i="7"/>
  <c r="M1841" i="7"/>
  <c r="M681" i="7"/>
  <c r="M480" i="7"/>
  <c r="M818" i="7"/>
  <c r="O1976" i="7"/>
  <c r="M279" i="7"/>
  <c r="M943" i="7"/>
  <c r="M1202" i="7"/>
  <c r="M1223" i="7"/>
  <c r="M981" i="7"/>
  <c r="N981" i="7" s="1"/>
  <c r="M1626" i="7"/>
  <c r="N1626" i="7" s="1"/>
  <c r="M85" i="7"/>
  <c r="M448" i="7"/>
  <c r="M166" i="7"/>
  <c r="N166" i="7" s="1"/>
  <c r="N167" i="7" s="1"/>
  <c r="N168" i="7" s="1"/>
  <c r="M1586" i="7"/>
  <c r="M987" i="7"/>
  <c r="N987" i="7" s="1"/>
  <c r="N988" i="7" s="1"/>
  <c r="N989" i="7" s="1"/>
  <c r="M1768" i="7"/>
  <c r="N1768" i="7" s="1"/>
  <c r="N1769" i="7" s="1"/>
  <c r="N1770" i="7" s="1"/>
  <c r="N1771" i="7" s="1"/>
  <c r="N1772" i="7" s="1"/>
  <c r="N1773" i="7" s="1"/>
  <c r="N1774" i="7" s="1"/>
  <c r="N1775" i="7" s="1"/>
  <c r="N1776" i="7" s="1"/>
  <c r="M1763" i="7"/>
  <c r="M1739" i="7"/>
  <c r="M750" i="7"/>
  <c r="O561" i="7"/>
  <c r="M1465" i="7"/>
  <c r="M1273" i="7"/>
  <c r="M555" i="7"/>
  <c r="M1244" i="7"/>
  <c r="M1864" i="7"/>
  <c r="M1188" i="7"/>
  <c r="M1951" i="7"/>
  <c r="M613" i="7"/>
  <c r="N613" i="7" s="1"/>
  <c r="M1414" i="7"/>
  <c r="M865" i="7"/>
  <c r="N865" i="7" s="1"/>
  <c r="N866" i="7" s="1"/>
  <c r="N867" i="7" s="1"/>
  <c r="N868" i="7" s="1"/>
  <c r="N869" i="7" s="1"/>
  <c r="N870" i="7" s="1"/>
  <c r="N871" i="7" s="1"/>
  <c r="N872" i="7" s="1"/>
  <c r="N873" i="7" s="1"/>
  <c r="M945" i="7"/>
  <c r="M1607" i="7"/>
  <c r="N1607" i="7" s="1"/>
  <c r="N1608" i="7" s="1"/>
  <c r="M115" i="7"/>
  <c r="M1028" i="7"/>
  <c r="M1726" i="7"/>
  <c r="M1771" i="7"/>
  <c r="M1034" i="7"/>
  <c r="N1034" i="7" s="1"/>
  <c r="N1035" i="7" s="1"/>
  <c r="N1036" i="7" s="1"/>
  <c r="M925" i="7"/>
  <c r="M186" i="7"/>
  <c r="M272" i="7"/>
  <c r="N272" i="7" s="1"/>
  <c r="N273" i="7" s="1"/>
  <c r="N274" i="7" s="1"/>
  <c r="M194" i="7"/>
  <c r="M829" i="7"/>
  <c r="M872" i="7"/>
  <c r="M21" i="7"/>
  <c r="M982" i="7"/>
  <c r="M1410" i="7"/>
  <c r="M131" i="7"/>
  <c r="M811" i="7"/>
  <c r="M1532" i="7"/>
  <c r="M34" i="7"/>
  <c r="M1356" i="7"/>
  <c r="M1788" i="7"/>
  <c r="M1573" i="7"/>
  <c r="M1795" i="7"/>
  <c r="M1676" i="7"/>
  <c r="M414" i="7"/>
  <c r="N414" i="7" s="1"/>
  <c r="M1792" i="7"/>
  <c r="M1456" i="7"/>
  <c r="N1456" i="7" s="1"/>
  <c r="M135" i="7"/>
  <c r="M1735" i="7"/>
  <c r="M1376" i="7"/>
  <c r="M237" i="7"/>
  <c r="M737" i="7"/>
  <c r="M1137" i="7"/>
  <c r="M1597" i="7"/>
  <c r="M318" i="7"/>
  <c r="M1425" i="7"/>
  <c r="M59" i="7"/>
  <c r="N59" i="7" s="1"/>
  <c r="N60" i="7" s="1"/>
  <c r="N61" i="7" s="1"/>
  <c r="N62" i="7" s="1"/>
  <c r="N63" i="7" s="1"/>
  <c r="M840" i="7"/>
  <c r="M1380" i="7"/>
  <c r="M1821" i="7"/>
  <c r="M1552" i="7"/>
  <c r="M1665" i="7"/>
  <c r="M1851" i="7"/>
  <c r="M1849" i="7"/>
  <c r="N1849" i="7" s="1"/>
  <c r="N1850" i="7" s="1"/>
  <c r="N1851" i="7" s="1"/>
  <c r="N1852" i="7" s="1"/>
  <c r="N1853" i="7" s="1"/>
  <c r="N1854" i="7" s="1"/>
  <c r="N1855" i="7" s="1"/>
  <c r="N1856" i="7" s="1"/>
  <c r="N1857" i="7" s="1"/>
  <c r="N1858" i="7" s="1"/>
  <c r="N1859" i="7" s="1"/>
  <c r="N1860" i="7" s="1"/>
  <c r="N1861" i="7" s="1"/>
  <c r="N1862" i="7" s="1"/>
  <c r="N1863" i="7" s="1"/>
  <c r="N1864" i="7" s="1"/>
  <c r="M478" i="7"/>
  <c r="M1078" i="7"/>
  <c r="M1059" i="7"/>
  <c r="M640" i="7"/>
  <c r="M521" i="7"/>
  <c r="M217" i="7"/>
  <c r="M449" i="7"/>
  <c r="M1091" i="7"/>
  <c r="M1818" i="7"/>
  <c r="M1838" i="7"/>
  <c r="M1678" i="7"/>
  <c r="M1417" i="7"/>
  <c r="M1798" i="7"/>
  <c r="M1824" i="7"/>
  <c r="M1304" i="7"/>
  <c r="M1366" i="7"/>
  <c r="O1354" i="7"/>
  <c r="M743" i="7"/>
  <c r="O1437" i="7"/>
  <c r="M1280" i="7"/>
  <c r="O446" i="7"/>
  <c r="M1378" i="7"/>
  <c r="O758" i="7"/>
  <c r="O359" i="7"/>
  <c r="M1082" i="7"/>
  <c r="M1363" i="7"/>
  <c r="M1023" i="7"/>
  <c r="M1886" i="7"/>
  <c r="N1886" i="7" s="1"/>
  <c r="M225" i="7"/>
  <c r="M568" i="7"/>
  <c r="N568" i="7" s="1"/>
  <c r="M226" i="7"/>
  <c r="M1606" i="7"/>
  <c r="M1441" i="7"/>
  <c r="M1087" i="7"/>
  <c r="M1948" i="7"/>
  <c r="M28" i="7"/>
  <c r="M810" i="7"/>
  <c r="O1790" i="7"/>
  <c r="M1205" i="7"/>
  <c r="N1205" i="7" s="1"/>
  <c r="N1206" i="7" s="1"/>
  <c r="N1207" i="7" s="1"/>
  <c r="N1208" i="7" s="1"/>
  <c r="N1209" i="7" s="1"/>
  <c r="N1210" i="7" s="1"/>
  <c r="N1211" i="7" s="1"/>
  <c r="N1212" i="7" s="1"/>
  <c r="N1213" i="7" s="1"/>
  <c r="N1214" i="7" s="1"/>
  <c r="M825" i="7"/>
  <c r="M739" i="7"/>
  <c r="M1473" i="7"/>
  <c r="M835" i="7"/>
  <c r="N835" i="7" s="1"/>
  <c r="M1943" i="7"/>
  <c r="M264" i="7"/>
  <c r="M923" i="7"/>
  <c r="M985" i="7"/>
  <c r="M429" i="7"/>
  <c r="N429" i="7" s="1"/>
  <c r="N430" i="7" s="1"/>
  <c r="M532" i="7"/>
  <c r="M685" i="7"/>
  <c r="M295" i="7"/>
  <c r="M1167" i="7"/>
  <c r="M1766" i="7"/>
  <c r="M1931" i="7"/>
  <c r="M1030" i="7"/>
  <c r="M1264" i="7"/>
  <c r="N1264" i="7" s="1"/>
  <c r="N1265" i="7" s="1"/>
  <c r="M452" i="7"/>
  <c r="M374" i="7"/>
  <c r="M68" i="7"/>
  <c r="M1009" i="7"/>
  <c r="M844" i="7"/>
  <c r="M1295" i="7"/>
  <c r="M1130" i="7"/>
  <c r="M1470" i="7"/>
  <c r="M171" i="7"/>
  <c r="M831" i="7"/>
  <c r="M1872" i="7"/>
  <c r="M134" i="7"/>
  <c r="M772" i="7"/>
  <c r="M745" i="7"/>
  <c r="N745" i="7" s="1"/>
  <c r="N746" i="7" s="1"/>
  <c r="N747" i="7" s="1"/>
  <c r="N748" i="7" s="1"/>
  <c r="N749" i="7" s="1"/>
  <c r="N750" i="7" s="1"/>
  <c r="N751" i="7" s="1"/>
  <c r="N752" i="7" s="1"/>
  <c r="N753" i="7" s="1"/>
  <c r="N754" i="7" s="1"/>
  <c r="N755" i="7" s="1"/>
  <c r="N756" i="7" s="1"/>
  <c r="N757" i="7" s="1"/>
  <c r="M1436" i="7"/>
  <c r="M1613" i="7"/>
  <c r="N1613" i="7" s="1"/>
  <c r="N1614" i="7" s="1"/>
  <c r="N1615" i="7" s="1"/>
  <c r="M1835" i="7"/>
  <c r="M1796" i="7"/>
  <c r="M474" i="7"/>
  <c r="M1069" i="7"/>
  <c r="M215" i="7"/>
  <c r="M1755" i="7"/>
  <c r="N1755" i="7" s="1"/>
  <c r="M1476" i="7"/>
  <c r="M43" i="7"/>
  <c r="M257" i="7"/>
  <c r="N257" i="7" s="1"/>
  <c r="M757" i="7"/>
  <c r="M1157" i="7"/>
  <c r="M1617" i="7"/>
  <c r="N1617" i="7" s="1"/>
  <c r="M438" i="7"/>
  <c r="M1512" i="7"/>
  <c r="M200" i="7"/>
  <c r="N200" i="7" s="1"/>
  <c r="M1420" i="7"/>
  <c r="M1966" i="7"/>
  <c r="M1663" i="7"/>
  <c r="M707" i="7"/>
  <c r="M62" i="7"/>
  <c r="M1857" i="7"/>
  <c r="M498" i="7"/>
  <c r="M1118" i="7"/>
  <c r="M1139" i="7"/>
  <c r="N1139" i="7" s="1"/>
  <c r="N1140" i="7" s="1"/>
  <c r="N1141" i="7" s="1"/>
  <c r="N1142" i="7" s="1"/>
  <c r="N1143" i="7" s="1"/>
  <c r="N1144" i="7" s="1"/>
  <c r="N1145" i="7" s="1"/>
  <c r="N1146" i="7" s="1"/>
  <c r="M680" i="7"/>
  <c r="M601" i="7"/>
  <c r="N601" i="7" s="1"/>
  <c r="N602" i="7" s="1"/>
  <c r="M1237" i="7"/>
  <c r="M849" i="7"/>
  <c r="M1111" i="7"/>
  <c r="N1111" i="7" s="1"/>
  <c r="N1112" i="7" s="1"/>
  <c r="N1113" i="7" s="1"/>
  <c r="N1114" i="7" s="1"/>
  <c r="N1115" i="7" s="1"/>
  <c r="N1116" i="7" s="1"/>
  <c r="N1117" i="7" s="1"/>
  <c r="N1118" i="7" s="1"/>
  <c r="N1119" i="7" s="1"/>
  <c r="N1120" i="7" s="1"/>
  <c r="N1121" i="7" s="1"/>
  <c r="N1122" i="7" s="1"/>
  <c r="N1123" i="7" s="1"/>
  <c r="N1124" i="7" s="1"/>
  <c r="N1125" i="7" s="1"/>
  <c r="N1126" i="7" s="1"/>
  <c r="N1127" i="7" s="1"/>
  <c r="N1128" i="7" s="1"/>
  <c r="N1129" i="7" s="1"/>
  <c r="N1130" i="7" s="1"/>
  <c r="M1898" i="7"/>
  <c r="M1958" i="7"/>
  <c r="N1958" i="7" s="1"/>
  <c r="M1778" i="7"/>
  <c r="N1778" i="7" s="1"/>
  <c r="N1779" i="7" s="1"/>
  <c r="M1984" i="7"/>
  <c r="M822" i="7"/>
  <c r="N822" i="7" s="1"/>
  <c r="M1005" i="7"/>
  <c r="M1924" i="7"/>
  <c r="M297" i="7"/>
  <c r="N297" i="7" s="1"/>
  <c r="N478" i="7" l="1"/>
  <c r="N479" i="7" s="1"/>
  <c r="N480" i="7" s="1"/>
  <c r="N481" i="7" s="1"/>
  <c r="N482" i="7" s="1"/>
  <c r="N483" i="7" s="1"/>
  <c r="N484" i="7" s="1"/>
  <c r="N485" i="7" s="1"/>
  <c r="N486" i="7" s="1"/>
  <c r="N487" i="7" s="1"/>
  <c r="N488" i="7" s="1"/>
  <c r="N489" i="7" s="1"/>
  <c r="N1163" i="7"/>
  <c r="N1164" i="7" s="1"/>
  <c r="N1165" i="7" s="1"/>
  <c r="N1166" i="7" s="1"/>
  <c r="N1167" i="7" s="1"/>
  <c r="N1168" i="7" s="1"/>
  <c r="N1169" i="7" s="1"/>
  <c r="N1170" i="7" s="1"/>
  <c r="N1171" i="7" s="1"/>
  <c r="N1172" i="7" s="1"/>
  <c r="N1173" i="7" s="1"/>
  <c r="N1174" i="7" s="1"/>
  <c r="N1175" i="7" s="1"/>
  <c r="N1094" i="7"/>
  <c r="N1095" i="7" s="1"/>
  <c r="N1096" i="7" s="1"/>
  <c r="N347" i="7"/>
  <c r="N348" i="7" s="1"/>
  <c r="N349" i="7" s="1"/>
  <c r="N350" i="7" s="1"/>
  <c r="N1250" i="7"/>
  <c r="N1251" i="7" s="1"/>
  <c r="N951" i="7"/>
  <c r="N952" i="7" s="1"/>
  <c r="N953" i="7" s="1"/>
  <c r="N954" i="7" s="1"/>
  <c r="N955" i="7" s="1"/>
  <c r="N956" i="7" s="1"/>
  <c r="N957" i="7" s="1"/>
  <c r="N958" i="7" s="1"/>
  <c r="N1865" i="7"/>
  <c r="N1866" i="7" s="1"/>
  <c r="N1867" i="7" s="1"/>
  <c r="N1868" i="7" s="1"/>
  <c r="N1618" i="7"/>
  <c r="N1619" i="7" s="1"/>
  <c r="N1620" i="7" s="1"/>
  <c r="N1621" i="7" s="1"/>
  <c r="N1622" i="7" s="1"/>
  <c r="N1623" i="7" s="1"/>
  <c r="N1097" i="7"/>
  <c r="N101" i="7"/>
  <c r="N102" i="7" s="1"/>
  <c r="N103" i="7" s="1"/>
  <c r="N104" i="7" s="1"/>
  <c r="N105" i="7" s="1"/>
  <c r="N106" i="7" s="1"/>
  <c r="N107" i="7" s="1"/>
  <c r="N108" i="7" s="1"/>
  <c r="O300" i="7"/>
  <c r="O301" i="7" s="1"/>
  <c r="O302" i="7" s="1"/>
  <c r="O303" i="7" s="1"/>
  <c r="N301" i="7"/>
  <c r="N302" i="7" s="1"/>
  <c r="N303" i="7" s="1"/>
  <c r="N1722" i="7"/>
  <c r="N1723" i="7" s="1"/>
  <c r="N1724" i="7" s="1"/>
  <c r="N1725" i="7" s="1"/>
  <c r="N1726" i="7" s="1"/>
  <c r="N1727" i="7" s="1"/>
  <c r="N1228" i="7"/>
  <c r="N1229" i="7" s="1"/>
  <c r="N1230" i="7" s="1"/>
  <c r="N1231" i="7" s="1"/>
  <c r="N1232" i="7" s="1"/>
  <c r="N1233" i="7" s="1"/>
  <c r="N1234" i="7" s="1"/>
  <c r="N1235" i="7" s="1"/>
  <c r="N1236" i="7" s="1"/>
  <c r="N1237" i="7" s="1"/>
  <c r="N1763" i="7"/>
  <c r="N89" i="7"/>
  <c r="N611" i="7"/>
  <c r="N1874" i="7"/>
  <c r="N1875" i="7" s="1"/>
  <c r="N1936" i="7"/>
  <c r="N1937" i="7" s="1"/>
  <c r="N1938" i="7" s="1"/>
  <c r="N1939" i="7" s="1"/>
  <c r="N1940" i="7" s="1"/>
  <c r="N1941" i="7" s="1"/>
  <c r="N220" i="7"/>
  <c r="N221" i="7" s="1"/>
  <c r="N222" i="7" s="1"/>
  <c r="N223" i="7" s="1"/>
  <c r="N224" i="7" s="1"/>
  <c r="N225" i="7" s="1"/>
  <c r="N226" i="7" s="1"/>
  <c r="N227" i="7" s="1"/>
  <c r="N228" i="7" s="1"/>
  <c r="N1340" i="7"/>
  <c r="N1341" i="7" s="1"/>
  <c r="N1342" i="7" s="1"/>
  <c r="N1343" i="7" s="1"/>
  <c r="N1344" i="7" s="1"/>
  <c r="N1345" i="7" s="1"/>
  <c r="N1346" i="7" s="1"/>
  <c r="N1347" i="7" s="1"/>
  <c r="N400" i="7"/>
  <c r="N401" i="7" s="1"/>
  <c r="N402" i="7" s="1"/>
  <c r="N403" i="7" s="1"/>
  <c r="N404" i="7" s="1"/>
  <c r="N405" i="7" s="1"/>
  <c r="N406" i="7" s="1"/>
  <c r="N407" i="7" s="1"/>
  <c r="N408" i="7" s="1"/>
  <c r="N409" i="7" s="1"/>
  <c r="N410" i="7" s="1"/>
  <c r="N411" i="7" s="1"/>
  <c r="N412" i="7" s="1"/>
  <c r="N413" i="7" s="1"/>
  <c r="N26" i="7"/>
  <c r="N27" i="7" s="1"/>
  <c r="N28" i="7" s="1"/>
  <c r="N29" i="7" s="1"/>
  <c r="N938" i="7"/>
  <c r="N939" i="7" s="1"/>
  <c r="N940" i="7" s="1"/>
  <c r="O858" i="7"/>
  <c r="O859" i="7" s="1"/>
  <c r="O1520" i="7"/>
  <c r="O353" i="7"/>
  <c r="O838" i="7"/>
  <c r="N1529" i="7"/>
  <c r="N1948" i="7"/>
  <c r="N1949" i="7" s="1"/>
  <c r="N1950" i="7" s="1"/>
  <c r="N1951" i="7" s="1"/>
  <c r="N1952" i="7" s="1"/>
  <c r="N1953" i="7" s="1"/>
  <c r="N1954" i="7" s="1"/>
  <c r="N1955" i="7" s="1"/>
  <c r="N1956" i="7" s="1"/>
  <c r="N777" i="7"/>
  <c r="N778" i="7" s="1"/>
  <c r="N779" i="7" s="1"/>
  <c r="N780" i="7" s="1"/>
  <c r="N781" i="7" s="1"/>
  <c r="N782" i="7" s="1"/>
  <c r="N783" i="7" s="1"/>
  <c r="N784" i="7" s="1"/>
  <c r="N785" i="7" s="1"/>
  <c r="N786" i="7" s="1"/>
  <c r="N787" i="7" s="1"/>
  <c r="N788" i="7" s="1"/>
  <c r="N789" i="7" s="1"/>
  <c r="N790" i="7" s="1"/>
  <c r="N791" i="7" s="1"/>
  <c r="N792" i="7" s="1"/>
  <c r="N793" i="7" s="1"/>
  <c r="N794" i="7" s="1"/>
  <c r="N795" i="7" s="1"/>
  <c r="N796" i="7" s="1"/>
  <c r="N797" i="7" s="1"/>
  <c r="N798" i="7" s="1"/>
  <c r="N799" i="7" s="1"/>
  <c r="N800" i="7" s="1"/>
  <c r="N801" i="7" s="1"/>
  <c r="N802" i="7" s="1"/>
  <c r="N803" i="7" s="1"/>
  <c r="N804" i="7" s="1"/>
  <c r="N805" i="7" s="1"/>
  <c r="N806" i="7" s="1"/>
  <c r="N1263" i="7"/>
  <c r="N1521" i="7"/>
  <c r="N1522" i="7" s="1"/>
  <c r="N1523" i="7" s="1"/>
  <c r="N1524" i="7" s="1"/>
  <c r="N1525" i="7" s="1"/>
  <c r="N1526" i="7" s="1"/>
  <c r="N1497" i="7"/>
  <c r="N1498" i="7" s="1"/>
  <c r="N1499" i="7" s="1"/>
  <c r="N1500" i="7" s="1"/>
  <c r="N1501" i="7" s="1"/>
  <c r="N1502" i="7" s="1"/>
  <c r="N1503" i="7" s="1"/>
  <c r="N1504" i="7" s="1"/>
  <c r="N1505" i="7" s="1"/>
  <c r="N1506" i="7" s="1"/>
  <c r="N1507" i="7" s="1"/>
  <c r="N1508" i="7" s="1"/>
  <c r="N1180" i="7"/>
  <c r="N1181" i="7" s="1"/>
  <c r="N1182" i="7" s="1"/>
  <c r="N1979" i="7"/>
  <c r="N1980" i="7" s="1"/>
  <c r="N1981" i="7" s="1"/>
  <c r="N1982" i="7" s="1"/>
  <c r="N295" i="7"/>
  <c r="N296" i="7" s="1"/>
  <c r="N1150" i="7"/>
  <c r="N1151" i="7" s="1"/>
  <c r="N1152" i="7" s="1"/>
  <c r="N1153" i="7" s="1"/>
  <c r="N1154" i="7" s="1"/>
  <c r="N1155" i="7" s="1"/>
  <c r="N1156" i="7" s="1"/>
  <c r="N1157" i="7" s="1"/>
  <c r="N1158" i="7" s="1"/>
  <c r="N1159" i="7" s="1"/>
  <c r="N1160" i="7" s="1"/>
  <c r="N1161" i="7" s="1"/>
  <c r="N722" i="7"/>
  <c r="N723" i="7" s="1"/>
  <c r="N724" i="7" s="1"/>
  <c r="N847" i="7"/>
  <c r="N848" i="7" s="1"/>
  <c r="O1364" i="7"/>
  <c r="O1365" i="7" s="1"/>
  <c r="O1366" i="7" s="1"/>
  <c r="O1367" i="7" s="1"/>
  <c r="N735" i="7"/>
  <c r="N736" i="7" s="1"/>
  <c r="N737" i="7" s="1"/>
  <c r="N738" i="7" s="1"/>
  <c r="N739" i="7" s="1"/>
  <c r="N740" i="7" s="1"/>
  <c r="N741" i="7" s="1"/>
  <c r="N742" i="7" s="1"/>
  <c r="N743" i="7" s="1"/>
  <c r="N875" i="7"/>
  <c r="N876" i="7" s="1"/>
  <c r="N877" i="7" s="1"/>
  <c r="N878" i="7" s="1"/>
  <c r="N879" i="7" s="1"/>
  <c r="N880" i="7" s="1"/>
  <c r="N881" i="7" s="1"/>
  <c r="N882" i="7" s="1"/>
  <c r="N883" i="7" s="1"/>
  <c r="N884" i="7" s="1"/>
  <c r="N885" i="7" s="1"/>
  <c r="N886" i="7" s="1"/>
  <c r="N887" i="7" s="1"/>
  <c r="N888" i="7" s="1"/>
  <c r="N889" i="7" s="1"/>
  <c r="N890" i="7" s="1"/>
  <c r="N891" i="7" s="1"/>
  <c r="N892" i="7" s="1"/>
  <c r="N893" i="7" s="1"/>
  <c r="N894" i="7" s="1"/>
  <c r="N895" i="7" s="1"/>
  <c r="N896" i="7" s="1"/>
  <c r="N897" i="7" s="1"/>
  <c r="N898" i="7" s="1"/>
  <c r="N899" i="7" s="1"/>
  <c r="N900" i="7" s="1"/>
  <c r="N901" i="7" s="1"/>
  <c r="N902" i="7" s="1"/>
  <c r="N903" i="7" s="1"/>
  <c r="N904" i="7" s="1"/>
  <c r="N905" i="7" s="1"/>
  <c r="N1597" i="7"/>
  <c r="N1598" i="7" s="1"/>
  <c r="N1599" i="7" s="1"/>
  <c r="N1600" i="7" s="1"/>
  <c r="N982" i="7"/>
  <c r="N1460" i="7"/>
  <c r="N1461" i="7" s="1"/>
  <c r="N1462" i="7" s="1"/>
  <c r="N1463" i="7" s="1"/>
  <c r="N1464" i="7" s="1"/>
  <c r="N1465" i="7" s="1"/>
  <c r="N1466" i="7" s="1"/>
  <c r="N1467" i="7" s="1"/>
  <c r="N1468" i="7" s="1"/>
  <c r="N1469" i="7" s="1"/>
  <c r="N1470" i="7" s="1"/>
  <c r="N1471" i="7" s="1"/>
  <c r="N1472" i="7" s="1"/>
  <c r="N1473" i="7" s="1"/>
  <c r="N1474" i="7" s="1"/>
  <c r="N1475" i="7" s="1"/>
  <c r="N1476" i="7" s="1"/>
  <c r="N1477" i="7" s="1"/>
  <c r="N76" i="7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360" i="7"/>
  <c r="N361" i="7" s="1"/>
  <c r="N362" i="7" s="1"/>
  <c r="N363" i="7" s="1"/>
  <c r="N364" i="7" s="1"/>
  <c r="N365" i="7" s="1"/>
  <c r="N366" i="7" s="1"/>
  <c r="N1961" i="7"/>
  <c r="N1962" i="7" s="1"/>
  <c r="N1963" i="7" s="1"/>
  <c r="N1964" i="7" s="1"/>
  <c r="N1965" i="7" s="1"/>
  <c r="N1966" i="7" s="1"/>
  <c r="N1967" i="7" s="1"/>
  <c r="N1968" i="7" s="1"/>
  <c r="N1969" i="7" s="1"/>
  <c r="N1970" i="7" s="1"/>
  <c r="N1971" i="7" s="1"/>
  <c r="N1972" i="7" s="1"/>
  <c r="N1973" i="7" s="1"/>
  <c r="N1974" i="7" s="1"/>
  <c r="N1395" i="7"/>
  <c r="N1396" i="7" s="1"/>
  <c r="N1397" i="7" s="1"/>
  <c r="N1398" i="7" s="1"/>
  <c r="N1399" i="7" s="1"/>
  <c r="N1400" i="7" s="1"/>
  <c r="N1401" i="7" s="1"/>
  <c r="N1402" i="7" s="1"/>
  <c r="N1403" i="7" s="1"/>
  <c r="N1404" i="7" s="1"/>
  <c r="N1405" i="7" s="1"/>
  <c r="N1406" i="7" s="1"/>
  <c r="N261" i="7"/>
  <c r="N262" i="7" s="1"/>
  <c r="N263" i="7" s="1"/>
  <c r="N768" i="7"/>
  <c r="N769" i="7" s="1"/>
  <c r="N326" i="7"/>
  <c r="N498" i="7"/>
  <c r="N499" i="7" s="1"/>
  <c r="N500" i="7" s="1"/>
  <c r="N501" i="7" s="1"/>
  <c r="N502" i="7" s="1"/>
  <c r="O851" i="7"/>
  <c r="N1240" i="7"/>
  <c r="N1241" i="7" s="1"/>
  <c r="N1242" i="7" s="1"/>
  <c r="N1243" i="7" s="1"/>
  <c r="N1244" i="7" s="1"/>
  <c r="N1245" i="7" s="1"/>
  <c r="N1246" i="7" s="1"/>
  <c r="N1247" i="7" s="1"/>
  <c r="N1248" i="7" s="1"/>
  <c r="N1298" i="7"/>
  <c r="N1299" i="7" s="1"/>
  <c r="N1356" i="7"/>
  <c r="N1357" i="7" s="1"/>
  <c r="N1358" i="7" s="1"/>
  <c r="N1359" i="7" s="1"/>
  <c r="N1360" i="7" s="1"/>
  <c r="N438" i="7"/>
  <c r="N439" i="7" s="1"/>
  <c r="N440" i="7" s="1"/>
  <c r="N441" i="7" s="1"/>
  <c r="N442" i="7" s="1"/>
  <c r="N443" i="7" s="1"/>
  <c r="N444" i="7" s="1"/>
  <c r="N445" i="7" s="1"/>
  <c r="N264" i="7"/>
  <c r="N1455" i="7"/>
  <c r="O1791" i="7"/>
  <c r="O448" i="7"/>
  <c r="O449" i="7" s="1"/>
  <c r="O450" i="7" s="1"/>
  <c r="O1271" i="7"/>
  <c r="N368" i="7"/>
  <c r="N1758" i="7"/>
  <c r="N1759" i="7" s="1"/>
  <c r="N1760" i="7" s="1"/>
  <c r="N1878" i="7"/>
  <c r="N1879" i="7" s="1"/>
  <c r="N1880" i="7" s="1"/>
  <c r="N1881" i="7" s="1"/>
  <c r="N1882" i="7" s="1"/>
  <c r="N1883" i="7" s="1"/>
  <c r="N1884" i="7" s="1"/>
  <c r="N1885" i="7" s="1"/>
  <c r="N64" i="7"/>
  <c r="N65" i="7" s="1"/>
  <c r="N66" i="7" s="1"/>
  <c r="N67" i="7" s="1"/>
  <c r="N68" i="7" s="1"/>
  <c r="N685" i="7"/>
  <c r="N686" i="7" s="1"/>
  <c r="N687" i="7" s="1"/>
  <c r="N688" i="7" s="1"/>
  <c r="N689" i="7" s="1"/>
  <c r="N690" i="7" s="1"/>
  <c r="N691" i="7" s="1"/>
  <c r="N241" i="7"/>
  <c r="N369" i="7"/>
  <c r="N370" i="7" s="1"/>
  <c r="N371" i="7" s="1"/>
  <c r="N372" i="7" s="1"/>
  <c r="N281" i="7"/>
  <c r="N282" i="7" s="1"/>
  <c r="N283" i="7" s="1"/>
  <c r="N284" i="7" s="1"/>
  <c r="N285" i="7" s="1"/>
  <c r="N286" i="7" s="1"/>
  <c r="N287" i="7" s="1"/>
  <c r="N1563" i="7"/>
  <c r="N1564" i="7" s="1"/>
  <c r="N448" i="7"/>
  <c r="N1780" i="7"/>
  <c r="N1781" i="7" s="1"/>
  <c r="N1782" i="7" s="1"/>
  <c r="N1783" i="7" s="1"/>
  <c r="N1784" i="7" s="1"/>
  <c r="N1785" i="7" s="1"/>
  <c r="N1786" i="7" s="1"/>
  <c r="N1787" i="7" s="1"/>
  <c r="N1788" i="7" s="1"/>
  <c r="N1789" i="7" s="1"/>
  <c r="N1943" i="7"/>
  <c r="N449" i="7"/>
  <c r="N450" i="7" s="1"/>
  <c r="N1846" i="7"/>
  <c r="N1847" i="7" s="1"/>
  <c r="O875" i="7"/>
  <c r="O876" i="7" s="1"/>
  <c r="O877" i="7" s="1"/>
  <c r="O878" i="7" s="1"/>
  <c r="O879" i="7" s="1"/>
  <c r="O880" i="7" s="1"/>
  <c r="O881" i="7" s="1"/>
  <c r="O882" i="7" s="1"/>
  <c r="O883" i="7" s="1"/>
  <c r="O884" i="7" s="1"/>
  <c r="O885" i="7" s="1"/>
  <c r="O886" i="7" s="1"/>
  <c r="O887" i="7" s="1"/>
  <c r="O888" i="7" s="1"/>
  <c r="O889" i="7" s="1"/>
  <c r="O890" i="7" s="1"/>
  <c r="O891" i="7" s="1"/>
  <c r="O892" i="7" s="1"/>
  <c r="O893" i="7" s="1"/>
  <c r="O894" i="7" s="1"/>
  <c r="O895" i="7" s="1"/>
  <c r="O896" i="7" s="1"/>
  <c r="O897" i="7" s="1"/>
  <c r="O898" i="7" s="1"/>
  <c r="O899" i="7" s="1"/>
  <c r="O900" i="7" s="1"/>
  <c r="O901" i="7" s="1"/>
  <c r="O902" i="7" s="1"/>
  <c r="O903" i="7" s="1"/>
  <c r="O904" i="7" s="1"/>
  <c r="O905" i="7" s="1"/>
  <c r="O847" i="7"/>
  <c r="O848" i="7" s="1"/>
  <c r="O849" i="7" s="1"/>
  <c r="O850" i="7" s="1"/>
  <c r="O1721" i="7"/>
  <c r="O1722" i="7" s="1"/>
  <c r="O1723" i="7" s="1"/>
  <c r="O1724" i="7" s="1"/>
  <c r="O1725" i="7" s="1"/>
  <c r="O1726" i="7" s="1"/>
  <c r="O1727" i="7" s="1"/>
  <c r="N1610" i="7"/>
  <c r="N1611" i="7" s="1"/>
  <c r="N1670" i="7"/>
  <c r="N1671" i="7" s="1"/>
  <c r="N1672" i="7" s="1"/>
  <c r="N1673" i="7" s="1"/>
  <c r="N1674" i="7" s="1"/>
  <c r="N1675" i="7" s="1"/>
  <c r="N1676" i="7" s="1"/>
  <c r="N1677" i="7" s="1"/>
  <c r="N1678" i="7" s="1"/>
  <c r="N1900" i="7"/>
  <c r="N1901" i="7" s="1"/>
  <c r="N1902" i="7" s="1"/>
  <c r="N1903" i="7" s="1"/>
  <c r="N1904" i="7" s="1"/>
  <c r="N1905" i="7" s="1"/>
  <c r="N1906" i="7" s="1"/>
  <c r="N1907" i="7" s="1"/>
  <c r="N243" i="7"/>
  <c r="N244" i="7" s="1"/>
  <c r="N245" i="7" s="1"/>
  <c r="N246" i="7" s="1"/>
  <c r="N247" i="7" s="1"/>
  <c r="N248" i="7" s="1"/>
  <c r="N249" i="7" s="1"/>
  <c r="N250" i="7" s="1"/>
  <c r="N251" i="7" s="1"/>
  <c r="N252" i="7" s="1"/>
  <c r="N253" i="7" s="1"/>
  <c r="N254" i="7" s="1"/>
  <c r="N821" i="7"/>
  <c r="N683" i="7"/>
  <c r="N684" i="7" s="1"/>
  <c r="N1185" i="7"/>
  <c r="N1186" i="7" s="1"/>
  <c r="N1187" i="7" s="1"/>
  <c r="N1188" i="7" s="1"/>
  <c r="N1189" i="7" s="1"/>
  <c r="N960" i="7"/>
  <c r="N961" i="7" s="1"/>
  <c r="N962" i="7" s="1"/>
  <c r="O497" i="7"/>
  <c r="O498" i="7" s="1"/>
  <c r="O499" i="7" s="1"/>
  <c r="O500" i="7" s="1"/>
  <c r="O501" i="7" s="1"/>
  <c r="O502" i="7" s="1"/>
  <c r="N1077" i="7"/>
  <c r="N1078" i="7" s="1"/>
  <c r="N1079" i="7" s="1"/>
  <c r="N472" i="7"/>
  <c r="N473" i="7" s="1"/>
  <c r="N474" i="7" s="1"/>
  <c r="N475" i="7" s="1"/>
  <c r="N476" i="7" s="1"/>
  <c r="N1752" i="7"/>
  <c r="N1052" i="7"/>
  <c r="N1053" i="7" s="1"/>
  <c r="N1054" i="7" s="1"/>
  <c r="N1055" i="7" s="1"/>
  <c r="N1056" i="7" s="1"/>
  <c r="N615" i="7"/>
  <c r="N616" i="7" s="1"/>
  <c r="N617" i="7" s="1"/>
  <c r="N618" i="7" s="1"/>
  <c r="N619" i="7" s="1"/>
  <c r="N620" i="7" s="1"/>
  <c r="N1731" i="7"/>
  <c r="N1732" i="7" s="1"/>
  <c r="N1733" i="7" s="1"/>
  <c r="N1734" i="7" s="1"/>
  <c r="N1735" i="7" s="1"/>
  <c r="N1736" i="7" s="1"/>
  <c r="N1737" i="7" s="1"/>
  <c r="N1738" i="7" s="1"/>
  <c r="N1739" i="7" s="1"/>
  <c r="N1740" i="7" s="1"/>
  <c r="N1741" i="7" s="1"/>
  <c r="N1742" i="7" s="1"/>
  <c r="N1743" i="7" s="1"/>
  <c r="O1495" i="7"/>
  <c r="O492" i="7"/>
  <c r="O493" i="7" s="1"/>
  <c r="O494" i="7" s="1"/>
  <c r="O495" i="7" s="1"/>
  <c r="N580" i="7"/>
  <c r="N581" i="7" s="1"/>
  <c r="N582" i="7" s="1"/>
  <c r="N583" i="7" s="1"/>
  <c r="N584" i="7" s="1"/>
  <c r="N585" i="7" s="1"/>
  <c r="N586" i="7" s="1"/>
  <c r="N587" i="7" s="1"/>
  <c r="N588" i="7" s="1"/>
  <c r="N125" i="7"/>
  <c r="N126" i="7" s="1"/>
  <c r="N127" i="7" s="1"/>
  <c r="N1584" i="7"/>
  <c r="N1585" i="7" s="1"/>
  <c r="N1586" i="7" s="1"/>
  <c r="O1415" i="7"/>
  <c r="N38" i="7"/>
  <c r="N39" i="7" s="1"/>
  <c r="N40" i="7" s="1"/>
  <c r="N41" i="7" s="1"/>
  <c r="N42" i="7" s="1"/>
  <c r="N43" i="7" s="1"/>
  <c r="N44" i="7" s="1"/>
  <c r="N566" i="7"/>
  <c r="N567" i="7" s="1"/>
  <c r="N853" i="7"/>
  <c r="N854" i="7" s="1"/>
  <c r="N855" i="7" s="1"/>
  <c r="N856" i="7" s="1"/>
  <c r="N838" i="7"/>
  <c r="N839" i="7" s="1"/>
  <c r="N840" i="7" s="1"/>
  <c r="N841" i="7" s="1"/>
  <c r="N842" i="7" s="1"/>
  <c r="N843" i="7" s="1"/>
  <c r="N844" i="7" s="1"/>
  <c r="N1136" i="7"/>
  <c r="N1137" i="7" s="1"/>
  <c r="N332" i="7"/>
  <c r="N333" i="7" s="1"/>
  <c r="N334" i="7" s="1"/>
  <c r="N335" i="7" s="1"/>
  <c r="N336" i="7" s="1"/>
  <c r="N337" i="7" s="1"/>
  <c r="N338" i="7" s="1"/>
  <c r="N339" i="7" s="1"/>
  <c r="N340" i="7" s="1"/>
  <c r="N341" i="7" s="1"/>
  <c r="N342" i="7" s="1"/>
  <c r="N343" i="7" s="1"/>
  <c r="N344" i="7" s="1"/>
  <c r="N1714" i="7"/>
  <c r="N1715" i="7" s="1"/>
  <c r="N1716" i="7" s="1"/>
  <c r="N1717" i="7" s="1"/>
  <c r="N1718" i="7" s="1"/>
  <c r="N1719" i="7" s="1"/>
  <c r="N174" i="7"/>
  <c r="N175" i="7" s="1"/>
  <c r="N176" i="7" s="1"/>
  <c r="N177" i="7" s="1"/>
  <c r="N178" i="7" s="1"/>
  <c r="N179" i="7" s="1"/>
  <c r="N180" i="7" s="1"/>
  <c r="N181" i="7" s="1"/>
  <c r="N182" i="7" s="1"/>
  <c r="N183" i="7" s="1"/>
  <c r="N184" i="7" s="1"/>
  <c r="N185" i="7" s="1"/>
  <c r="N186" i="7" s="1"/>
  <c r="N725" i="7"/>
  <c r="N726" i="7" s="1"/>
  <c r="N727" i="7" s="1"/>
  <c r="N1452" i="7"/>
  <c r="O328" i="7"/>
  <c r="N1438" i="7"/>
  <c r="N1439" i="7" s="1"/>
  <c r="N1440" i="7" s="1"/>
  <c r="N1441" i="7" s="1"/>
  <c r="N1442" i="7" s="1"/>
  <c r="N1443" i="7" s="1"/>
  <c r="N1444" i="7" s="1"/>
  <c r="N1445" i="7" s="1"/>
  <c r="N1446" i="7" s="1"/>
  <c r="N293" i="7"/>
  <c r="N1680" i="7"/>
  <c r="N1681" i="7" s="1"/>
  <c r="N1682" i="7" s="1"/>
  <c r="N1683" i="7" s="1"/>
  <c r="N1684" i="7" s="1"/>
  <c r="N1685" i="7" s="1"/>
  <c r="N1686" i="7" s="1"/>
  <c r="N1687" i="7" s="1"/>
  <c r="N1651" i="7"/>
  <c r="N1652" i="7" s="1"/>
  <c r="N1653" i="7" s="1"/>
  <c r="N1654" i="7" s="1"/>
  <c r="N1655" i="7" s="1"/>
  <c r="N1656" i="7" s="1"/>
  <c r="N1657" i="7" s="1"/>
  <c r="N1658" i="7" s="1"/>
  <c r="N1659" i="7" s="1"/>
  <c r="N1660" i="7" s="1"/>
  <c r="N1661" i="7" s="1"/>
  <c r="N1662" i="7" s="1"/>
  <c r="N1663" i="7" s="1"/>
  <c r="N1664" i="7" s="1"/>
  <c r="N1665" i="7" s="1"/>
  <c r="N1666" i="7" s="1"/>
  <c r="N1667" i="7" s="1"/>
  <c r="N1668" i="7" s="1"/>
  <c r="N1414" i="7"/>
  <c r="N492" i="7"/>
  <c r="N493" i="7" s="1"/>
  <c r="N494" i="7" s="1"/>
  <c r="N495" i="7" s="1"/>
  <c r="N1898" i="7"/>
  <c r="N1371" i="7"/>
  <c r="N1372" i="7" s="1"/>
  <c r="N1373" i="7" s="1"/>
  <c r="N1374" i="7" s="1"/>
  <c r="N1609" i="7"/>
  <c r="N266" i="7"/>
  <c r="N267" i="7" s="1"/>
  <c r="N268" i="7" s="1"/>
  <c r="N269" i="7" s="1"/>
  <c r="N270" i="7" s="1"/>
  <c r="N271" i="7" s="1"/>
  <c r="O326" i="7"/>
  <c r="N1911" i="7"/>
  <c r="N1912" i="7" s="1"/>
  <c r="N160" i="7"/>
  <c r="N161" i="7" s="1"/>
  <c r="N162" i="7" s="1"/>
  <c r="N163" i="7" s="1"/>
  <c r="N164" i="7" s="1"/>
  <c r="N165" i="7" s="1"/>
  <c r="O23" i="7"/>
  <c r="N1216" i="7"/>
  <c r="N1363" i="7"/>
  <c r="N1364" i="7" s="1"/>
  <c r="N1365" i="7" s="1"/>
  <c r="N1366" i="7" s="1"/>
  <c r="N1367" i="7" s="1"/>
  <c r="N1630" i="7"/>
  <c r="N1631" i="7" s="1"/>
  <c r="N1632" i="7" s="1"/>
  <c r="N1633" i="7" s="1"/>
  <c r="N1634" i="7" s="1"/>
  <c r="N1635" i="7" s="1"/>
  <c r="N1636" i="7" s="1"/>
  <c r="N1637" i="7" s="1"/>
  <c r="N1638" i="7" s="1"/>
  <c r="N1639" i="7" s="1"/>
  <c r="N1640" i="7" s="1"/>
  <c r="N1641" i="7" s="1"/>
  <c r="N1642" i="7" s="1"/>
  <c r="N1643" i="7" s="1"/>
  <c r="N1644" i="7" s="1"/>
  <c r="N1645" i="7" s="1"/>
  <c r="N1646" i="7" s="1"/>
  <c r="N1647" i="7" s="1"/>
  <c r="N1548" i="7"/>
  <c r="N1549" i="7" s="1"/>
  <c r="N1550" i="7" s="1"/>
  <c r="N1551" i="7" s="1"/>
  <c r="N1552" i="7" s="1"/>
  <c r="N1553" i="7" s="1"/>
  <c r="N1554" i="7" s="1"/>
  <c r="N930" i="7"/>
  <c r="N931" i="7" s="1"/>
  <c r="N932" i="7" s="1"/>
  <c r="N933" i="7" s="1"/>
  <c r="N934" i="7" s="1"/>
  <c r="N935" i="7" s="1"/>
  <c r="N771" i="7"/>
  <c r="N772" i="7" s="1"/>
  <c r="N773" i="7" s="1"/>
  <c r="N774" i="7" s="1"/>
  <c r="N775" i="7" s="1"/>
  <c r="N776" i="7" s="1"/>
  <c r="O332" i="7"/>
  <c r="O333" i="7" s="1"/>
  <c r="O334" i="7" s="1"/>
  <c r="O335" i="7" s="1"/>
  <c r="O336" i="7" s="1"/>
  <c r="O337" i="7" s="1"/>
  <c r="O338" i="7" s="1"/>
  <c r="O339" i="7" s="1"/>
  <c r="O340" i="7" s="1"/>
  <c r="N1929" i="7"/>
  <c r="N1930" i="7" s="1"/>
  <c r="N1931" i="7" s="1"/>
  <c r="N1932" i="7" s="1"/>
  <c r="N1604" i="7"/>
  <c r="N1605" i="7" s="1"/>
  <c r="N1606" i="7" s="1"/>
  <c r="N694" i="7"/>
  <c r="N695" i="7" s="1"/>
  <c r="N696" i="7" s="1"/>
  <c r="N697" i="7" s="1"/>
  <c r="N698" i="7" s="1"/>
  <c r="N699" i="7" s="1"/>
  <c r="N700" i="7" s="1"/>
  <c r="N701" i="7" s="1"/>
  <c r="N702" i="7" s="1"/>
  <c r="N703" i="7" s="1"/>
  <c r="N1537" i="7"/>
  <c r="N1538" i="7" s="1"/>
  <c r="N1539" i="7" s="1"/>
  <c r="N1540" i="7" s="1"/>
  <c r="N1541" i="7" s="1"/>
  <c r="N1542" i="7" s="1"/>
  <c r="N1543" i="7" s="1"/>
  <c r="N150" i="7"/>
  <c r="N151" i="7" s="1"/>
  <c r="N152" i="7" s="1"/>
  <c r="N153" i="7" s="1"/>
  <c r="N600" i="7"/>
  <c r="O965" i="7"/>
  <c r="O966" i="7" s="1"/>
  <c r="O967" i="7" s="1"/>
  <c r="O109" i="7"/>
  <c r="N1566" i="7"/>
  <c r="N1567" i="7" s="1"/>
  <c r="N1568" i="7" s="1"/>
  <c r="N25" i="7"/>
  <c r="N1595" i="7"/>
  <c r="N1596" i="7" s="1"/>
  <c r="O950" i="7"/>
  <c r="N47" i="7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1843" i="7"/>
  <c r="N1844" i="7" s="1"/>
  <c r="N706" i="7"/>
  <c r="N707" i="7" s="1"/>
  <c r="N708" i="7" s="1"/>
  <c r="N709" i="7" s="1"/>
  <c r="N710" i="7" s="1"/>
  <c r="N711" i="7" s="1"/>
  <c r="N712" i="7" s="1"/>
  <c r="N713" i="7" s="1"/>
  <c r="N714" i="7" s="1"/>
  <c r="N715" i="7" s="1"/>
  <c r="N716" i="7" s="1"/>
  <c r="N717" i="7" s="1"/>
  <c r="N718" i="7" s="1"/>
  <c r="N719" i="7" s="1"/>
  <c r="N504" i="7"/>
  <c r="N505" i="7" s="1"/>
  <c r="N506" i="7" s="1"/>
  <c r="N507" i="7" s="1"/>
  <c r="N508" i="7" s="1"/>
  <c r="N509" i="7" s="1"/>
  <c r="N510" i="7" s="1"/>
  <c r="N511" i="7" s="1"/>
  <c r="N512" i="7" s="1"/>
  <c r="N513" i="7" s="1"/>
  <c r="N514" i="7" s="1"/>
  <c r="N515" i="7" s="1"/>
  <c r="N516" i="7" s="1"/>
  <c r="N517" i="7" s="1"/>
  <c r="N518" i="7" s="1"/>
  <c r="N915" i="7"/>
  <c r="N916" i="7" s="1"/>
  <c r="N917" i="7" s="1"/>
  <c r="N918" i="7" s="1"/>
  <c r="N919" i="7" s="1"/>
  <c r="N920" i="7" s="1"/>
  <c r="N921" i="7" s="1"/>
  <c r="N922" i="7" s="1"/>
  <c r="N923" i="7" s="1"/>
  <c r="N924" i="7" s="1"/>
  <c r="N925" i="7" s="1"/>
  <c r="N926" i="7" s="1"/>
  <c r="N1746" i="7"/>
  <c r="N1747" i="7" s="1"/>
  <c r="N1748" i="7" s="1"/>
  <c r="N644" i="7"/>
  <c r="N645" i="7" s="1"/>
  <c r="N646" i="7" s="1"/>
  <c r="N1577" i="7"/>
  <c r="N15" i="7"/>
  <c r="N1380" i="7"/>
  <c r="N1381" i="7" s="1"/>
  <c r="N1382" i="7" s="1"/>
  <c r="N1383" i="7" s="1"/>
  <c r="N1384" i="7" s="1"/>
  <c r="N1809" i="7"/>
  <c r="N1810" i="7" s="1"/>
  <c r="N1811" i="7" s="1"/>
  <c r="N1812" i="7" s="1"/>
  <c r="N1813" i="7" s="1"/>
  <c r="N1814" i="7" s="1"/>
  <c r="N1815" i="7" s="1"/>
  <c r="N1816" i="7" s="1"/>
  <c r="N1817" i="7" s="1"/>
  <c r="N1818" i="7" s="1"/>
  <c r="N1819" i="7" s="1"/>
  <c r="N1820" i="7" s="1"/>
  <c r="N1821" i="7" s="1"/>
  <c r="N169" i="7"/>
  <c r="N170" i="7" s="1"/>
  <c r="N171" i="7" s="1"/>
  <c r="N172" i="7" s="1"/>
  <c r="N1417" i="7"/>
  <c r="N1418" i="7" s="1"/>
  <c r="N1419" i="7" s="1"/>
  <c r="N1420" i="7" s="1"/>
  <c r="N1421" i="7" s="1"/>
  <c r="N1422" i="7" s="1"/>
  <c r="N1423" i="7" s="1"/>
  <c r="N1424" i="7" s="1"/>
  <c r="N1425" i="7" s="1"/>
  <c r="N655" i="7"/>
  <c r="N656" i="7" s="1"/>
  <c r="N657" i="7" s="1"/>
  <c r="N658" i="7" s="1"/>
  <c r="N659" i="7" s="1"/>
  <c r="N660" i="7" s="1"/>
  <c r="N661" i="7" s="1"/>
  <c r="N662" i="7" s="1"/>
  <c r="N663" i="7" s="1"/>
  <c r="N664" i="7" s="1"/>
  <c r="N665" i="7" s="1"/>
  <c r="N666" i="7" s="1"/>
  <c r="N667" i="7" s="1"/>
  <c r="N668" i="7" s="1"/>
  <c r="N669" i="7" s="1"/>
  <c r="N670" i="7" s="1"/>
  <c r="N671" i="7" s="1"/>
  <c r="N672" i="7" s="1"/>
  <c r="N673" i="7" s="1"/>
  <c r="N674" i="7" s="1"/>
  <c r="N675" i="7" s="1"/>
  <c r="N676" i="7" s="1"/>
  <c r="N677" i="7" s="1"/>
  <c r="N678" i="7" s="1"/>
  <c r="N679" i="7" s="1"/>
  <c r="N680" i="7" s="1"/>
  <c r="N681" i="7" s="1"/>
  <c r="O96" i="7"/>
  <c r="O97" i="7" s="1"/>
  <c r="O98" i="7" s="1"/>
  <c r="N520" i="7"/>
  <c r="N521" i="7" s="1"/>
  <c r="N522" i="7" s="1"/>
  <c r="N523" i="7" s="1"/>
  <c r="N524" i="7" s="1"/>
  <c r="N525" i="7" s="1"/>
  <c r="N526" i="7" s="1"/>
  <c r="N527" i="7" s="1"/>
  <c r="N528" i="7" s="1"/>
  <c r="N529" i="7" s="1"/>
  <c r="N530" i="7" s="1"/>
  <c r="N531" i="7" s="1"/>
  <c r="N532" i="7" s="1"/>
  <c r="N533" i="7" s="1"/>
  <c r="N534" i="7" s="1"/>
  <c r="N535" i="7" s="1"/>
  <c r="N536" i="7" s="1"/>
  <c r="N537" i="7" s="1"/>
  <c r="N538" i="7" s="1"/>
  <c r="N539" i="7" s="1"/>
  <c r="N540" i="7" s="1"/>
  <c r="N1698" i="7"/>
  <c r="N1699" i="7" s="1"/>
  <c r="N1700" i="7" s="1"/>
  <c r="N1701" i="7" s="1"/>
  <c r="N1702" i="7" s="1"/>
  <c r="N1703" i="7" s="1"/>
  <c r="N1704" i="7" s="1"/>
  <c r="N1705" i="7" s="1"/>
  <c r="N1706" i="7" s="1"/>
  <c r="N1707" i="7" s="1"/>
  <c r="N1708" i="7" s="1"/>
  <c r="N1709" i="7" s="1"/>
  <c r="N1710" i="7" s="1"/>
  <c r="N1711" i="7" s="1"/>
  <c r="N1712" i="7" s="1"/>
  <c r="N849" i="7"/>
  <c r="N850" i="7" s="1"/>
  <c r="N275" i="7"/>
  <c r="N818" i="7"/>
  <c r="N819" i="7" s="1"/>
  <c r="N820" i="7" s="1"/>
  <c r="N1892" i="7"/>
  <c r="O399" i="7"/>
  <c r="N1511" i="7"/>
  <c r="N1512" i="7" s="1"/>
  <c r="N1513" i="7" s="1"/>
  <c r="N1514" i="7" s="1"/>
  <c r="N1515" i="7" s="1"/>
  <c r="N1516" i="7" s="1"/>
  <c r="N1517" i="7" s="1"/>
  <c r="N1518" i="7" s="1"/>
  <c r="N1764" i="7"/>
  <c r="N1765" i="7" s="1"/>
  <c r="N1766" i="7" s="1"/>
  <c r="N1278" i="7"/>
  <c r="N1279" i="7" s="1"/>
  <c r="N1280" i="7" s="1"/>
  <c r="N1281" i="7" s="1"/>
  <c r="N1282" i="7" s="1"/>
  <c r="N1283" i="7" s="1"/>
  <c r="N1284" i="7" s="1"/>
  <c r="N1285" i="7" s="1"/>
  <c r="N1286" i="7" s="1"/>
  <c r="N1287" i="7" s="1"/>
  <c r="N1288" i="7" s="1"/>
  <c r="N1289" i="7" s="1"/>
  <c r="N386" i="7"/>
  <c r="N387" i="7" s="1"/>
  <c r="N388" i="7" s="1"/>
  <c r="N389" i="7" s="1"/>
  <c r="N390" i="7" s="1"/>
  <c r="N391" i="7" s="1"/>
  <c r="N392" i="7" s="1"/>
  <c r="N393" i="7" s="1"/>
  <c r="O520" i="7"/>
  <c r="N809" i="7"/>
  <c r="N810" i="7" s="1"/>
  <c r="N811" i="7" s="1"/>
  <c r="N812" i="7" s="1"/>
  <c r="N1914" i="7"/>
  <c r="N1915" i="7" s="1"/>
  <c r="N1916" i="7" s="1"/>
  <c r="N1917" i="7" s="1"/>
  <c r="N1918" i="7" s="1"/>
  <c r="N1919" i="7" s="1"/>
  <c r="N1920" i="7" s="1"/>
  <c r="N1921" i="7" s="1"/>
  <c r="N1922" i="7" s="1"/>
  <c r="N1178" i="7"/>
  <c r="N1388" i="7"/>
  <c r="N1389" i="7" s="1"/>
  <c r="N1390" i="7" s="1"/>
  <c r="N1391" i="7" s="1"/>
  <c r="N858" i="7"/>
  <c r="N859" i="7" s="1"/>
  <c r="N860" i="7" s="1"/>
  <c r="N1304" i="7"/>
  <c r="N1305" i="7" s="1"/>
  <c r="N1306" i="7" s="1"/>
  <c r="N1307" i="7" s="1"/>
  <c r="N1308" i="7" s="1"/>
  <c r="N1309" i="7" s="1"/>
  <c r="N1218" i="7"/>
  <c r="N1219" i="7" s="1"/>
  <c r="N1220" i="7" s="1"/>
  <c r="N1221" i="7" s="1"/>
  <c r="N1222" i="7" s="1"/>
  <c r="N1223" i="7" s="1"/>
  <c r="N1224" i="7" s="1"/>
  <c r="N1225" i="7" s="1"/>
  <c r="N193" i="7"/>
  <c r="N194" i="7" s="1"/>
  <c r="N195" i="7" s="1"/>
  <c r="N196" i="7" s="1"/>
  <c r="N197" i="7" s="1"/>
  <c r="N198" i="7" s="1"/>
  <c r="N199" i="7" s="1"/>
  <c r="N597" i="7"/>
  <c r="N598" i="7" s="1"/>
  <c r="N72" i="7"/>
  <c r="O265" i="7"/>
  <c r="O266" i="7" s="1"/>
  <c r="O267" i="7" s="1"/>
  <c r="O268" i="7" s="1"/>
  <c r="O269" i="7" s="1"/>
  <c r="O270" i="7" s="1"/>
  <c r="O271" i="7" s="1"/>
  <c r="N1196" i="7"/>
  <c r="N1197" i="7" s="1"/>
  <c r="N1198" i="7" s="1"/>
  <c r="N1199" i="7" s="1"/>
  <c r="N1200" i="7" s="1"/>
  <c r="N1201" i="7" s="1"/>
  <c r="N1202" i="7" s="1"/>
  <c r="N1203" i="7" s="1"/>
  <c r="O1290" i="7"/>
  <c r="O1291" i="7" s="1"/>
  <c r="O1292" i="7" s="1"/>
  <c r="O1293" i="7" s="1"/>
  <c r="O1294" i="7" s="1"/>
  <c r="O1295" i="7" s="1"/>
  <c r="O1296" i="7" s="1"/>
  <c r="O1297" i="7" s="1"/>
  <c r="O1298" i="7" s="1"/>
  <c r="O1299" i="7" s="1"/>
  <c r="N825" i="7"/>
  <c r="N826" i="7" s="1"/>
  <c r="N827" i="7" s="1"/>
  <c r="N828" i="7" s="1"/>
  <c r="N829" i="7" s="1"/>
  <c r="N830" i="7" s="1"/>
  <c r="N831" i="7" s="1"/>
  <c r="N832" i="7" s="1"/>
  <c r="N833" i="7" s="1"/>
  <c r="O1083" i="7"/>
  <c r="N1018" i="7"/>
  <c r="N1019" i="7" s="1"/>
  <c r="N1020" i="7" s="1"/>
  <c r="N1021" i="7" s="1"/>
  <c r="N1022" i="7" s="1"/>
  <c r="N1023" i="7" s="1"/>
  <c r="N1024" i="7" s="1"/>
  <c r="N1025" i="7" s="1"/>
  <c r="N1026" i="7" s="1"/>
  <c r="N1027" i="7" s="1"/>
  <c r="N1028" i="7" s="1"/>
  <c r="N1029" i="7" s="1"/>
  <c r="N1030" i="7" s="1"/>
  <c r="N1031" i="7" s="1"/>
  <c r="N1032" i="7" s="1"/>
  <c r="N1033" i="7" s="1"/>
  <c r="N1037" i="7"/>
  <c r="N1038" i="7" s="1"/>
  <c r="N1039" i="7" s="1"/>
  <c r="N1040" i="7" s="1"/>
  <c r="N1041" i="7" s="1"/>
  <c r="N1042" i="7" s="1"/>
  <c r="N1043" i="7" s="1"/>
  <c r="N1044" i="7" s="1"/>
  <c r="N1045" i="7" s="1"/>
  <c r="N1046" i="7" s="1"/>
  <c r="N1047" i="7" s="1"/>
  <c r="N1048" i="7" s="1"/>
  <c r="N1253" i="7"/>
  <c r="N1254" i="7" s="1"/>
  <c r="N1255" i="7" s="1"/>
  <c r="N1256" i="7" s="1"/>
  <c r="N1257" i="7" s="1"/>
  <c r="O220" i="7"/>
  <c r="O221" i="7" s="1"/>
  <c r="O222" i="7" s="1"/>
  <c r="O223" i="7" s="1"/>
  <c r="O224" i="7" s="1"/>
  <c r="N1258" i="7"/>
  <c r="N971" i="7"/>
  <c r="N972" i="7" s="1"/>
  <c r="N973" i="7" s="1"/>
  <c r="N974" i="7" s="1"/>
  <c r="N975" i="7" s="1"/>
  <c r="N976" i="7" s="1"/>
  <c r="N977" i="7" s="1"/>
  <c r="N978" i="7" s="1"/>
  <c r="N979" i="7" s="1"/>
  <c r="N980" i="7" s="1"/>
  <c r="N558" i="7"/>
  <c r="N559" i="7" s="1"/>
  <c r="N18" i="7"/>
  <c r="N19" i="7" s="1"/>
  <c r="N20" i="7" s="1"/>
  <c r="N21" i="7" s="1"/>
  <c r="N22" i="7" s="1"/>
  <c r="O385" i="7"/>
  <c r="O386" i="7" s="1"/>
  <c r="O387" i="7" s="1"/>
  <c r="O388" i="7" s="1"/>
  <c r="O389" i="7" s="1"/>
  <c r="O390" i="7" s="1"/>
  <c r="O391" i="7" s="1"/>
  <c r="O392" i="7" s="1"/>
  <c r="O393" i="7" s="1"/>
  <c r="O414" i="7"/>
  <c r="O1697" i="7"/>
  <c r="O1698" i="7" s="1"/>
  <c r="O1330" i="7"/>
  <c r="O1331" i="7" s="1"/>
  <c r="O1332" i="7" s="1"/>
  <c r="O1333" i="7" s="1"/>
  <c r="O1334" i="7" s="1"/>
  <c r="O192" i="7"/>
  <c r="O193" i="7" s="1"/>
  <c r="O194" i="7" s="1"/>
  <c r="O195" i="7" s="1"/>
  <c r="O196" i="7" s="1"/>
  <c r="O197" i="7" s="1"/>
  <c r="O198" i="7" s="1"/>
  <c r="O199" i="7" s="1"/>
  <c r="O1108" i="7"/>
  <c r="O1109" i="7" s="1"/>
  <c r="O128" i="7"/>
  <c r="O129" i="7" s="1"/>
  <c r="O130" i="7" s="1"/>
  <c r="O131" i="7" s="1"/>
  <c r="O132" i="7" s="1"/>
  <c r="O133" i="7" s="1"/>
  <c r="O134" i="7" s="1"/>
  <c r="O135" i="7" s="1"/>
  <c r="O136" i="7" s="1"/>
  <c r="O137" i="7" s="1"/>
  <c r="O138" i="7" s="1"/>
  <c r="O139" i="7" s="1"/>
  <c r="O140" i="7" s="1"/>
  <c r="O141" i="7" s="1"/>
  <c r="O142" i="7" s="1"/>
  <c r="O143" i="7" s="1"/>
  <c r="O144" i="7" s="1"/>
  <c r="O145" i="7" s="1"/>
  <c r="O311" i="7"/>
  <c r="O312" i="7" s="1"/>
  <c r="O313" i="7" s="1"/>
  <c r="O314" i="7" s="1"/>
  <c r="O315" i="7" s="1"/>
  <c r="O316" i="7" s="1"/>
  <c r="O317" i="7" s="1"/>
  <c r="O318" i="7" s="1"/>
  <c r="O319" i="7" s="1"/>
  <c r="O320" i="7" s="1"/>
  <c r="O321" i="7" s="1"/>
  <c r="O542" i="7"/>
  <c r="O543" i="7" s="1"/>
  <c r="O544" i="7" s="1"/>
  <c r="O545" i="7" s="1"/>
  <c r="O546" i="7" s="1"/>
  <c r="O547" i="7" s="1"/>
  <c r="O548" i="7" s="1"/>
  <c r="O549" i="7" s="1"/>
  <c r="O550" i="7" s="1"/>
  <c r="O551" i="7" s="1"/>
  <c r="O552" i="7" s="1"/>
  <c r="O553" i="7" s="1"/>
  <c r="O554" i="7" s="1"/>
  <c r="O555" i="7" s="1"/>
  <c r="O556" i="7" s="1"/>
  <c r="O1276" i="7"/>
  <c r="O1277" i="7" s="1"/>
  <c r="O1278" i="7" s="1"/>
  <c r="O1279" i="7" s="1"/>
  <c r="O1280" i="7" s="1"/>
  <c r="O1281" i="7" s="1"/>
  <c r="O1282" i="7" s="1"/>
  <c r="O1283" i="7" s="1"/>
  <c r="O1284" i="7" s="1"/>
  <c r="O1285" i="7" s="1"/>
  <c r="O1286" i="7" s="1"/>
  <c r="O1287" i="7" s="1"/>
  <c r="O1288" i="7" s="1"/>
  <c r="O1289" i="7" s="1"/>
  <c r="O1897" i="7"/>
  <c r="O1898" i="7" s="1"/>
  <c r="O1349" i="7"/>
  <c r="O1889" i="7"/>
  <c r="O1890" i="7" s="1"/>
  <c r="O297" i="7"/>
  <c r="O298" i="7" s="1"/>
  <c r="O1438" i="7"/>
  <c r="O1439" i="7" s="1"/>
  <c r="O1440" i="7" s="1"/>
  <c r="O1441" i="7" s="1"/>
  <c r="O1442" i="7" s="1"/>
  <c r="O1443" i="7" s="1"/>
  <c r="O1444" i="7" s="1"/>
  <c r="O1445" i="7" s="1"/>
  <c r="O1446" i="7" s="1"/>
  <c r="O272" i="7"/>
  <c r="O273" i="7" s="1"/>
  <c r="O274" i="7" s="1"/>
  <c r="O275" i="7" s="1"/>
  <c r="O761" i="7"/>
  <c r="O762" i="7" s="1"/>
  <c r="O763" i="7" s="1"/>
  <c r="O764" i="7" s="1"/>
  <c r="O765" i="7" s="1"/>
  <c r="O766" i="7" s="1"/>
  <c r="O1099" i="7"/>
  <c r="O1100" i="7" s="1"/>
  <c r="O1555" i="7"/>
  <c r="O306" i="7"/>
  <c r="O307" i="7" s="1"/>
  <c r="O308" i="7" s="1"/>
  <c r="O309" i="7" s="1"/>
  <c r="O1049" i="7"/>
  <c r="O1050" i="7" s="1"/>
  <c r="O1051" i="7" s="1"/>
  <c r="O1052" i="7" s="1"/>
  <c r="O1053" i="7" s="1"/>
  <c r="O1054" i="7" s="1"/>
  <c r="O1055" i="7" s="1"/>
  <c r="O1056" i="7" s="1"/>
  <c r="O329" i="7"/>
  <c r="O1924" i="7"/>
  <c r="O1925" i="7" s="1"/>
  <c r="O1926" i="7" s="1"/>
  <c r="O1927" i="7" s="1"/>
  <c r="O1928" i="7" s="1"/>
  <c r="O1929" i="7" s="1"/>
  <c r="O1930" i="7" s="1"/>
  <c r="O1931" i="7" s="1"/>
  <c r="O1932" i="7" s="1"/>
  <c r="O429" i="7"/>
  <c r="O430" i="7" s="1"/>
  <c r="O1557" i="7"/>
  <c r="O91" i="7"/>
  <c r="O73" i="7"/>
  <c r="O1845" i="7"/>
  <c r="O1846" i="7" s="1"/>
  <c r="O1847" i="7" s="1"/>
  <c r="O622" i="7"/>
  <c r="O623" i="7" s="1"/>
  <c r="O624" i="7" s="1"/>
  <c r="O610" i="7"/>
  <c r="O611" i="7" s="1"/>
  <c r="O150" i="7"/>
  <c r="O151" i="7" s="1"/>
  <c r="O152" i="7" s="1"/>
  <c r="O153" i="7" s="1"/>
  <c r="O435" i="7"/>
  <c r="O436" i="7" s="1"/>
  <c r="O225" i="7"/>
  <c r="O226" i="7" s="1"/>
  <c r="O227" i="7" s="1"/>
  <c r="O228" i="7" s="1"/>
  <c r="O1945" i="7"/>
  <c r="O1946" i="7" s="1"/>
  <c r="O1947" i="7" s="1"/>
  <c r="O1948" i="7" s="1"/>
  <c r="O1949" i="7" s="1"/>
  <c r="O1950" i="7" s="1"/>
  <c r="O1951" i="7" s="1"/>
  <c r="O1952" i="7" s="1"/>
  <c r="O1953" i="7" s="1"/>
  <c r="O1954" i="7" s="1"/>
  <c r="O1955" i="7" s="1"/>
  <c r="O1956" i="7" s="1"/>
  <c r="O1547" i="7"/>
  <c r="O1548" i="7" s="1"/>
  <c r="O1549" i="7" s="1"/>
  <c r="O1550" i="7" s="1"/>
  <c r="O1551" i="7" s="1"/>
  <c r="O1552" i="7" s="1"/>
  <c r="O1553" i="7" s="1"/>
  <c r="O1554" i="7" s="1"/>
  <c r="O852" i="7"/>
  <c r="O853" i="7" s="1"/>
  <c r="O854" i="7" s="1"/>
  <c r="O855" i="7" s="1"/>
  <c r="O856" i="7" s="1"/>
  <c r="O970" i="7"/>
  <c r="O1071" i="7"/>
  <c r="O200" i="7"/>
  <c r="O568" i="7"/>
  <c r="O569" i="7" s="1"/>
  <c r="O570" i="7" s="1"/>
  <c r="O571" i="7" s="1"/>
  <c r="O572" i="7" s="1"/>
  <c r="O573" i="7" s="1"/>
  <c r="O574" i="7" s="1"/>
  <c r="O575" i="7" s="1"/>
  <c r="O576" i="7" s="1"/>
  <c r="O577" i="7" s="1"/>
  <c r="O578" i="7" s="1"/>
  <c r="O1190" i="7"/>
  <c r="O1191" i="7" s="1"/>
  <c r="O1192" i="7" s="1"/>
  <c r="O1193" i="7" s="1"/>
  <c r="O1194" i="7" s="1"/>
  <c r="O1195" i="7" s="1"/>
  <c r="O1196" i="7" s="1"/>
  <c r="O1197" i="7" s="1"/>
  <c r="O1198" i="7" s="1"/>
  <c r="O1199" i="7" s="1"/>
  <c r="O1200" i="7" s="1"/>
  <c r="O1201" i="7" s="1"/>
  <c r="O1202" i="7" s="1"/>
  <c r="O1203" i="7" s="1"/>
  <c r="O971" i="7"/>
  <c r="O972" i="7" s="1"/>
  <c r="O973" i="7" s="1"/>
  <c r="O974" i="7" s="1"/>
  <c r="O975" i="7" s="1"/>
  <c r="O976" i="7" s="1"/>
  <c r="O977" i="7" s="1"/>
  <c r="O978" i="7" s="1"/>
  <c r="O979" i="7" s="1"/>
  <c r="O980" i="7" s="1"/>
  <c r="O455" i="7"/>
  <c r="O456" i="7" s="1"/>
  <c r="O457" i="7" s="1"/>
  <c r="O458" i="7" s="1"/>
  <c r="O459" i="7" s="1"/>
  <c r="O460" i="7" s="1"/>
  <c r="O461" i="7" s="1"/>
  <c r="O462" i="7" s="1"/>
  <c r="O463" i="7" s="1"/>
  <c r="O464" i="7" s="1"/>
  <c r="O465" i="7" s="1"/>
  <c r="O466" i="7" s="1"/>
  <c r="O467" i="7" s="1"/>
  <c r="O468" i="7" s="1"/>
  <c r="O1326" i="7"/>
  <c r="O579" i="7"/>
  <c r="O580" i="7" s="1"/>
  <c r="O581" i="7" s="1"/>
  <c r="O582" i="7" s="1"/>
  <c r="O583" i="7" s="1"/>
  <c r="O584" i="7" s="1"/>
  <c r="O585" i="7" s="1"/>
  <c r="O586" i="7" s="1"/>
  <c r="O587" i="7" s="1"/>
  <c r="O588" i="7" s="1"/>
  <c r="O625" i="7"/>
  <c r="O626" i="7" s="1"/>
  <c r="O1133" i="7"/>
  <c r="O1392" i="7"/>
  <c r="O1393" i="7" s="1"/>
  <c r="O1394" i="7" s="1"/>
  <c r="O1395" i="7" s="1"/>
  <c r="O1396" i="7" s="1"/>
  <c r="O1397" i="7" s="1"/>
  <c r="O1398" i="7" s="1"/>
  <c r="O1399" i="7" s="1"/>
  <c r="O1400" i="7" s="1"/>
  <c r="O1401" i="7" s="1"/>
  <c r="O1402" i="7" s="1"/>
  <c r="O1403" i="7" s="1"/>
  <c r="O1404" i="7" s="1"/>
  <c r="O1405" i="7" s="1"/>
  <c r="O1406" i="7" s="1"/>
  <c r="O327" i="7"/>
  <c r="O589" i="7"/>
  <c r="O1933" i="7"/>
  <c r="O1934" i="7" s="1"/>
  <c r="O1935" i="7" s="1"/>
  <c r="O1936" i="7" s="1"/>
  <c r="O1937" i="7" s="1"/>
  <c r="O1938" i="7" s="1"/>
  <c r="O1939" i="7" s="1"/>
  <c r="O1940" i="7" s="1"/>
  <c r="O1941" i="7" s="1"/>
  <c r="O822" i="7"/>
  <c r="O1034" i="7"/>
  <c r="O1035" i="7" s="1"/>
  <c r="O1036" i="7" s="1"/>
  <c r="O1037" i="7" s="1"/>
  <c r="O1038" i="7" s="1"/>
  <c r="O1039" i="7" s="1"/>
  <c r="O1040" i="7" s="1"/>
  <c r="O1041" i="7" s="1"/>
  <c r="O1042" i="7" s="1"/>
  <c r="O1043" i="7" s="1"/>
  <c r="O1044" i="7" s="1"/>
  <c r="O1045" i="7" s="1"/>
  <c r="O1046" i="7" s="1"/>
  <c r="O1047" i="7" s="1"/>
  <c r="O1048" i="7" s="1"/>
  <c r="O1493" i="7"/>
  <c r="O1729" i="7"/>
  <c r="O1730" i="7" s="1"/>
  <c r="O1731" i="7" s="1"/>
  <c r="O1732" i="7" s="1"/>
  <c r="O1733" i="7" s="1"/>
  <c r="O1734" i="7" s="1"/>
  <c r="O1735" i="7" s="1"/>
  <c r="O1736" i="7" s="1"/>
  <c r="O1737" i="7" s="1"/>
  <c r="O1738" i="7" s="1"/>
  <c r="O1739" i="7" s="1"/>
  <c r="O1740" i="7" s="1"/>
  <c r="O1741" i="7" s="1"/>
  <c r="O1742" i="7" s="1"/>
  <c r="O1743" i="7" s="1"/>
  <c r="O634" i="7"/>
  <c r="O635" i="7" s="1"/>
  <c r="O1822" i="7"/>
  <c r="O1823" i="7" s="1"/>
  <c r="O1058" i="7"/>
  <c r="O1059" i="7" s="1"/>
  <c r="O1060" i="7" s="1"/>
  <c r="O1226" i="7"/>
  <c r="O1227" i="7" s="1"/>
  <c r="O1228" i="7" s="1"/>
  <c r="O1229" i="7" s="1"/>
  <c r="O1230" i="7" s="1"/>
  <c r="O1231" i="7" s="1"/>
  <c r="O1232" i="7" s="1"/>
  <c r="O1233" i="7" s="1"/>
  <c r="O1234" i="7" s="1"/>
  <c r="O1235" i="7" s="1"/>
  <c r="O1236" i="7" s="1"/>
  <c r="O1237" i="7" s="1"/>
  <c r="O1535" i="7"/>
  <c r="O1536" i="7" s="1"/>
  <c r="O1537" i="7" s="1"/>
  <c r="O1538" i="7" s="1"/>
  <c r="O1539" i="7" s="1"/>
  <c r="O1540" i="7" s="1"/>
  <c r="O1541" i="7" s="1"/>
  <c r="O1542" i="7" s="1"/>
  <c r="O1543" i="7" s="1"/>
  <c r="O99" i="7"/>
  <c r="O100" i="7" s="1"/>
  <c r="O101" i="7" s="1"/>
  <c r="O102" i="7" s="1"/>
  <c r="O103" i="7" s="1"/>
  <c r="O104" i="7" s="1"/>
  <c r="O105" i="7" s="1"/>
  <c r="O106" i="7" s="1"/>
  <c r="O107" i="7" s="1"/>
  <c r="O108" i="7" s="1"/>
  <c r="O1699" i="7"/>
  <c r="O1700" i="7" s="1"/>
  <c r="O1701" i="7" s="1"/>
  <c r="O1702" i="7" s="1"/>
  <c r="O1703" i="7" s="1"/>
  <c r="O1704" i="7" s="1"/>
  <c r="O1705" i="7" s="1"/>
  <c r="O1706" i="7" s="1"/>
  <c r="O1707" i="7" s="1"/>
  <c r="O1708" i="7" s="1"/>
  <c r="O1709" i="7" s="1"/>
  <c r="O1710" i="7" s="1"/>
  <c r="O1711" i="7" s="1"/>
  <c r="O1712" i="7" s="1"/>
  <c r="O1748" i="7"/>
  <c r="O1014" i="7"/>
  <c r="O683" i="7"/>
  <c r="O684" i="7" s="1"/>
  <c r="O685" i="7" s="1"/>
  <c r="O686" i="7" s="1"/>
  <c r="O687" i="7" s="1"/>
  <c r="O688" i="7" s="1"/>
  <c r="O689" i="7" s="1"/>
  <c r="O690" i="7" s="1"/>
  <c r="O691" i="7" s="1"/>
  <c r="O356" i="7"/>
  <c r="O357" i="7" s="1"/>
  <c r="O1183" i="7"/>
  <c r="O358" i="7"/>
  <c r="O427" i="7"/>
  <c r="O428" i="7" s="1"/>
  <c r="O1087" i="7"/>
  <c r="O1088" i="7" s="1"/>
  <c r="O1089" i="7" s="1"/>
  <c r="O1063" i="7"/>
  <c r="O1064" i="7" s="1"/>
  <c r="O1065" i="7" s="1"/>
  <c r="O1066" i="7" s="1"/>
  <c r="O1067" i="7" s="1"/>
  <c r="O1068" i="7" s="1"/>
  <c r="O1069" i="7" s="1"/>
  <c r="O1070" i="7" s="1"/>
  <c r="O636" i="7"/>
  <c r="O295" i="7"/>
  <c r="O296" i="7" s="1"/>
  <c r="O1958" i="7"/>
  <c r="O1085" i="7"/>
  <c r="O1086" i="7" s="1"/>
  <c r="O1093" i="7"/>
  <c r="O1094" i="7" s="1"/>
  <c r="O1095" i="7" s="1"/>
  <c r="O1096" i="7" s="1"/>
  <c r="O1097" i="7" s="1"/>
  <c r="O1090" i="7"/>
  <c r="O1091" i="7" s="1"/>
  <c r="O1092" i="7" s="1"/>
  <c r="O1764" i="7"/>
  <c r="O1765" i="7" s="1"/>
  <c r="O1766" i="7" s="1"/>
  <c r="O1428" i="7"/>
  <c r="O1604" i="7"/>
  <c r="O1605" i="7" s="1"/>
  <c r="O1606" i="7" s="1"/>
  <c r="O1689" i="7"/>
  <c r="O1690" i="7" s="1"/>
  <c r="O1691" i="7" s="1"/>
  <c r="O1692" i="7" s="1"/>
  <c r="O1693" i="7" s="1"/>
  <c r="O1694" i="7" s="1"/>
  <c r="O1695" i="7" s="1"/>
  <c r="O1696" i="7" s="1"/>
  <c r="O736" i="7"/>
  <c r="O737" i="7" s="1"/>
  <c r="O738" i="7" s="1"/>
  <c r="O739" i="7" s="1"/>
  <c r="O740" i="7" s="1"/>
  <c r="O741" i="7" s="1"/>
  <c r="O742" i="7" s="1"/>
  <c r="O743" i="7" s="1"/>
  <c r="O1844" i="7"/>
  <c r="O292" i="7"/>
  <c r="O1101" i="7"/>
  <c r="O1102" i="7" s="1"/>
  <c r="O1103" i="7" s="1"/>
  <c r="O1104" i="7" s="1"/>
  <c r="O1105" i="7" s="1"/>
  <c r="O1601" i="7"/>
  <c r="O1602" i="7" s="1"/>
  <c r="O1603" i="7" s="1"/>
  <c r="O993" i="7"/>
  <c r="O994" i="7" s="1"/>
  <c r="O995" i="7" s="1"/>
  <c r="O996" i="7" s="1"/>
  <c r="O997" i="7" s="1"/>
  <c r="O998" i="7" s="1"/>
  <c r="O999" i="7" s="1"/>
  <c r="O1000" i="7" s="1"/>
  <c r="O1001" i="7" s="1"/>
  <c r="O1002" i="7" s="1"/>
  <c r="O1003" i="7" s="1"/>
  <c r="O1004" i="7" s="1"/>
  <c r="O1005" i="7" s="1"/>
  <c r="O1006" i="7" s="1"/>
  <c r="O1007" i="7" s="1"/>
  <c r="O1008" i="7" s="1"/>
  <c r="O1009" i="7" s="1"/>
  <c r="O1010" i="7" s="1"/>
  <c r="O1011" i="7" s="1"/>
  <c r="O1012" i="7" s="1"/>
  <c r="O1013" i="7" s="1"/>
  <c r="O159" i="7"/>
  <c r="O160" i="7" s="1"/>
  <c r="O161" i="7" s="1"/>
  <c r="O162" i="7" s="1"/>
  <c r="O163" i="7" s="1"/>
  <c r="O164" i="7" s="1"/>
  <c r="O165" i="7" s="1"/>
  <c r="O981" i="7"/>
  <c r="O1239" i="7"/>
  <c r="O1240" i="7" s="1"/>
  <c r="O1241" i="7" s="1"/>
  <c r="O1242" i="7" s="1"/>
  <c r="O1243" i="7" s="1"/>
  <c r="O1244" i="7" s="1"/>
  <c r="O1245" i="7" s="1"/>
  <c r="O1246" i="7" s="1"/>
  <c r="O1247" i="7" s="1"/>
  <c r="O1248" i="7" s="1"/>
  <c r="O1886" i="7"/>
  <c r="O1887" i="7" s="1"/>
  <c r="O1451" i="7"/>
  <c r="O1452" i="7" s="1"/>
  <c r="O1750" i="7"/>
  <c r="O1751" i="7" s="1"/>
  <c r="O1752" i="7" s="1"/>
  <c r="O1957" i="7"/>
  <c r="O432" i="7"/>
  <c r="O433" i="7" s="1"/>
  <c r="O202" i="7"/>
  <c r="O203" i="7" s="1"/>
  <c r="O204" i="7" s="1"/>
  <c r="O205" i="7" s="1"/>
  <c r="O206" i="7" s="1"/>
  <c r="O207" i="7" s="1"/>
  <c r="O208" i="7" s="1"/>
  <c r="O209" i="7" s="1"/>
  <c r="O210" i="7" s="1"/>
  <c r="O211" i="7" s="1"/>
  <c r="O212" i="7" s="1"/>
  <c r="O213" i="7" s="1"/>
  <c r="O214" i="7" s="1"/>
  <c r="O215" i="7" s="1"/>
  <c r="O216" i="7" s="1"/>
  <c r="O217" i="7" s="1"/>
  <c r="O218" i="7" s="1"/>
  <c r="O299" i="7"/>
  <c r="O1218" i="7"/>
  <c r="O1219" i="7" s="1"/>
  <c r="O1220" i="7" s="1"/>
  <c r="O1221" i="7" s="1"/>
  <c r="O1222" i="7" s="1"/>
  <c r="O1223" i="7" s="1"/>
  <c r="O1224" i="7" s="1"/>
  <c r="O1225" i="7" s="1"/>
  <c r="O560" i="7"/>
  <c r="O631" i="7"/>
  <c r="O632" i="7" s="1"/>
  <c r="O59" i="7"/>
  <c r="O60" i="7" s="1"/>
  <c r="O61" i="7" s="1"/>
  <c r="O62" i="7" s="1"/>
  <c r="O63" i="7" s="1"/>
  <c r="O64" i="7" s="1"/>
  <c r="O65" i="7" s="1"/>
  <c r="O66" i="7" s="1"/>
  <c r="O67" i="7" s="1"/>
  <c r="O68" i="7" s="1"/>
  <c r="O1379" i="7"/>
  <c r="O1380" i="7" s="1"/>
  <c r="O1381" i="7" s="1"/>
  <c r="O1382" i="7" s="1"/>
  <c r="O1383" i="7" s="1"/>
  <c r="O1384" i="7" s="1"/>
  <c r="O1062" i="7"/>
  <c r="O398" i="7"/>
  <c r="O1942" i="7"/>
  <c r="O1943" i="7" s="1"/>
  <c r="O704" i="7"/>
  <c r="O562" i="7"/>
  <c r="O1869" i="7"/>
  <c r="O1870" i="7" s="1"/>
  <c r="O1871" i="7" s="1"/>
  <c r="O1872" i="7" s="1"/>
  <c r="O951" i="7"/>
  <c r="O952" i="7" s="1"/>
  <c r="O953" i="7" s="1"/>
  <c r="O954" i="7" s="1"/>
  <c r="O955" i="7" s="1"/>
  <c r="O956" i="7" s="1"/>
  <c r="O957" i="7" s="1"/>
  <c r="O958" i="7" s="1"/>
  <c r="O437" i="7"/>
  <c r="O438" i="7" s="1"/>
  <c r="O439" i="7" s="1"/>
  <c r="O440" i="7" s="1"/>
  <c r="O441" i="7" s="1"/>
  <c r="O442" i="7" s="1"/>
  <c r="O443" i="7" s="1"/>
  <c r="O444" i="7" s="1"/>
  <c r="O445" i="7" s="1"/>
  <c r="O647" i="7"/>
  <c r="O173" i="7"/>
  <c r="O174" i="7" s="1"/>
  <c r="O175" i="7" s="1"/>
  <c r="O176" i="7" s="1"/>
  <c r="O177" i="7" s="1"/>
  <c r="O178" i="7" s="1"/>
  <c r="O179" i="7" s="1"/>
  <c r="O180" i="7" s="1"/>
  <c r="O181" i="7" s="1"/>
  <c r="O182" i="7" s="1"/>
  <c r="O183" i="7" s="1"/>
  <c r="O184" i="7" s="1"/>
  <c r="O185" i="7" s="1"/>
  <c r="O186" i="7" s="1"/>
  <c r="O1670" i="7"/>
  <c r="O1671" i="7" s="1"/>
  <c r="O1672" i="7" s="1"/>
  <c r="O1673" i="7" s="1"/>
  <c r="O1674" i="7" s="1"/>
  <c r="O1675" i="7" s="1"/>
  <c r="O1676" i="7" s="1"/>
  <c r="O1677" i="7" s="1"/>
  <c r="O1678" i="7" s="1"/>
  <c r="O629" i="7"/>
  <c r="O1777" i="7"/>
  <c r="O590" i="7"/>
  <c r="O591" i="7" s="1"/>
  <c r="O592" i="7" s="1"/>
  <c r="O593" i="7" s="1"/>
  <c r="O594" i="7" s="1"/>
  <c r="O595" i="7" s="1"/>
  <c r="O596" i="7" s="1"/>
  <c r="O597" i="7" s="1"/>
  <c r="O598" i="7" s="1"/>
  <c r="O984" i="7"/>
  <c r="O985" i="7" s="1"/>
  <c r="O1376" i="7"/>
  <c r="O1377" i="7" s="1"/>
  <c r="O1378" i="7" s="1"/>
  <c r="O637" i="7"/>
  <c r="O638" i="7" s="1"/>
  <c r="O639" i="7" s="1"/>
  <c r="O640" i="7" s="1"/>
  <c r="O641" i="7" s="1"/>
  <c r="O642" i="7" s="1"/>
  <c r="O643" i="7" s="1"/>
  <c r="O644" i="7" s="1"/>
  <c r="O645" i="7" s="1"/>
  <c r="O646" i="7" s="1"/>
  <c r="O767" i="7"/>
  <c r="O768" i="7" s="1"/>
  <c r="O769" i="7" s="1"/>
  <c r="O1268" i="7"/>
  <c r="O1302" i="7"/>
  <c r="O1303" i="7" s="1"/>
  <c r="O1304" i="7" s="1"/>
  <c r="O1305" i="7" s="1"/>
  <c r="O1306" i="7" s="1"/>
  <c r="O1307" i="7" s="1"/>
  <c r="O1308" i="7" s="1"/>
  <c r="O1309" i="7" s="1"/>
  <c r="O1368" i="7"/>
  <c r="O1569" i="7"/>
  <c r="O1570" i="7" s="1"/>
  <c r="O745" i="7"/>
  <c r="O746" i="7" s="1"/>
  <c r="O747" i="7" s="1"/>
  <c r="O748" i="7" s="1"/>
  <c r="O749" i="7" s="1"/>
  <c r="O750" i="7" s="1"/>
  <c r="O751" i="7" s="1"/>
  <c r="O752" i="7" s="1"/>
  <c r="O753" i="7" s="1"/>
  <c r="O754" i="7" s="1"/>
  <c r="O755" i="7" s="1"/>
  <c r="O756" i="7" s="1"/>
  <c r="O757" i="7" s="1"/>
  <c r="O1648" i="7"/>
  <c r="O1649" i="7" s="1"/>
  <c r="O1650" i="7" s="1"/>
  <c r="O1651" i="7" s="1"/>
  <c r="O1652" i="7" s="1"/>
  <c r="O1653" i="7" s="1"/>
  <c r="O1654" i="7" s="1"/>
  <c r="O1655" i="7" s="1"/>
  <c r="O1656" i="7" s="1"/>
  <c r="O1657" i="7" s="1"/>
  <c r="O1658" i="7" s="1"/>
  <c r="O1659" i="7" s="1"/>
  <c r="O1660" i="7" s="1"/>
  <c r="O1661" i="7" s="1"/>
  <c r="O1662" i="7" s="1"/>
  <c r="O1663" i="7" s="1"/>
  <c r="O1664" i="7" s="1"/>
  <c r="O1665" i="7" s="1"/>
  <c r="O1666" i="7" s="1"/>
  <c r="O1667" i="7" s="1"/>
  <c r="O1668" i="7" s="1"/>
  <c r="O1977" i="7"/>
  <c r="O1978" i="7" s="1"/>
  <c r="O1979" i="7" s="1"/>
  <c r="O1980" i="7" s="1"/>
  <c r="O1981" i="7" s="1"/>
  <c r="O1982" i="7" s="1"/>
  <c r="O1587" i="7"/>
  <c r="O1588" i="7" s="1"/>
  <c r="O1589" i="7" s="1"/>
  <c r="O1590" i="7" s="1"/>
  <c r="O1617" i="7"/>
  <c r="O1618" i="7" s="1"/>
  <c r="O1619" i="7" s="1"/>
  <c r="O1620" i="7" s="1"/>
  <c r="O1621" i="7" s="1"/>
  <c r="O1622" i="7" s="1"/>
  <c r="O1623" i="7" s="1"/>
  <c r="O155" i="7"/>
  <c r="O156" i="7" s="1"/>
  <c r="O157" i="7" s="1"/>
  <c r="O158" i="7" s="1"/>
  <c r="O46" i="7"/>
  <c r="O47" i="7" s="1"/>
  <c r="O48" i="7" s="1"/>
  <c r="O49" i="7" s="1"/>
  <c r="O50" i="7" s="1"/>
  <c r="O51" i="7" s="1"/>
  <c r="O52" i="7" s="1"/>
  <c r="O53" i="7" s="1"/>
  <c r="O54" i="7" s="1"/>
  <c r="O55" i="7" s="1"/>
  <c r="O56" i="7" s="1"/>
  <c r="O57" i="7" s="1"/>
  <c r="O58" i="7" s="1"/>
  <c r="O614" i="7"/>
  <c r="O615" i="7" s="1"/>
  <c r="O616" i="7" s="1"/>
  <c r="O617" i="7" s="1"/>
  <c r="O618" i="7" s="1"/>
  <c r="O1147" i="7"/>
  <c r="O1148" i="7" s="1"/>
  <c r="O1149" i="7" s="1"/>
  <c r="O1150" i="7" s="1"/>
  <c r="O1151" i="7" s="1"/>
  <c r="O1152" i="7" s="1"/>
  <c r="O1153" i="7" s="1"/>
  <c r="O1154" i="7" s="1"/>
  <c r="O1155" i="7" s="1"/>
  <c r="O1156" i="7" s="1"/>
  <c r="O1157" i="7" s="1"/>
  <c r="O1158" i="7" s="1"/>
  <c r="O1159" i="7" s="1"/>
  <c r="O1160" i="7" s="1"/>
  <c r="O1161" i="7" s="1"/>
  <c r="O120" i="7"/>
  <c r="O121" i="7" s="1"/>
  <c r="O122" i="7" s="1"/>
  <c r="O123" i="7" s="1"/>
  <c r="O124" i="7" s="1"/>
  <c r="O125" i="7" s="1"/>
  <c r="O126" i="7" s="1"/>
  <c r="O127" i="7" s="1"/>
  <c r="O1768" i="7"/>
  <c r="O1769" i="7" s="1"/>
  <c r="O1770" i="7" s="1"/>
  <c r="O1771" i="7" s="1"/>
  <c r="O1772" i="7" s="1"/>
  <c r="O1773" i="7" s="1"/>
  <c r="O1774" i="7" s="1"/>
  <c r="O1775" i="7" s="1"/>
  <c r="O1776" i="7" s="1"/>
  <c r="O1680" i="7"/>
  <c r="O1681" i="7" s="1"/>
  <c r="O1682" i="7" s="1"/>
  <c r="O1683" i="7" s="1"/>
  <c r="O1684" i="7" s="1"/>
  <c r="O1685" i="7" s="1"/>
  <c r="O1686" i="7" s="1"/>
  <c r="O1687" i="7" s="1"/>
  <c r="O1316" i="7"/>
  <c r="O1317" i="7" s="1"/>
  <c r="O1318" i="7" s="1"/>
  <c r="O1319" i="7" s="1"/>
  <c r="O1320" i="7" s="1"/>
  <c r="O1321" i="7" s="1"/>
  <c r="O1322" i="7" s="1"/>
  <c r="O1323" i="7" s="1"/>
  <c r="O1324" i="7" s="1"/>
  <c r="O759" i="7"/>
  <c r="O394" i="7"/>
  <c r="O395" i="7" s="1"/>
  <c r="O396" i="7" s="1"/>
  <c r="O74" i="7"/>
  <c r="O75" i="7" s="1"/>
  <c r="O76" i="7" s="1"/>
  <c r="O77" i="7" s="1"/>
  <c r="O78" i="7" s="1"/>
  <c r="O79" i="7" s="1"/>
  <c r="O80" i="7" s="1"/>
  <c r="O81" i="7" s="1"/>
  <c r="O82" i="7" s="1"/>
  <c r="O83" i="7" s="1"/>
  <c r="O84" i="7" s="1"/>
  <c r="O85" i="7" s="1"/>
  <c r="O86" i="7" s="1"/>
  <c r="O1545" i="7"/>
  <c r="O229" i="7"/>
  <c r="O230" i="7" s="1"/>
  <c r="O231" i="7" s="1"/>
  <c r="O232" i="7" s="1"/>
  <c r="O233" i="7" s="1"/>
  <c r="O234" i="7" s="1"/>
  <c r="O235" i="7" s="1"/>
  <c r="O236" i="7" s="1"/>
  <c r="O237" i="7" s="1"/>
  <c r="O1121" i="7"/>
  <c r="O1122" i="7" s="1"/>
  <c r="O1123" i="7" s="1"/>
  <c r="O1124" i="7" s="1"/>
  <c r="O1125" i="7" s="1"/>
  <c r="O1126" i="7" s="1"/>
  <c r="O1127" i="7" s="1"/>
  <c r="O1128" i="7" s="1"/>
  <c r="O1129" i="7" s="1"/>
  <c r="O1130" i="7" s="1"/>
  <c r="O256" i="7"/>
  <c r="O257" i="7" s="1"/>
  <c r="O1531" i="7"/>
  <c r="O1532" i="7" s="1"/>
  <c r="O1533" i="7" s="1"/>
  <c r="O1534" i="7" s="1"/>
  <c r="O341" i="7"/>
  <c r="O342" i="7" s="1"/>
  <c r="O343" i="7" s="1"/>
  <c r="O344" i="7" s="1"/>
  <c r="O1185" i="7"/>
  <c r="O1186" i="7" s="1"/>
  <c r="O1187" i="7" s="1"/>
  <c r="O1188" i="7" s="1"/>
  <c r="O1189" i="7" s="1"/>
  <c r="O915" i="7"/>
  <c r="O916" i="7" s="1"/>
  <c r="O917" i="7" s="1"/>
  <c r="O918" i="7" s="1"/>
  <c r="O919" i="7" s="1"/>
  <c r="O920" i="7" s="1"/>
  <c r="O921" i="7" s="1"/>
  <c r="O922" i="7" s="1"/>
  <c r="O923" i="7" s="1"/>
  <c r="O924" i="7" s="1"/>
  <c r="O925" i="7" s="1"/>
  <c r="O926" i="7" s="1"/>
  <c r="O1908" i="7"/>
  <c r="O721" i="7"/>
  <c r="O722" i="7" s="1"/>
  <c r="O723" i="7" s="1"/>
  <c r="O724" i="7" s="1"/>
  <c r="O725" i="7" s="1"/>
  <c r="O726" i="7" s="1"/>
  <c r="O727" i="7" s="1"/>
  <c r="O1310" i="7"/>
  <c r="O1311" i="7" s="1"/>
  <c r="O1312" i="7" s="1"/>
  <c r="O1313" i="7" s="1"/>
  <c r="O1314" i="7" s="1"/>
  <c r="O1315" i="7" s="1"/>
  <c r="O810" i="7"/>
  <c r="O811" i="7" s="1"/>
  <c r="O812" i="7" s="1"/>
  <c r="O619" i="7"/>
  <c r="O620" i="7" s="1"/>
  <c r="O1385" i="7"/>
  <c r="O1386" i="7" s="1"/>
  <c r="O1387" i="7" s="1"/>
  <c r="O1388" i="7" s="1"/>
  <c r="O1389" i="7" s="1"/>
  <c r="O1390" i="7" s="1"/>
  <c r="O1391" i="7" s="1"/>
  <c r="O1407" i="7"/>
  <c r="O1408" i="7" s="1"/>
  <c r="O1409" i="7" s="1"/>
  <c r="O1410" i="7" s="1"/>
  <c r="O1411" i="7" s="1"/>
  <c r="O1412" i="7" s="1"/>
  <c r="O1413" i="7" s="1"/>
  <c r="O1414" i="7" s="1"/>
  <c r="O289" i="7"/>
  <c r="O290" i="7" s="1"/>
  <c r="O291" i="7" s="1"/>
  <c r="O1778" i="7"/>
  <c r="O1779" i="7" s="1"/>
  <c r="O1780" i="7" s="1"/>
  <c r="O1781" i="7" s="1"/>
  <c r="O1782" i="7" s="1"/>
  <c r="O1783" i="7" s="1"/>
  <c r="O1784" i="7" s="1"/>
  <c r="O1785" i="7" s="1"/>
  <c r="O1786" i="7" s="1"/>
  <c r="O1787" i="7" s="1"/>
  <c r="O1788" i="7" s="1"/>
  <c r="O1789" i="7" s="1"/>
  <c r="O1575" i="7"/>
  <c r="O1576" i="7" s="1"/>
  <c r="O1577" i="7" s="1"/>
  <c r="O345" i="7"/>
  <c r="O346" i="7" s="1"/>
  <c r="O347" i="7" s="1"/>
  <c r="O348" i="7" s="1"/>
  <c r="O349" i="7" s="1"/>
  <c r="O350" i="7" s="1"/>
  <c r="O707" i="7"/>
  <c r="O708" i="7" s="1"/>
  <c r="O709" i="7" s="1"/>
  <c r="O710" i="7" s="1"/>
  <c r="O711" i="7" s="1"/>
  <c r="O712" i="7" s="1"/>
  <c r="O713" i="7" s="1"/>
  <c r="O714" i="7" s="1"/>
  <c r="O715" i="7" s="1"/>
  <c r="O716" i="7" s="1"/>
  <c r="O717" i="7" s="1"/>
  <c r="O718" i="7" s="1"/>
  <c r="O719" i="7" s="1"/>
  <c r="O360" i="7"/>
  <c r="O361" i="7" s="1"/>
  <c r="O362" i="7" s="1"/>
  <c r="O363" i="7" s="1"/>
  <c r="O364" i="7" s="1"/>
  <c r="O365" i="7" s="1"/>
  <c r="O366" i="7" s="1"/>
  <c r="O1607" i="7"/>
  <c r="O1608" i="7" s="1"/>
  <c r="O1609" i="7" s="1"/>
  <c r="O1610" i="7" s="1"/>
  <c r="O1611" i="7" s="1"/>
  <c r="O1136" i="7"/>
  <c r="O1137" i="7" s="1"/>
  <c r="O418" i="7"/>
  <c r="O419" i="7" s="1"/>
  <c r="O420" i="7" s="1"/>
  <c r="O421" i="7" s="1"/>
  <c r="O422" i="7" s="1"/>
  <c r="O423" i="7" s="1"/>
  <c r="O424" i="7" s="1"/>
  <c r="O425" i="7" s="1"/>
  <c r="O559" i="7"/>
  <c r="O400" i="7"/>
  <c r="O1975" i="7"/>
  <c r="O323" i="7"/>
  <c r="O1891" i="7"/>
  <c r="O1892" i="7" s="1"/>
  <c r="O938" i="7"/>
  <c r="O939" i="7" s="1"/>
  <c r="O940" i="7" s="1"/>
  <c r="O693" i="7"/>
  <c r="O694" i="7" s="1"/>
  <c r="O695" i="7" s="1"/>
  <c r="O696" i="7" s="1"/>
  <c r="O697" i="7" s="1"/>
  <c r="O698" i="7" s="1"/>
  <c r="O699" i="7" s="1"/>
  <c r="O700" i="7" s="1"/>
  <c r="O701" i="7" s="1"/>
  <c r="O702" i="7" s="1"/>
  <c r="O703" i="7" s="1"/>
  <c r="O397" i="7"/>
  <c r="O1084" i="7"/>
  <c r="O88" i="7"/>
  <c r="O89" i="7" s="1"/>
  <c r="O521" i="7"/>
  <c r="O522" i="7" s="1"/>
  <c r="O523" i="7" s="1"/>
  <c r="O524" i="7" s="1"/>
  <c r="O525" i="7" s="1"/>
  <c r="O526" i="7" s="1"/>
  <c r="O527" i="7" s="1"/>
  <c r="O528" i="7" s="1"/>
  <c r="O529" i="7" s="1"/>
  <c r="O530" i="7" s="1"/>
  <c r="O531" i="7" s="1"/>
  <c r="O532" i="7" s="1"/>
  <c r="O533" i="7" s="1"/>
  <c r="O534" i="7" s="1"/>
  <c r="O535" i="7" s="1"/>
  <c r="O536" i="7" s="1"/>
  <c r="O537" i="7" s="1"/>
  <c r="O538" i="7" s="1"/>
  <c r="O539" i="7" s="1"/>
  <c r="O540" i="7" s="1"/>
  <c r="O1613" i="7"/>
  <c r="O1614" i="7" s="1"/>
  <c r="O1615" i="7" s="1"/>
  <c r="O1261" i="7"/>
  <c r="O1262" i="7" s="1"/>
  <c r="O1263" i="7" s="1"/>
  <c r="O1874" i="7"/>
  <c r="O1875" i="7" s="1"/>
  <c r="O1984" i="7"/>
  <c r="O1985" i="7" s="1"/>
  <c r="O1986" i="7" s="1"/>
  <c r="O1987" i="7" s="1"/>
  <c r="O1988" i="7" s="1"/>
  <c r="O239" i="7"/>
  <c r="O240" i="7" s="1"/>
  <c r="O241" i="7" s="1"/>
  <c r="O1571" i="7"/>
  <c r="O1572" i="7" s="1"/>
  <c r="O1573" i="7" s="1"/>
  <c r="O1259" i="7"/>
  <c r="O1269" i="7"/>
  <c r="O1591" i="7"/>
  <c r="O1592" i="7" s="1"/>
  <c r="O1593" i="7" s="1"/>
  <c r="O1594" i="7" s="1"/>
  <c r="O1595" i="7" s="1"/>
  <c r="O1596" i="7" s="1"/>
  <c r="O1597" i="7" s="1"/>
  <c r="O1598" i="7" s="1"/>
  <c r="O1599" i="7" s="1"/>
  <c r="O1600" i="7" s="1"/>
  <c r="O1111" i="7"/>
  <c r="O1112" i="7" s="1"/>
  <c r="O1113" i="7" s="1"/>
  <c r="O1114" i="7" s="1"/>
  <c r="O1115" i="7" s="1"/>
  <c r="O1116" i="7" s="1"/>
  <c r="O1117" i="7" s="1"/>
  <c r="O1118" i="7" s="1"/>
  <c r="O1119" i="7" s="1"/>
  <c r="O1120" i="7" s="1"/>
  <c r="O601" i="7"/>
  <c r="O602" i="7" s="1"/>
  <c r="O1848" i="7"/>
  <c r="O1849" i="7" s="1"/>
  <c r="O1850" i="7" s="1"/>
  <c r="O1851" i="7" s="1"/>
  <c r="O1852" i="7" s="1"/>
  <c r="O1853" i="7" s="1"/>
  <c r="O1854" i="7" s="1"/>
  <c r="O1855" i="7" s="1"/>
  <c r="O1856" i="7" s="1"/>
  <c r="O1857" i="7" s="1"/>
  <c r="O1858" i="7" s="1"/>
  <c r="O1859" i="7" s="1"/>
  <c r="O1860" i="7" s="1"/>
  <c r="O1861" i="7" s="1"/>
  <c r="O1862" i="7" s="1"/>
  <c r="O1863" i="7" s="1"/>
  <c r="O1864" i="7" s="1"/>
  <c r="O1865" i="7" s="1"/>
  <c r="O1866" i="7" s="1"/>
  <c r="O1867" i="7" s="1"/>
  <c r="O1868" i="7" s="1"/>
  <c r="O607" i="7"/>
  <c r="O608" i="7" s="1"/>
  <c r="O609" i="7" s="1"/>
  <c r="O1794" i="7"/>
  <c r="O1795" i="7" s="1"/>
  <c r="O1796" i="7" s="1"/>
  <c r="O1797" i="7" s="1"/>
  <c r="O1798" i="7" s="1"/>
  <c r="O1799" i="7" s="1"/>
  <c r="O1800" i="7" s="1"/>
  <c r="O1801" i="7" s="1"/>
  <c r="O1802" i="7" s="1"/>
  <c r="O1803" i="7" s="1"/>
  <c r="O1804" i="7" s="1"/>
  <c r="O1805" i="7" s="1"/>
  <c r="O1016" i="7"/>
  <c r="O1017" i="7" s="1"/>
  <c r="O1018" i="7" s="1"/>
  <c r="O1019" i="7" s="1"/>
  <c r="O1020" i="7" s="1"/>
  <c r="O1021" i="7" s="1"/>
  <c r="O1022" i="7" s="1"/>
  <c r="O1023" i="7" s="1"/>
  <c r="O1024" i="7" s="1"/>
  <c r="O1025" i="7" s="1"/>
  <c r="O1026" i="7" s="1"/>
  <c r="O1027" i="7" s="1"/>
  <c r="O1028" i="7" s="1"/>
  <c r="O1029" i="7" s="1"/>
  <c r="O1030" i="7" s="1"/>
  <c r="O1031" i="7" s="1"/>
  <c r="O1032" i="7" s="1"/>
  <c r="O1033" i="7" s="1"/>
  <c r="O69" i="7"/>
  <c r="O70" i="7" s="1"/>
  <c r="O71" i="7" s="1"/>
  <c r="O72" i="7" s="1"/>
  <c r="O1561" i="7"/>
  <c r="O1562" i="7" s="1"/>
  <c r="O1563" i="7" s="1"/>
  <c r="O1564" i="7" s="1"/>
  <c r="O605" i="7"/>
  <c r="O606" i="7" s="1"/>
  <c r="O1913" i="7"/>
  <c r="O1914" i="7" s="1"/>
  <c r="O1915" i="7" s="1"/>
  <c r="O1916" i="7" s="1"/>
  <c r="O1917" i="7" s="1"/>
  <c r="O1918" i="7" s="1"/>
  <c r="O1919" i="7" s="1"/>
  <c r="O1616" i="7"/>
  <c r="O1216" i="7"/>
  <c r="O942" i="7"/>
  <c r="O943" i="7" s="1"/>
  <c r="O944" i="7" s="1"/>
  <c r="O945" i="7" s="1"/>
  <c r="O946" i="7" s="1"/>
  <c r="O947" i="7" s="1"/>
  <c r="O948" i="7" s="1"/>
  <c r="O949" i="7" s="1"/>
  <c r="O1176" i="7"/>
  <c r="O1177" i="7" s="1"/>
  <c r="O1178" i="7" s="1"/>
  <c r="O1327" i="7"/>
  <c r="O1328" i="7" s="1"/>
  <c r="O564" i="7"/>
  <c r="O565" i="7" s="1"/>
  <c r="O566" i="7" s="1"/>
  <c r="O567" i="7" s="1"/>
  <c r="O1565" i="7"/>
  <c r="O1566" i="7" s="1"/>
  <c r="O1567" i="7" s="1"/>
  <c r="O1568" i="7" s="1"/>
  <c r="O824" i="7"/>
  <c r="O825" i="7" s="1"/>
  <c r="O826" i="7" s="1"/>
  <c r="O827" i="7" s="1"/>
  <c r="O828" i="7" s="1"/>
  <c r="O829" i="7" s="1"/>
  <c r="O830" i="7" s="1"/>
  <c r="O831" i="7" s="1"/>
  <c r="O832" i="7" s="1"/>
  <c r="O833" i="7" s="1"/>
  <c r="O1339" i="7"/>
  <c r="O1340" i="7" s="1"/>
  <c r="O1341" i="7" s="1"/>
  <c r="O1342" i="7" s="1"/>
  <c r="O1343" i="7" s="1"/>
  <c r="O1344" i="7" s="1"/>
  <c r="O1345" i="7" s="1"/>
  <c r="O1346" i="7" s="1"/>
  <c r="O1347" i="7" s="1"/>
  <c r="O1509" i="7"/>
  <c r="O1510" i="7" s="1"/>
  <c r="O1511" i="7" s="1"/>
  <c r="O1512" i="7" s="1"/>
  <c r="O1513" i="7" s="1"/>
  <c r="O1514" i="7" s="1"/>
  <c r="O1515" i="7" s="1"/>
  <c r="O1516" i="7" s="1"/>
  <c r="O1517" i="7" s="1"/>
  <c r="O1518" i="7" s="1"/>
  <c r="O1252" i="7"/>
  <c r="O816" i="7"/>
  <c r="O817" i="7" s="1"/>
  <c r="O818" i="7" s="1"/>
  <c r="O819" i="7" s="1"/>
  <c r="O820" i="7" s="1"/>
  <c r="O821" i="7" s="1"/>
  <c r="O401" i="7"/>
  <c r="O402" i="7" s="1"/>
  <c r="O403" i="7" s="1"/>
  <c r="O404" i="7" s="1"/>
  <c r="O405" i="7" s="1"/>
  <c r="O406" i="7" s="1"/>
  <c r="O407" i="7" s="1"/>
  <c r="O408" i="7" s="1"/>
  <c r="O409" i="7" s="1"/>
  <c r="O410" i="7" s="1"/>
  <c r="O411" i="7" s="1"/>
  <c r="O412" i="7" s="1"/>
  <c r="O413" i="7" s="1"/>
  <c r="O1141" i="7"/>
  <c r="O1142" i="7" s="1"/>
  <c r="O1143" i="7" s="1"/>
  <c r="O1144" i="7" s="1"/>
  <c r="O1145" i="7" s="1"/>
  <c r="O1146" i="7" s="1"/>
  <c r="O1492" i="7"/>
  <c r="O259" i="7"/>
  <c r="O260" i="7" s="1"/>
  <c r="O261" i="7" s="1"/>
  <c r="O262" i="7" s="1"/>
  <c r="O263" i="7" s="1"/>
  <c r="O264" i="7" s="1"/>
  <c r="O1369" i="7"/>
  <c r="O1370" i="7" s="1"/>
  <c r="O1371" i="7" s="1"/>
  <c r="O1372" i="7" s="1"/>
  <c r="O1373" i="7" s="1"/>
  <c r="O1374" i="7" s="1"/>
  <c r="O860" i="7"/>
  <c r="O1325" i="7"/>
  <c r="O1429" i="7"/>
  <c r="O1430" i="7" s="1"/>
  <c r="O1431" i="7" s="1"/>
  <c r="O1432" i="7" s="1"/>
  <c r="O1433" i="7" s="1"/>
  <c r="O1434" i="7" s="1"/>
  <c r="O1435" i="7" s="1"/>
  <c r="O1436" i="7" s="1"/>
  <c r="O987" i="7"/>
  <c r="O988" i="7" s="1"/>
  <c r="O989" i="7" s="1"/>
  <c r="O1755" i="7"/>
  <c r="O374" i="7"/>
  <c r="O375" i="7" s="1"/>
  <c r="O376" i="7" s="1"/>
  <c r="O377" i="7" s="1"/>
  <c r="O378" i="7" s="1"/>
  <c r="O379" i="7" s="1"/>
  <c r="O380" i="7" s="1"/>
  <c r="O381" i="7" s="1"/>
  <c r="O382" i="7" s="1"/>
  <c r="O1521" i="7"/>
  <c r="O1522" i="7" s="1"/>
  <c r="O1523" i="7" s="1"/>
  <c r="O1524" i="7" s="1"/>
  <c r="O1525" i="7" s="1"/>
  <c r="O1526" i="7" s="1"/>
  <c r="O1205" i="7"/>
  <c r="O1206" i="7" s="1"/>
  <c r="O1207" i="7" s="1"/>
  <c r="O1208" i="7" s="1"/>
  <c r="O1209" i="7" s="1"/>
  <c r="O1210" i="7" s="1"/>
  <c r="O1211" i="7" s="1"/>
  <c r="O1212" i="7" s="1"/>
  <c r="O1213" i="7" s="1"/>
  <c r="O1214" i="7" s="1"/>
  <c r="O865" i="7"/>
  <c r="O866" i="7" s="1"/>
  <c r="O867" i="7" s="1"/>
  <c r="O868" i="7" s="1"/>
  <c r="O869" i="7" s="1"/>
  <c r="O870" i="7" s="1"/>
  <c r="O871" i="7" s="1"/>
  <c r="O872" i="7" s="1"/>
  <c r="O873" i="7" s="1"/>
  <c r="O166" i="7"/>
  <c r="O167" i="7" s="1"/>
  <c r="O168" i="7" s="1"/>
  <c r="O169" i="7" s="1"/>
  <c r="O170" i="7" s="1"/>
  <c r="O171" i="7" s="1"/>
  <c r="O172" i="7" s="1"/>
  <c r="O927" i="7"/>
  <c r="O928" i="7" s="1"/>
  <c r="O929" i="7" s="1"/>
  <c r="O930" i="7" s="1"/>
  <c r="O931" i="7" s="1"/>
  <c r="O932" i="7" s="1"/>
  <c r="O933" i="7" s="1"/>
  <c r="O934" i="7" s="1"/>
  <c r="O935" i="7" s="1"/>
  <c r="O1073" i="7"/>
  <c r="O1074" i="7" s="1"/>
  <c r="O1075" i="7" s="1"/>
  <c r="O1076" i="7" s="1"/>
  <c r="O1077" i="7" s="1"/>
  <c r="O1078" i="7" s="1"/>
  <c r="O1079" i="7" s="1"/>
  <c r="O861" i="7"/>
  <c r="O862" i="7" s="1"/>
  <c r="O863" i="7" s="1"/>
  <c r="O1496" i="7"/>
  <c r="O1497" i="7" s="1"/>
  <c r="O1498" i="7" s="1"/>
  <c r="O1499" i="7" s="1"/>
  <c r="O1500" i="7" s="1"/>
  <c r="O1501" i="7" s="1"/>
  <c r="O1502" i="7" s="1"/>
  <c r="O1503" i="7" s="1"/>
  <c r="O1504" i="7" s="1"/>
  <c r="O1505" i="7" s="1"/>
  <c r="O1506" i="7" s="1"/>
  <c r="O1507" i="7" s="1"/>
  <c r="O1508" i="7" s="1"/>
  <c r="O1080" i="7"/>
  <c r="O1081" i="7" s="1"/>
  <c r="O1082" i="7" s="1"/>
  <c r="O990" i="7"/>
  <c r="O991" i="7" s="1"/>
  <c r="O1806" i="7"/>
  <c r="O503" i="7"/>
  <c r="O504" i="7" s="1"/>
  <c r="O505" i="7" s="1"/>
  <c r="O506" i="7" s="1"/>
  <c r="O507" i="7" s="1"/>
  <c r="O508" i="7" s="1"/>
  <c r="O509" i="7" s="1"/>
  <c r="O510" i="7" s="1"/>
  <c r="O511" i="7" s="1"/>
  <c r="O512" i="7" s="1"/>
  <c r="O513" i="7" s="1"/>
  <c r="O514" i="7" s="1"/>
  <c r="O515" i="7" s="1"/>
  <c r="O516" i="7" s="1"/>
  <c r="O517" i="7" s="1"/>
  <c r="O518" i="7" s="1"/>
  <c r="O477" i="7"/>
  <c r="O478" i="7" s="1"/>
  <c r="O479" i="7" s="1"/>
  <c r="O480" i="7" s="1"/>
  <c r="O481" i="7" s="1"/>
  <c r="O482" i="7" s="1"/>
  <c r="O483" i="7" s="1"/>
  <c r="O484" i="7" s="1"/>
  <c r="O485" i="7" s="1"/>
  <c r="O486" i="7" s="1"/>
  <c r="O487" i="7" s="1"/>
  <c r="O488" i="7" s="1"/>
  <c r="O489" i="7" s="1"/>
  <c r="O1920" i="7"/>
  <c r="O1921" i="7" s="1"/>
  <c r="O1922" i="7" s="1"/>
  <c r="O1272" i="7"/>
  <c r="O1273" i="7" s="1"/>
  <c r="O1274" i="7" s="1"/>
  <c r="O1275" i="7" s="1"/>
  <c r="O367" i="7"/>
  <c r="O368" i="7" s="1"/>
  <c r="O369" i="7" s="1"/>
  <c r="O370" i="7" s="1"/>
  <c r="O371" i="7" s="1"/>
  <c r="O372" i="7" s="1"/>
  <c r="O1179" i="7"/>
  <c r="O1180" i="7" s="1"/>
  <c r="O1181" i="7" s="1"/>
  <c r="O1182" i="7" s="1"/>
  <c r="O1626" i="7"/>
  <c r="O1627" i="7" s="1"/>
  <c r="O1754" i="7"/>
  <c r="O1456" i="7"/>
  <c r="O1457" i="7" s="1"/>
  <c r="O1458" i="7" s="1"/>
  <c r="O1459" i="7" s="1"/>
  <c r="O1460" i="7" s="1"/>
  <c r="O1461" i="7" s="1"/>
  <c r="O1462" i="7" s="1"/>
  <c r="O1463" i="7" s="1"/>
  <c r="O1464" i="7" s="1"/>
  <c r="O1465" i="7" s="1"/>
  <c r="O1466" i="7" s="1"/>
  <c r="O1467" i="7" s="1"/>
  <c r="O1468" i="7" s="1"/>
  <c r="O1469" i="7" s="1"/>
  <c r="O1470" i="7" s="1"/>
  <c r="O1471" i="7" s="1"/>
  <c r="O1472" i="7" s="1"/>
  <c r="O1473" i="7" s="1"/>
  <c r="O1474" i="7" s="1"/>
  <c r="O1475" i="7" s="1"/>
  <c r="O1476" i="7" s="1"/>
  <c r="O1477" i="7" s="1"/>
  <c r="O189" i="7"/>
  <c r="O1807" i="7"/>
  <c r="O1808" i="7" s="1"/>
  <c r="O1809" i="7" s="1"/>
  <c r="O1810" i="7" s="1"/>
  <c r="O1811" i="7" s="1"/>
  <c r="O1812" i="7" s="1"/>
  <c r="O1813" i="7" s="1"/>
  <c r="O1814" i="7" s="1"/>
  <c r="O1815" i="7" s="1"/>
  <c r="O1816" i="7" s="1"/>
  <c r="O1817" i="7" s="1"/>
  <c r="O1818" i="7" s="1"/>
  <c r="O1819" i="7" s="1"/>
  <c r="O1820" i="7" s="1"/>
  <c r="O1821" i="7" s="1"/>
  <c r="O1877" i="7"/>
  <c r="O1878" i="7" s="1"/>
  <c r="O1879" i="7" s="1"/>
  <c r="O1880" i="7" s="1"/>
  <c r="O1881" i="7" s="1"/>
  <c r="O1882" i="7" s="1"/>
  <c r="O1883" i="7" s="1"/>
  <c r="O1884" i="7" s="1"/>
  <c r="O1885" i="7" s="1"/>
  <c r="O1416" i="7"/>
  <c r="O1417" i="7" s="1"/>
  <c r="O1418" i="7" s="1"/>
  <c r="O1419" i="7" s="1"/>
  <c r="O1420" i="7" s="1"/>
  <c r="O1421" i="7" s="1"/>
  <c r="O1422" i="7" s="1"/>
  <c r="O1423" i="7" s="1"/>
  <c r="O1424" i="7" s="1"/>
  <c r="O1425" i="7" s="1"/>
  <c r="O277" i="7"/>
  <c r="O1824" i="7"/>
  <c r="O1825" i="7" s="1"/>
  <c r="O1826" i="7" s="1"/>
  <c r="O1827" i="7" s="1"/>
  <c r="O1828" i="7" s="1"/>
  <c r="O1829" i="7" s="1"/>
  <c r="O1830" i="7" s="1"/>
  <c r="O1831" i="7" s="1"/>
  <c r="O1832" i="7" s="1"/>
  <c r="O1833" i="7" s="1"/>
  <c r="O1834" i="7" s="1"/>
  <c r="O1835" i="7" s="1"/>
  <c r="O1836" i="7" s="1"/>
  <c r="O1837" i="7" s="1"/>
  <c r="O1838" i="7" s="1"/>
  <c r="O1839" i="7" s="1"/>
  <c r="O1840" i="7" s="1"/>
  <c r="O1841" i="7" s="1"/>
  <c r="O835" i="7"/>
  <c r="O1139" i="7"/>
  <c r="O1140" i="7" s="1"/>
  <c r="O1264" i="7"/>
  <c r="O1265" i="7" s="1"/>
  <c r="O111" i="7"/>
  <c r="O112" i="7" s="1"/>
  <c r="O113" i="7" s="1"/>
  <c r="O114" i="7" s="1"/>
  <c r="O115" i="7" s="1"/>
  <c r="O116" i="7" s="1"/>
  <c r="O117" i="7" s="1"/>
  <c r="O118" i="7" s="1"/>
  <c r="O119" i="7" s="1"/>
  <c r="O1894" i="7"/>
  <c r="O1895" i="7" s="1"/>
  <c r="O1896" i="7" s="1"/>
  <c r="O1909" i="7"/>
  <c r="O1910" i="7" s="1"/>
  <c r="O1911" i="7" s="1"/>
  <c r="O1912" i="7" s="1"/>
  <c r="O627" i="7"/>
  <c r="O628" i="7" s="1"/>
  <c r="O24" i="7"/>
  <c r="O1253" i="7"/>
  <c r="O1254" i="7" s="1"/>
  <c r="O470" i="7"/>
  <c r="O471" i="7" s="1"/>
  <c r="O472" i="7" s="1"/>
  <c r="O473" i="7" s="1"/>
  <c r="O474" i="7" s="1"/>
  <c r="O475" i="7" s="1"/>
  <c r="O476" i="7" s="1"/>
  <c r="O1629" i="7"/>
  <c r="O1630" i="7" s="1"/>
  <c r="O1631" i="7" s="1"/>
  <c r="O1632" i="7" s="1"/>
  <c r="O1633" i="7" s="1"/>
  <c r="O1634" i="7" s="1"/>
  <c r="O1635" i="7" s="1"/>
  <c r="O1636" i="7" s="1"/>
  <c r="O1637" i="7" s="1"/>
  <c r="O1638" i="7" s="1"/>
  <c r="O1639" i="7" s="1"/>
  <c r="O1640" i="7" s="1"/>
  <c r="O1641" i="7" s="1"/>
  <c r="O1642" i="7" s="1"/>
  <c r="O1643" i="7" s="1"/>
  <c r="O1644" i="7" s="1"/>
  <c r="O1645" i="7" s="1"/>
  <c r="O1646" i="7" s="1"/>
  <c r="O1647" i="7" s="1"/>
  <c r="O1902" i="7"/>
  <c r="O1903" i="7" s="1"/>
  <c r="O1904" i="7" s="1"/>
  <c r="O1905" i="7" s="1"/>
  <c r="O1906" i="7" s="1"/>
  <c r="O1907" i="7" s="1"/>
  <c r="O960" i="7"/>
  <c r="O961" i="7" s="1"/>
  <c r="O962" i="7" s="1"/>
  <c r="O1355" i="7"/>
  <c r="O1356" i="7" s="1"/>
  <c r="O1357" i="7" s="1"/>
  <c r="O1358" i="7" s="1"/>
  <c r="O1359" i="7" s="1"/>
  <c r="O1360" i="7" s="1"/>
  <c r="O452" i="7"/>
  <c r="O453" i="7" s="1"/>
  <c r="O454" i="7" s="1"/>
  <c r="O1714" i="7"/>
  <c r="O1715" i="7" s="1"/>
  <c r="O1716" i="7" s="1"/>
  <c r="O1717" i="7" s="1"/>
  <c r="O1718" i="7" s="1"/>
  <c r="O1719" i="7" s="1"/>
  <c r="O599" i="7"/>
  <c r="O600" i="7" s="1"/>
  <c r="O1479" i="7"/>
  <c r="O1480" i="7" s="1"/>
  <c r="O1481" i="7" s="1"/>
  <c r="O1482" i="7" s="1"/>
  <c r="O1483" i="7" s="1"/>
  <c r="O1484" i="7" s="1"/>
  <c r="O1485" i="7" s="1"/>
  <c r="O1486" i="7" s="1"/>
  <c r="O1487" i="7" s="1"/>
  <c r="O1488" i="7" s="1"/>
  <c r="O1489" i="7" s="1"/>
  <c r="O1490" i="7" s="1"/>
  <c r="O1491" i="7" s="1"/>
  <c r="O1162" i="7"/>
  <c r="O1163" i="7" s="1"/>
  <c r="O1164" i="7" s="1"/>
  <c r="O1165" i="7" s="1"/>
  <c r="O1166" i="7" s="1"/>
  <c r="O1167" i="7" s="1"/>
  <c r="O1168" i="7" s="1"/>
  <c r="O1169" i="7" s="1"/>
  <c r="O1170" i="7" s="1"/>
  <c r="O1171" i="7" s="1"/>
  <c r="O1172" i="7" s="1"/>
  <c r="O1173" i="7" s="1"/>
  <c r="O1174" i="7" s="1"/>
  <c r="O1175" i="7" s="1"/>
  <c r="O613" i="7"/>
  <c r="O1578" i="7"/>
  <c r="O1579" i="7" s="1"/>
  <c r="O1580" i="7" s="1"/>
  <c r="O1581" i="7" s="1"/>
  <c r="O1582" i="7" s="1"/>
  <c r="O1583" i="7" s="1"/>
  <c r="O1584" i="7" s="1"/>
  <c r="O1585" i="7" s="1"/>
  <c r="O1586" i="7" s="1"/>
  <c r="O1350" i="7"/>
  <c r="O1351" i="7" s="1"/>
  <c r="O1352" i="7" s="1"/>
  <c r="O1353" i="7" s="1"/>
  <c r="O770" i="7"/>
  <c r="O771" i="7" s="1"/>
  <c r="O772" i="7" s="1"/>
  <c r="O773" i="7" s="1"/>
  <c r="O774" i="7" s="1"/>
  <c r="O775" i="7" s="1"/>
  <c r="O776" i="7" s="1"/>
  <c r="O777" i="7" s="1"/>
  <c r="O778" i="7" s="1"/>
  <c r="O779" i="7" s="1"/>
  <c r="O780" i="7" s="1"/>
  <c r="O781" i="7" s="1"/>
  <c r="O782" i="7" s="1"/>
  <c r="O783" i="7" s="1"/>
  <c r="O784" i="7" s="1"/>
  <c r="O785" i="7" s="1"/>
  <c r="O786" i="7" s="1"/>
  <c r="O787" i="7" s="1"/>
  <c r="O788" i="7" s="1"/>
  <c r="O789" i="7" s="1"/>
  <c r="O790" i="7" s="1"/>
  <c r="O791" i="7" s="1"/>
  <c r="O792" i="7" s="1"/>
  <c r="O793" i="7" s="1"/>
  <c r="O794" i="7" s="1"/>
  <c r="O795" i="7" s="1"/>
  <c r="O796" i="7" s="1"/>
  <c r="O797" i="7" s="1"/>
  <c r="O798" i="7" s="1"/>
  <c r="O799" i="7" s="1"/>
  <c r="O800" i="7" s="1"/>
  <c r="O801" i="7" s="1"/>
  <c r="O802" i="7" s="1"/>
  <c r="O803" i="7" s="1"/>
  <c r="O804" i="7" s="1"/>
  <c r="O805" i="7" s="1"/>
  <c r="O806" i="7" s="1"/>
  <c r="O1453" i="7"/>
  <c r="O1454" i="7" s="1"/>
  <c r="O1455" i="7" s="1"/>
  <c r="O906" i="7"/>
  <c r="O907" i="7" s="1"/>
  <c r="O908" i="7" s="1"/>
  <c r="O909" i="7" s="1"/>
  <c r="O910" i="7" s="1"/>
  <c r="O911" i="7" s="1"/>
  <c r="O912" i="7" s="1"/>
  <c r="O913" i="7" s="1"/>
  <c r="O304" i="7"/>
  <c r="O813" i="7"/>
  <c r="O839" i="7"/>
  <c r="O840" i="7" s="1"/>
  <c r="O841" i="7" s="1"/>
  <c r="O842" i="7" s="1"/>
  <c r="O843" i="7" s="1"/>
  <c r="O844" i="7" s="1"/>
  <c r="O1960" i="7"/>
  <c r="O1961" i="7" s="1"/>
  <c r="O1962" i="7" s="1"/>
  <c r="O1963" i="7" s="1"/>
  <c r="O1964" i="7" s="1"/>
  <c r="O1965" i="7" s="1"/>
  <c r="O1966" i="7" s="1"/>
  <c r="O1967" i="7" s="1"/>
  <c r="O1968" i="7" s="1"/>
  <c r="O1969" i="7" s="1"/>
  <c r="O1970" i="7" s="1"/>
  <c r="O1971" i="7" s="1"/>
  <c r="O1972" i="7" s="1"/>
  <c r="O1973" i="7" s="1"/>
  <c r="O1974" i="7" s="1"/>
  <c r="O1792" i="7"/>
  <c r="O17" i="7"/>
  <c r="O18" i="7" s="1"/>
  <c r="O19" i="7" s="1"/>
  <c r="O20" i="7" s="1"/>
  <c r="O21" i="7" s="1"/>
  <c r="O22" i="7" s="1"/>
  <c r="O1255" i="7"/>
  <c r="O1256" i="7" s="1"/>
  <c r="O1257" i="7" s="1"/>
  <c r="O1258" i="7" s="1"/>
  <c r="O243" i="7"/>
  <c r="O244" i="7" s="1"/>
  <c r="O245" i="7" s="1"/>
  <c r="O246" i="7" s="1"/>
  <c r="O247" i="7" s="1"/>
  <c r="O248" i="7" s="1"/>
  <c r="O249" i="7" s="1"/>
  <c r="O250" i="7" s="1"/>
  <c r="O251" i="7" s="1"/>
  <c r="O252" i="7" s="1"/>
  <c r="O253" i="7" s="1"/>
  <c r="O254" i="7" s="1"/>
  <c r="O1336" i="7"/>
  <c r="O30" i="7"/>
  <c r="O31" i="7" s="1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O43" i="7" s="1"/>
  <c r="O44" i="7" s="1"/>
  <c r="O982" i="7" l="1"/>
  <c r="O278" i="7"/>
  <c r="O279" i="7" s="1"/>
  <c r="O280" i="7" s="1"/>
  <c r="O281" i="7" s="1"/>
  <c r="O282" i="7" s="1"/>
  <c r="O283" i="7" s="1"/>
  <c r="O284" i="7" s="1"/>
  <c r="O285" i="7" s="1"/>
  <c r="O286" i="7" s="1"/>
  <c r="O287" i="7" s="1"/>
  <c r="O648" i="7"/>
  <c r="O649" i="7" s="1"/>
  <c r="O650" i="7" s="1"/>
  <c r="O651" i="7" s="1"/>
  <c r="O652" i="7" s="1"/>
  <c r="O653" i="7" s="1"/>
  <c r="O654" i="7" s="1"/>
  <c r="O655" i="7" s="1"/>
  <c r="O656" i="7" s="1"/>
  <c r="O657" i="7" s="1"/>
  <c r="O658" i="7" s="1"/>
  <c r="O659" i="7" s="1"/>
  <c r="O660" i="7" s="1"/>
  <c r="O661" i="7" s="1"/>
  <c r="O662" i="7" s="1"/>
  <c r="O663" i="7" s="1"/>
  <c r="O664" i="7" s="1"/>
  <c r="O665" i="7" s="1"/>
  <c r="O666" i="7" s="1"/>
  <c r="O667" i="7" s="1"/>
  <c r="O668" i="7" s="1"/>
  <c r="O669" i="7" s="1"/>
  <c r="O670" i="7" s="1"/>
  <c r="O671" i="7" s="1"/>
  <c r="O672" i="7" s="1"/>
  <c r="O673" i="7" s="1"/>
  <c r="O674" i="7" s="1"/>
  <c r="O675" i="7" s="1"/>
  <c r="O676" i="7" s="1"/>
  <c r="O677" i="7" s="1"/>
  <c r="O678" i="7" s="1"/>
  <c r="O679" i="7" s="1"/>
  <c r="O680" i="7" s="1"/>
  <c r="O681" i="7" s="1"/>
  <c r="O293" i="7"/>
  <c r="O25" i="7"/>
  <c r="O26" i="7" s="1"/>
  <c r="O27" i="7" s="1"/>
  <c r="O28" i="7" s="1"/>
  <c r="O29" i="7" s="1"/>
</calcChain>
</file>

<file path=xl/sharedStrings.xml><?xml version="1.0" encoding="utf-8"?>
<sst xmlns="http://schemas.openxmlformats.org/spreadsheetml/2006/main" count="37" uniqueCount="37">
  <si>
    <t>Date</t>
  </si>
  <si>
    <t>Open</t>
  </si>
  <si>
    <t>High</t>
  </si>
  <si>
    <t>Low</t>
  </si>
  <si>
    <t>Close</t>
  </si>
  <si>
    <t>Volume</t>
  </si>
  <si>
    <t>Signal</t>
  </si>
  <si>
    <t>Trade</t>
  </si>
  <si>
    <t>Comment</t>
  </si>
  <si>
    <t>Avg Daily Price</t>
  </si>
  <si>
    <t>Price * Volume</t>
  </si>
  <si>
    <t>VWAP</t>
  </si>
  <si>
    <t>VWAP = Cumulative Price * Volume / Cumulative Volume</t>
  </si>
  <si>
    <t>Cumulative P*V (Last 10 Days)</t>
  </si>
  <si>
    <t>Cumulative Volume (Last 10 Days)</t>
  </si>
  <si>
    <t>and do not represent transaction prices from the days trading session</t>
  </si>
  <si>
    <t>We don't include Open prices in the average daily price, because they are pre-market</t>
  </si>
  <si>
    <t>Net Position</t>
  </si>
  <si>
    <t>Trade Price</t>
  </si>
  <si>
    <t>Returns</t>
  </si>
  <si>
    <t>Positive Returns</t>
  </si>
  <si>
    <t>Negative Returns</t>
  </si>
  <si>
    <t>Positive Trades</t>
  </si>
  <si>
    <t>Negative Trades</t>
  </si>
  <si>
    <t>Hit Ratio</t>
  </si>
  <si>
    <t>Average Returns</t>
  </si>
  <si>
    <t>TRADING RULE</t>
  </si>
  <si>
    <t>PERFORMANCE METRICS</t>
  </si>
  <si>
    <t>&lt;--- Close Out Position for Performance Measurement</t>
  </si>
  <si>
    <t>CLOSE OUT FINAL POSITION</t>
  </si>
  <si>
    <t>At the very bottom in RED we close out the net position for performance measurement</t>
  </si>
  <si>
    <t>VWAP CALCULATION</t>
  </si>
  <si>
    <t>IF today's close &gt; VWAP price THEN buy</t>
  </si>
  <si>
    <t>IF today's close &lt; VWAP price THEN sell</t>
  </si>
  <si>
    <t>Don't count the returns of the very first trade setting up our postion</t>
  </si>
  <si>
    <t>INITIAL RETURN</t>
  </si>
  <si>
    <t>Total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</si>
</sst>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0" xfId="0" applyFont="1"/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10" fontId="0" fillId="0" borderId="0" xfId="0" applyNumberFormat="1"/>
    <xf numFmtId="0" fontId="0" fillId="3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164" fontId="0" fillId="0" borderId="0" xfId="0" applyNumberFormat="1"/>
    <xf numFmtId="0" fontId="3" fillId="4" borderId="0" xfId="0" applyFont="1" applyFill="1" applyAlignment="1">
      <alignment horizontal="left" vertical="center"/>
    </xf>
    <xf numFmtId="0" fontId="2" fillId="4" borderId="0" xfId="0" applyFont="1" applyFill="1"/>
    <xf numFmtId="0" fontId="2" fillId="2" borderId="0" xfId="0" applyFon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VWAP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'VWAP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'VWAP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'VWAP Strategy'!$E$2:$E$1988</c:f>
              <c:numCache>
                <c:formatCode>#,##0.00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3-4028-8B5B-5E2507F427C7}"/>
            </c:ext>
          </c:extLst>
        </c:ser>
        <c:ser>
          <c:idx val="1"/>
          <c:order val="1"/>
          <c:tx>
            <c:strRef>
              <c:f>'VWAP Strategy'!$K$1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'VWAP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'VWAP Strategy'!$K$2:$K$1988</c:f>
              <c:numCache>
                <c:formatCode>General</c:formatCode>
                <c:ptCount val="1987"/>
                <c:pt idx="9" formatCode="#,##0.00">
                  <c:v>753.59583613447137</c:v>
                </c:pt>
                <c:pt idx="10" formatCode="#,##0.00">
                  <c:v>759.45152839207401</c:v>
                </c:pt>
                <c:pt idx="11" formatCode="#,##0.00">
                  <c:v>761.66363158124045</c:v>
                </c:pt>
                <c:pt idx="12" formatCode="#,##0.00">
                  <c:v>763.83352805899779</c:v>
                </c:pt>
                <c:pt idx="13" formatCode="#,##0.00">
                  <c:v>768.65564539223078</c:v>
                </c:pt>
                <c:pt idx="14" formatCode="#,##0.00">
                  <c:v>772.66364125531413</c:v>
                </c:pt>
                <c:pt idx="15" formatCode="#,##0.00">
                  <c:v>775.61564705516093</c:v>
                </c:pt>
                <c:pt idx="16" formatCode="#,##0.00">
                  <c:v>777.91950222624916</c:v>
                </c:pt>
                <c:pt idx="17" formatCode="#,##0.00">
                  <c:v>774.43039430267311</c:v>
                </c:pt>
                <c:pt idx="18" formatCode="#,##0.00">
                  <c:v>768.65753878430451</c:v>
                </c:pt>
                <c:pt idx="19" formatCode="#,##0.00">
                  <c:v>764.13079840145417</c:v>
                </c:pt>
                <c:pt idx="20" formatCode="#,##0.00">
                  <c:v>755.99413301194636</c:v>
                </c:pt>
                <c:pt idx="21" formatCode="#,##0.00">
                  <c:v>752.17422376755178</c:v>
                </c:pt>
                <c:pt idx="22" formatCode="#,##0.00">
                  <c:v>748.87168210773712</c:v>
                </c:pt>
                <c:pt idx="23" formatCode="#,##0.00">
                  <c:v>743.37332612800458</c:v>
                </c:pt>
                <c:pt idx="24" formatCode="#,##0.00">
                  <c:v>740.85024859966882</c:v>
                </c:pt>
                <c:pt idx="25" formatCode="#,##0.00">
                  <c:v>737.88170014170362</c:v>
                </c:pt>
                <c:pt idx="26" formatCode="#,##0.00">
                  <c:v>736.20895714405003</c:v>
                </c:pt>
                <c:pt idx="27" formatCode="#,##0.00">
                  <c:v>734.88509273294699</c:v>
                </c:pt>
                <c:pt idx="28" formatCode="#,##0.00">
                  <c:v>736.42588190378638</c:v>
                </c:pt>
                <c:pt idx="29" formatCode="#,##0.00">
                  <c:v>736.23430177226976</c:v>
                </c:pt>
                <c:pt idx="30" formatCode="#,##0.00">
                  <c:v>735.77765473317299</c:v>
                </c:pt>
                <c:pt idx="31" formatCode="#,##0.00">
                  <c:v>736.66949051266454</c:v>
                </c:pt>
                <c:pt idx="32" formatCode="#,##0.00">
                  <c:v>737.86328685717706</c:v>
                </c:pt>
                <c:pt idx="33" formatCode="#,##0.00">
                  <c:v>741.92064170030812</c:v>
                </c:pt>
                <c:pt idx="34" formatCode="#,##0.00">
                  <c:v>743.45691656696715</c:v>
                </c:pt>
                <c:pt idx="35" formatCode="#,##0.00">
                  <c:v>748.82240247611321</c:v>
                </c:pt>
                <c:pt idx="36" formatCode="#,##0.00">
                  <c:v>753.38980723752866</c:v>
                </c:pt>
                <c:pt idx="37" formatCode="#,##0.00">
                  <c:v>756.67968689748955</c:v>
                </c:pt>
                <c:pt idx="38" formatCode="#,##0.00">
                  <c:v>758.86263908270428</c:v>
                </c:pt>
                <c:pt idx="39" formatCode="#,##0.00">
                  <c:v>760.46267485806356</c:v>
                </c:pt>
                <c:pt idx="40" formatCode="#,##0.00">
                  <c:v>761.65444374522224</c:v>
                </c:pt>
                <c:pt idx="41" formatCode="#,##0.00">
                  <c:v>761.99072213917816</c:v>
                </c:pt>
                <c:pt idx="42" formatCode="#,##0.00">
                  <c:v>762.16128666504892</c:v>
                </c:pt>
                <c:pt idx="43" formatCode="#,##0.00">
                  <c:v>763.24488815990151</c:v>
                </c:pt>
                <c:pt idx="44" formatCode="#,##0.00">
                  <c:v>764.45925087453554</c:v>
                </c:pt>
                <c:pt idx="45" formatCode="#,##0.00">
                  <c:v>766.29546628187006</c:v>
                </c:pt>
                <c:pt idx="46" formatCode="#,##0.00">
                  <c:v>768.89898187753499</c:v>
                </c:pt>
                <c:pt idx="47" formatCode="#,##0.00">
                  <c:v>771.47709308068499</c:v>
                </c:pt>
                <c:pt idx="48" formatCode="#,##0.00">
                  <c:v>779.34615023711274</c:v>
                </c:pt>
                <c:pt idx="49" formatCode="#,##0.00">
                  <c:v>785.9505754626972</c:v>
                </c:pt>
                <c:pt idx="50" formatCode="#,##0.00">
                  <c:v>793.95467872159463</c:v>
                </c:pt>
                <c:pt idx="51" formatCode="#,##0.00">
                  <c:v>799.59869248096413</c:v>
                </c:pt>
                <c:pt idx="52" formatCode="#,##0.00">
                  <c:v>803.33406389548406</c:v>
                </c:pt>
                <c:pt idx="53" formatCode="#,##0.00">
                  <c:v>807.99710877326822</c:v>
                </c:pt>
                <c:pt idx="54" formatCode="#,##0.00">
                  <c:v>812.44502193296637</c:v>
                </c:pt>
                <c:pt idx="55" formatCode="#,##0.00">
                  <c:v>819.27238506331116</c:v>
                </c:pt>
                <c:pt idx="56" formatCode="#,##0.00">
                  <c:v>822.62811253749817</c:v>
                </c:pt>
                <c:pt idx="57" formatCode="#,##0.00">
                  <c:v>823.82926372308589</c:v>
                </c:pt>
                <c:pt idx="58" formatCode="#,##0.00">
                  <c:v>824.55756364785725</c:v>
                </c:pt>
                <c:pt idx="59" formatCode="#,##0.00">
                  <c:v>817.86832809054454</c:v>
                </c:pt>
                <c:pt idx="60" formatCode="#,##0.00">
                  <c:v>813.12315087381921</c:v>
                </c:pt>
                <c:pt idx="61" formatCode="#,##0.00">
                  <c:v>810.99630426858062</c:v>
                </c:pt>
                <c:pt idx="62" formatCode="#,##0.00">
                  <c:v>808.7259793965768</c:v>
                </c:pt>
                <c:pt idx="63" formatCode="#,##0.00">
                  <c:v>806.53691507344104</c:v>
                </c:pt>
                <c:pt idx="64" formatCode="#,##0.00">
                  <c:v>804.83100694342329</c:v>
                </c:pt>
                <c:pt idx="65" formatCode="#,##0.00">
                  <c:v>800.79818829111196</c:v>
                </c:pt>
                <c:pt idx="66" formatCode="#,##0.00">
                  <c:v>799.0902725038236</c:v>
                </c:pt>
                <c:pt idx="67" formatCode="#,##0.00">
                  <c:v>799.91603129730993</c:v>
                </c:pt>
                <c:pt idx="68" formatCode="#,##0.00">
                  <c:v>801.98788688676723</c:v>
                </c:pt>
                <c:pt idx="69" formatCode="#,##0.00">
                  <c:v>805.72548951025578</c:v>
                </c:pt>
                <c:pt idx="70" formatCode="#,##0.00">
                  <c:v>807.58957733079842</c:v>
                </c:pt>
                <c:pt idx="71" formatCode="#,##0.00">
                  <c:v>806.61238806522908</c:v>
                </c:pt>
                <c:pt idx="72" formatCode="#,##0.00">
                  <c:v>804.76130334444713</c:v>
                </c:pt>
                <c:pt idx="73" formatCode="#,##0.00">
                  <c:v>803.74380958628672</c:v>
                </c:pt>
                <c:pt idx="74" formatCode="#,##0.00">
                  <c:v>802.58040401014182</c:v>
                </c:pt>
                <c:pt idx="75" formatCode="#,##0.00">
                  <c:v>802.177525110803</c:v>
                </c:pt>
                <c:pt idx="76" formatCode="#,##0.00">
                  <c:v>801.74333077940116</c:v>
                </c:pt>
                <c:pt idx="77" formatCode="#,##0.00">
                  <c:v>798.91631554326398</c:v>
                </c:pt>
                <c:pt idx="78" formatCode="#,##0.00">
                  <c:v>793.50649964789523</c:v>
                </c:pt>
                <c:pt idx="79" formatCode="#,##0.00">
                  <c:v>789.72687319442093</c:v>
                </c:pt>
                <c:pt idx="80" formatCode="#,##0.00">
                  <c:v>784.97694781610915</c:v>
                </c:pt>
                <c:pt idx="81" formatCode="#,##0.00">
                  <c:v>777.54737411528663</c:v>
                </c:pt>
                <c:pt idx="82" formatCode="#,##0.00">
                  <c:v>772.90777777591461</c:v>
                </c:pt>
                <c:pt idx="83" formatCode="#,##0.00">
                  <c:v>770.29082622850819</c:v>
                </c:pt>
                <c:pt idx="84" formatCode="#,##0.00">
                  <c:v>765.41233606576702</c:v>
                </c:pt>
                <c:pt idx="85" formatCode="#,##0.00">
                  <c:v>765.34445234262864</c:v>
                </c:pt>
                <c:pt idx="86" formatCode="#,##0.00">
                  <c:v>763.4870454832909</c:v>
                </c:pt>
                <c:pt idx="87" formatCode="#,##0.00">
                  <c:v>762.40083327981097</c:v>
                </c:pt>
                <c:pt idx="88" formatCode="#,##0.00">
                  <c:v>762.41913294888786</c:v>
                </c:pt>
                <c:pt idx="89" formatCode="#,##0.00">
                  <c:v>762.00881346471851</c:v>
                </c:pt>
                <c:pt idx="90" formatCode="#,##0.00">
                  <c:v>760.42230129215682</c:v>
                </c:pt>
                <c:pt idx="91" formatCode="#,##0.00">
                  <c:v>757.20604041979186</c:v>
                </c:pt>
                <c:pt idx="92" formatCode="#,##0.00">
                  <c:v>752.27735678557394</c:v>
                </c:pt>
                <c:pt idx="93" formatCode="#,##0.00">
                  <c:v>748.70800400141241</c:v>
                </c:pt>
                <c:pt idx="94" formatCode="#,##0.00">
                  <c:v>745.06676654351475</c:v>
                </c:pt>
                <c:pt idx="95" formatCode="#,##0.00">
                  <c:v>738.6848374714084</c:v>
                </c:pt>
                <c:pt idx="96" formatCode="#,##0.00">
                  <c:v>734.34894521166473</c:v>
                </c:pt>
                <c:pt idx="97" formatCode="#,##0.00">
                  <c:v>731.19472736765329</c:v>
                </c:pt>
                <c:pt idx="98" formatCode="#,##0.00">
                  <c:v>731.531014335799</c:v>
                </c:pt>
                <c:pt idx="99" formatCode="#,##0.00">
                  <c:v>730.62191286731752</c:v>
                </c:pt>
                <c:pt idx="100" formatCode="#,##0.00">
                  <c:v>729.69192689482031</c:v>
                </c:pt>
                <c:pt idx="101" formatCode="#,##0.00">
                  <c:v>730.25306202468823</c:v>
                </c:pt>
                <c:pt idx="102" formatCode="#,##0.00">
                  <c:v>732.73822358228608</c:v>
                </c:pt>
                <c:pt idx="103" formatCode="#,##0.00">
                  <c:v>734.66939627338638</c:v>
                </c:pt>
                <c:pt idx="104" formatCode="#,##0.00">
                  <c:v>738.12456923983382</c:v>
                </c:pt>
                <c:pt idx="105" formatCode="#,##0.00">
                  <c:v>740.53865874852647</c:v>
                </c:pt>
                <c:pt idx="106" formatCode="#,##0.00">
                  <c:v>744.54041848248767</c:v>
                </c:pt>
                <c:pt idx="107" formatCode="#,##0.00">
                  <c:v>745.83827186355734</c:v>
                </c:pt>
                <c:pt idx="108" formatCode="#,##0.00">
                  <c:v>747.41585853488948</c:v>
                </c:pt>
                <c:pt idx="109" formatCode="#,##0.00">
                  <c:v>748.77789527527807</c:v>
                </c:pt>
                <c:pt idx="110" formatCode="#,##0.00">
                  <c:v>752.87610749623957</c:v>
                </c:pt>
                <c:pt idx="111" formatCode="#,##0.00">
                  <c:v>755.62274460615163</c:v>
                </c:pt>
                <c:pt idx="112" formatCode="#,##0.00">
                  <c:v>757.91568504199643</c:v>
                </c:pt>
                <c:pt idx="113" formatCode="#,##0.00">
                  <c:v>758.79526527329563</c:v>
                </c:pt>
                <c:pt idx="114" formatCode="#,##0.00">
                  <c:v>760.48136116005116</c:v>
                </c:pt>
                <c:pt idx="115" formatCode="#,##0.00">
                  <c:v>763.28618410528782</c:v>
                </c:pt>
                <c:pt idx="116" formatCode="#,##0.00">
                  <c:v>765.11363798379284</c:v>
                </c:pt>
                <c:pt idx="117" formatCode="#,##0.00">
                  <c:v>772.18092266910799</c:v>
                </c:pt>
                <c:pt idx="118" formatCode="#,##0.00">
                  <c:v>774.76495428892633</c:v>
                </c:pt>
                <c:pt idx="119" formatCode="#,##0.00">
                  <c:v>776.07079353035704</c:v>
                </c:pt>
                <c:pt idx="120" formatCode="#,##0.00">
                  <c:v>775.50881997670785</c:v>
                </c:pt>
                <c:pt idx="121" formatCode="#,##0.00">
                  <c:v>774.22661729292224</c:v>
                </c:pt>
                <c:pt idx="122" formatCode="#,##0.00">
                  <c:v>770.85621473984247</c:v>
                </c:pt>
                <c:pt idx="123" formatCode="#,##0.00">
                  <c:v>765.83812496114456</c:v>
                </c:pt>
                <c:pt idx="124" formatCode="#,##0.00">
                  <c:v>761.53240186264452</c:v>
                </c:pt>
                <c:pt idx="125" formatCode="#,##0.00">
                  <c:v>757.85769878703434</c:v>
                </c:pt>
                <c:pt idx="126" formatCode="#,##0.00">
                  <c:v>756.12211039723741</c:v>
                </c:pt>
                <c:pt idx="127" formatCode="#,##0.00">
                  <c:v>753.59008894792782</c:v>
                </c:pt>
                <c:pt idx="128" formatCode="#,##0.00">
                  <c:v>751.99074607475075</c:v>
                </c:pt>
                <c:pt idx="129" formatCode="#,##0.00">
                  <c:v>752.8649167415806</c:v>
                </c:pt>
                <c:pt idx="130" formatCode="#,##0.00">
                  <c:v>756.12986568990686</c:v>
                </c:pt>
                <c:pt idx="131" formatCode="#,##0.00">
                  <c:v>760.46376821474541</c:v>
                </c:pt>
                <c:pt idx="132" formatCode="#,##0.00">
                  <c:v>763.19009059680707</c:v>
                </c:pt>
                <c:pt idx="133" formatCode="#,##0.00">
                  <c:v>768.26598665559118</c:v>
                </c:pt>
                <c:pt idx="134" formatCode="#,##0.00">
                  <c:v>793.03604871680102</c:v>
                </c:pt>
                <c:pt idx="135" formatCode="#,##0.00">
                  <c:v>797.76991408188587</c:v>
                </c:pt>
                <c:pt idx="136" formatCode="#,##0.00">
                  <c:v>802.12508885460841</c:v>
                </c:pt>
                <c:pt idx="137" formatCode="#,##0.00">
                  <c:v>806.41522657990174</c:v>
                </c:pt>
                <c:pt idx="138" formatCode="#,##0.00">
                  <c:v>808.94358785959707</c:v>
                </c:pt>
                <c:pt idx="139" formatCode="#,##0.00">
                  <c:v>811.60511557091831</c:v>
                </c:pt>
                <c:pt idx="140" formatCode="#,##0.00">
                  <c:v>815.13492115341262</c:v>
                </c:pt>
                <c:pt idx="141" formatCode="#,##0.00">
                  <c:v>821.74352011300971</c:v>
                </c:pt>
                <c:pt idx="142" formatCode="#,##0.00">
                  <c:v>827.80177340316584</c:v>
                </c:pt>
                <c:pt idx="143" formatCode="#,##0.00">
                  <c:v>834.7976063182773</c:v>
                </c:pt>
                <c:pt idx="144" formatCode="#,##0.00">
                  <c:v>843.77990686165276</c:v>
                </c:pt>
                <c:pt idx="145" formatCode="#,##0.00">
                  <c:v>845.24840305098803</c:v>
                </c:pt>
                <c:pt idx="146" formatCode="#,##0.00">
                  <c:v>846.20871061634409</c:v>
                </c:pt>
                <c:pt idx="147" formatCode="#,##0.00">
                  <c:v>849.38953514493414</c:v>
                </c:pt>
                <c:pt idx="148" formatCode="#,##0.00">
                  <c:v>852.26525512669787</c:v>
                </c:pt>
                <c:pt idx="149" formatCode="#,##0.00">
                  <c:v>854.2967389573422</c:v>
                </c:pt>
                <c:pt idx="150" formatCode="#,##0.00">
                  <c:v>856.96322901038968</c:v>
                </c:pt>
                <c:pt idx="151" formatCode="#,##0.00">
                  <c:v>857.9580959518496</c:v>
                </c:pt>
                <c:pt idx="152" formatCode="#,##0.00">
                  <c:v>859.14008925819724</c:v>
                </c:pt>
                <c:pt idx="153" formatCode="#,##0.00">
                  <c:v>860.04673530424679</c:v>
                </c:pt>
                <c:pt idx="154" formatCode="#,##0.00">
                  <c:v>860.12173928609695</c:v>
                </c:pt>
                <c:pt idx="155" formatCode="#,##0.00">
                  <c:v>861.77985977436072</c:v>
                </c:pt>
                <c:pt idx="156" formatCode="#,##0.00">
                  <c:v>862.3678746370889</c:v>
                </c:pt>
                <c:pt idx="157" formatCode="#,##0.00">
                  <c:v>863.47969794868811</c:v>
                </c:pt>
                <c:pt idx="158" formatCode="#,##0.00">
                  <c:v>862.96099989913137</c:v>
                </c:pt>
                <c:pt idx="159" formatCode="#,##0.00">
                  <c:v>862.84461303147407</c:v>
                </c:pt>
                <c:pt idx="160" formatCode="#,##0.00">
                  <c:v>861.67396582738445</c:v>
                </c:pt>
                <c:pt idx="161" formatCode="#,##0.00">
                  <c:v>862.36309798411185</c:v>
                </c:pt>
                <c:pt idx="162" formatCode="#,##0.00">
                  <c:v>863.65455800124562</c:v>
                </c:pt>
                <c:pt idx="163" formatCode="#,##0.00">
                  <c:v>866.3347846286805</c:v>
                </c:pt>
                <c:pt idx="164" formatCode="#,##0.00">
                  <c:v>867.72116586471384</c:v>
                </c:pt>
                <c:pt idx="165" formatCode="#,##0.00">
                  <c:v>867.17624367671419</c:v>
                </c:pt>
                <c:pt idx="166" formatCode="#,##0.00">
                  <c:v>865.45769716734367</c:v>
                </c:pt>
                <c:pt idx="167" formatCode="#,##0.00">
                  <c:v>863.91124406477081</c:v>
                </c:pt>
                <c:pt idx="168" formatCode="#,##0.00">
                  <c:v>861.45925550318361</c:v>
                </c:pt>
                <c:pt idx="169" formatCode="#,##0.00">
                  <c:v>858.44061655657254</c:v>
                </c:pt>
                <c:pt idx="170" formatCode="#,##0.00">
                  <c:v>857.31201297350219</c:v>
                </c:pt>
                <c:pt idx="171" formatCode="#,##0.00">
                  <c:v>856.70044575392592</c:v>
                </c:pt>
                <c:pt idx="172" formatCode="#,##0.00">
                  <c:v>857.9004502219841</c:v>
                </c:pt>
                <c:pt idx="173" formatCode="#,##0.00">
                  <c:v>857.69577082252272</c:v>
                </c:pt>
                <c:pt idx="174" formatCode="#,##0.00">
                  <c:v>859.54249911516661</c:v>
                </c:pt>
                <c:pt idx="175" formatCode="#,##0.00">
                  <c:v>863.60383540936834</c:v>
                </c:pt>
                <c:pt idx="176" formatCode="#,##0.00">
                  <c:v>873.88350943136118</c:v>
                </c:pt>
                <c:pt idx="177" formatCode="#,##0.00">
                  <c:v>877.04417803952424</c:v>
                </c:pt>
                <c:pt idx="178" formatCode="#,##0.00">
                  <c:v>882.64227779293151</c:v>
                </c:pt>
                <c:pt idx="179" formatCode="#,##0.00">
                  <c:v>888.83566397000129</c:v>
                </c:pt>
                <c:pt idx="180" formatCode="#,##0.00">
                  <c:v>899.25903324617218</c:v>
                </c:pt>
                <c:pt idx="181" formatCode="#,##0.00">
                  <c:v>906.43386518879356</c:v>
                </c:pt>
                <c:pt idx="182" formatCode="#,##0.00">
                  <c:v>913.24795402410564</c:v>
                </c:pt>
                <c:pt idx="183" formatCode="#,##0.00">
                  <c:v>917.95322279853019</c:v>
                </c:pt>
                <c:pt idx="184" formatCode="#,##0.00">
                  <c:v>921.73537336490904</c:v>
                </c:pt>
                <c:pt idx="185" formatCode="#,##0.00">
                  <c:v>924.40492835999987</c:v>
                </c:pt>
                <c:pt idx="186" formatCode="#,##0.00">
                  <c:v>926.68534914882594</c:v>
                </c:pt>
                <c:pt idx="187" formatCode="#,##0.00">
                  <c:v>928.36928636560299</c:v>
                </c:pt>
                <c:pt idx="188" formatCode="#,##0.00">
                  <c:v>931.65972369758947</c:v>
                </c:pt>
                <c:pt idx="189" formatCode="#,##0.00">
                  <c:v>934.51876221146233</c:v>
                </c:pt>
                <c:pt idx="190" formatCode="#,##0.00">
                  <c:v>934.87098844999275</c:v>
                </c:pt>
                <c:pt idx="191" formatCode="#,##0.00">
                  <c:v>935.39408592355153</c:v>
                </c:pt>
                <c:pt idx="192" formatCode="#,##0.00">
                  <c:v>936.44991801150024</c:v>
                </c:pt>
                <c:pt idx="193" formatCode="#,##0.00">
                  <c:v>935.63060696986872</c:v>
                </c:pt>
                <c:pt idx="194" formatCode="#,##0.00">
                  <c:v>936.78533687843822</c:v>
                </c:pt>
                <c:pt idx="195" formatCode="#,##0.00">
                  <c:v>939.04477882643903</c:v>
                </c:pt>
                <c:pt idx="196" formatCode="#,##0.00">
                  <c:v>947.24230074150864</c:v>
                </c:pt>
                <c:pt idx="197" formatCode="#,##0.00">
                  <c:v>958.03526228374926</c:v>
                </c:pt>
                <c:pt idx="198" formatCode="#,##0.00">
                  <c:v>960.93291959219891</c:v>
                </c:pt>
                <c:pt idx="199" formatCode="#,##0.00">
                  <c:v>961.47658774264039</c:v>
                </c:pt>
                <c:pt idx="200" formatCode="#,##0.00">
                  <c:v>962.74852941143683</c:v>
                </c:pt>
                <c:pt idx="201" formatCode="#,##0.00">
                  <c:v>963.20464524525767</c:v>
                </c:pt>
                <c:pt idx="202" formatCode="#,##0.00">
                  <c:v>966.04634007009668</c:v>
                </c:pt>
                <c:pt idx="203" formatCode="#,##0.00">
                  <c:v>985.17464187140706</c:v>
                </c:pt>
                <c:pt idx="204" formatCode="#,##0.00">
                  <c:v>996.8777284103395</c:v>
                </c:pt>
                <c:pt idx="205" formatCode="#,##0.00">
                  <c:v>1004.4008549929779</c:v>
                </c:pt>
                <c:pt idx="206" formatCode="#,##0.00">
                  <c:v>1010.0316499630288</c:v>
                </c:pt>
                <c:pt idx="207" formatCode="#,##0.00">
                  <c:v>1016.5065355103768</c:v>
                </c:pt>
                <c:pt idx="208" formatCode="#,##0.00">
                  <c:v>1024.9600571016795</c:v>
                </c:pt>
                <c:pt idx="209" formatCode="#,##0.00">
                  <c:v>1033.1412772035094</c:v>
                </c:pt>
                <c:pt idx="210" formatCode="#,##0.00">
                  <c:v>1037.524241192009</c:v>
                </c:pt>
                <c:pt idx="211" formatCode="#,##0.00">
                  <c:v>1043.1683785992529</c:v>
                </c:pt>
                <c:pt idx="212" formatCode="#,##0.00">
                  <c:v>1050.9904003178713</c:v>
                </c:pt>
                <c:pt idx="213" formatCode="#,##0.00">
                  <c:v>1056.6304789362057</c:v>
                </c:pt>
                <c:pt idx="214" formatCode="#,##0.00">
                  <c:v>1057.5091636544914</c:v>
                </c:pt>
                <c:pt idx="215" formatCode="#,##0.00">
                  <c:v>1062.0204558139196</c:v>
                </c:pt>
                <c:pt idx="216" formatCode="#,##0.00">
                  <c:v>1065.2889626487408</c:v>
                </c:pt>
                <c:pt idx="217" formatCode="#,##0.00">
                  <c:v>1069.2504111847456</c:v>
                </c:pt>
                <c:pt idx="218" formatCode="#,##0.00">
                  <c:v>1070.7374967968863</c:v>
                </c:pt>
                <c:pt idx="219" formatCode="#,##0.00">
                  <c:v>1071.3058851565177</c:v>
                </c:pt>
                <c:pt idx="220" formatCode="#,##0.00">
                  <c:v>1070.8163236682071</c:v>
                </c:pt>
                <c:pt idx="221" formatCode="#,##0.00">
                  <c:v>1069.3086428129313</c:v>
                </c:pt>
                <c:pt idx="222" formatCode="#,##0.00">
                  <c:v>1064.2619352982822</c:v>
                </c:pt>
                <c:pt idx="223" formatCode="#,##0.00">
                  <c:v>1060.6418600260813</c:v>
                </c:pt>
                <c:pt idx="224" formatCode="#,##0.00">
                  <c:v>1057.0506450933542</c:v>
                </c:pt>
                <c:pt idx="225" formatCode="#,##0.00">
                  <c:v>1045.6854919604998</c:v>
                </c:pt>
                <c:pt idx="226" formatCode="#,##0.00">
                  <c:v>1037.4470892862171</c:v>
                </c:pt>
                <c:pt idx="227" formatCode="#,##0.00">
                  <c:v>1035.6544887048526</c:v>
                </c:pt>
                <c:pt idx="228" formatCode="#,##0.00">
                  <c:v>1039.0525708157522</c:v>
                </c:pt>
                <c:pt idx="229" formatCode="#,##0.00">
                  <c:v>1042.6842142580513</c:v>
                </c:pt>
                <c:pt idx="230" formatCode="#,##0.00">
                  <c:v>1046.1230530669352</c:v>
                </c:pt>
                <c:pt idx="231" formatCode="#,##0.00">
                  <c:v>1050.7269835803324</c:v>
                </c:pt>
                <c:pt idx="232" formatCode="#,##0.00">
                  <c:v>1055.2269471355667</c:v>
                </c:pt>
                <c:pt idx="233" formatCode="#,##0.00">
                  <c:v>1059.3126001002511</c:v>
                </c:pt>
                <c:pt idx="234" formatCode="#,##0.00">
                  <c:v>1062.5738655878476</c:v>
                </c:pt>
                <c:pt idx="235" formatCode="#,##0.00">
                  <c:v>1067.943810385475</c:v>
                </c:pt>
                <c:pt idx="236" formatCode="#,##0.00">
                  <c:v>1077.1188705357645</c:v>
                </c:pt>
                <c:pt idx="237" formatCode="#,##0.00">
                  <c:v>1080.9382384624193</c:v>
                </c:pt>
                <c:pt idx="238" formatCode="#,##0.00">
                  <c:v>1082.3051698505797</c:v>
                </c:pt>
                <c:pt idx="239" formatCode="#,##0.00">
                  <c:v>1083.8822443063982</c:v>
                </c:pt>
                <c:pt idx="240" formatCode="#,##0.00">
                  <c:v>1086.0081701168783</c:v>
                </c:pt>
                <c:pt idx="241" formatCode="#,##0.00">
                  <c:v>1093.3021450797326</c:v>
                </c:pt>
                <c:pt idx="242" formatCode="#,##0.00">
                  <c:v>1102.6366582637825</c:v>
                </c:pt>
                <c:pt idx="243" formatCode="#,##0.00">
                  <c:v>1108.6278946873138</c:v>
                </c:pt>
                <c:pt idx="244" formatCode="#,##0.00">
                  <c:v>1114.7791603221481</c:v>
                </c:pt>
                <c:pt idx="245" formatCode="#,##0.00">
                  <c:v>1119.7702963364559</c:v>
                </c:pt>
                <c:pt idx="246" formatCode="#,##0.00">
                  <c:v>1124.4115936354281</c:v>
                </c:pt>
                <c:pt idx="247" formatCode="#,##0.00">
                  <c:v>1129.8312636101527</c:v>
                </c:pt>
                <c:pt idx="248" formatCode="#,##0.00">
                  <c:v>1135.1685875551348</c:v>
                </c:pt>
                <c:pt idx="249" formatCode="#,##0.00">
                  <c:v>1141.7560704445864</c:v>
                </c:pt>
                <c:pt idx="250" formatCode="#,##0.00">
                  <c:v>1149.3485885021348</c:v>
                </c:pt>
                <c:pt idx="251" formatCode="#,##0.00">
                  <c:v>1154.3083023683414</c:v>
                </c:pt>
                <c:pt idx="252" formatCode="#,##0.00">
                  <c:v>1155.2165742232598</c:v>
                </c:pt>
                <c:pt idx="253" formatCode="#,##0.00">
                  <c:v>1153.5744941657622</c:v>
                </c:pt>
                <c:pt idx="254" formatCode="#,##0.00">
                  <c:v>1154.0853730836327</c:v>
                </c:pt>
                <c:pt idx="255" formatCode="#,##0.00">
                  <c:v>1157.5579452558534</c:v>
                </c:pt>
                <c:pt idx="256" formatCode="#,##0.00">
                  <c:v>1158.7995587304013</c:v>
                </c:pt>
                <c:pt idx="257" formatCode="#,##0.00">
                  <c:v>1155.4879232574572</c:v>
                </c:pt>
                <c:pt idx="258" formatCode="#,##0.00">
                  <c:v>1149.0037880426014</c:v>
                </c:pt>
                <c:pt idx="259" formatCode="#,##0.00">
                  <c:v>1146.8785674789526</c:v>
                </c:pt>
                <c:pt idx="260" formatCode="#,##0.00">
                  <c:v>1141.7633089651995</c:v>
                </c:pt>
                <c:pt idx="261" formatCode="#,##0.00">
                  <c:v>1139.296138231161</c:v>
                </c:pt>
                <c:pt idx="262" formatCode="#,##0.00">
                  <c:v>1137.8813431422641</c:v>
                </c:pt>
                <c:pt idx="263" formatCode="#,##0.00">
                  <c:v>1148.7258074145091</c:v>
                </c:pt>
                <c:pt idx="264" formatCode="#,##0.00">
                  <c:v>1151.7097421595258</c:v>
                </c:pt>
                <c:pt idx="265" formatCode="#,##0.00">
                  <c:v>1156.2569872268209</c:v>
                </c:pt>
                <c:pt idx="266" formatCode="#,##0.00">
                  <c:v>1159.7869251489969</c:v>
                </c:pt>
                <c:pt idx="267" formatCode="#,##0.00">
                  <c:v>1164.9550851234521</c:v>
                </c:pt>
                <c:pt idx="268" formatCode="#,##0.00">
                  <c:v>1172.6948883424914</c:v>
                </c:pt>
                <c:pt idx="269" formatCode="#,##0.00">
                  <c:v>1178.8597385262219</c:v>
                </c:pt>
                <c:pt idx="270" formatCode="#,##0.00">
                  <c:v>1186.3001059138678</c:v>
                </c:pt>
                <c:pt idx="271" formatCode="#,##0.00">
                  <c:v>1185.6857434741594</c:v>
                </c:pt>
                <c:pt idx="272" formatCode="#,##0.00">
                  <c:v>1185.6903010511401</c:v>
                </c:pt>
                <c:pt idx="273" formatCode="#,##0.00">
                  <c:v>1183.7534145311665</c:v>
                </c:pt>
                <c:pt idx="274" formatCode="#,##0.00">
                  <c:v>1182.736472419537</c:v>
                </c:pt>
                <c:pt idx="275" formatCode="#,##0.00">
                  <c:v>1177.4004170537885</c:v>
                </c:pt>
                <c:pt idx="276" formatCode="#,##0.00">
                  <c:v>1172.2455323345275</c:v>
                </c:pt>
                <c:pt idx="277" formatCode="#,##0.00">
                  <c:v>1164.4664695779768</c:v>
                </c:pt>
                <c:pt idx="278" formatCode="#,##0.00">
                  <c:v>1153.6955943563726</c:v>
                </c:pt>
                <c:pt idx="279" formatCode="#,##0.00">
                  <c:v>1141.8801761566801</c:v>
                </c:pt>
                <c:pt idx="280" formatCode="#,##0.00">
                  <c:v>1134.5806941662365</c:v>
                </c:pt>
                <c:pt idx="281" formatCode="#,##0.00">
                  <c:v>1129.8960976948013</c:v>
                </c:pt>
                <c:pt idx="282" formatCode="#,##0.00">
                  <c:v>1124.4900049199082</c:v>
                </c:pt>
                <c:pt idx="283" formatCode="#,##0.00">
                  <c:v>1116.1456533901551</c:v>
                </c:pt>
                <c:pt idx="284" formatCode="#,##0.00">
                  <c:v>1112.0576375378671</c:v>
                </c:pt>
                <c:pt idx="285" formatCode="#,##0.00">
                  <c:v>1106.4165260215971</c:v>
                </c:pt>
                <c:pt idx="286" formatCode="#,##0.00">
                  <c:v>1105.1721403922656</c:v>
                </c:pt>
                <c:pt idx="287" formatCode="#,##0.00">
                  <c:v>1104.1528687392856</c:v>
                </c:pt>
                <c:pt idx="288" formatCode="#,##0.00">
                  <c:v>1105.7725021406404</c:v>
                </c:pt>
                <c:pt idx="289" formatCode="#,##0.00">
                  <c:v>1108.921499905651</c:v>
                </c:pt>
                <c:pt idx="290" formatCode="#,##0.00">
                  <c:v>1110.8353020489392</c:v>
                </c:pt>
                <c:pt idx="291" formatCode="#,##0.00">
                  <c:v>1111.9715736925214</c:v>
                </c:pt>
                <c:pt idx="292" formatCode="#,##0.00">
                  <c:v>1114.0708095093494</c:v>
                </c:pt>
                <c:pt idx="293" formatCode="#,##0.00">
                  <c:v>1117.6948452049805</c:v>
                </c:pt>
                <c:pt idx="294" formatCode="#,##0.00">
                  <c:v>1119.7371091747923</c:v>
                </c:pt>
                <c:pt idx="295" formatCode="#,##0.00">
                  <c:v>1120.6076187317417</c:v>
                </c:pt>
                <c:pt idx="296" formatCode="#,##0.00">
                  <c:v>1121.1633846134112</c:v>
                </c:pt>
                <c:pt idx="297" formatCode="#,##0.00">
                  <c:v>1120.2058344789289</c:v>
                </c:pt>
                <c:pt idx="298" formatCode="#,##0.00">
                  <c:v>1119.0036738640663</c:v>
                </c:pt>
                <c:pt idx="299" formatCode="#,##0.00">
                  <c:v>1113.9534142454841</c:v>
                </c:pt>
                <c:pt idx="300" formatCode="#,##0.00">
                  <c:v>1112.0000899722354</c:v>
                </c:pt>
                <c:pt idx="301" formatCode="#,##0.00">
                  <c:v>1108.3090668167029</c:v>
                </c:pt>
                <c:pt idx="302" formatCode="#,##0.00">
                  <c:v>1107.4801835879059</c:v>
                </c:pt>
                <c:pt idx="303" formatCode="#,##0.00">
                  <c:v>1103.8508184719981</c:v>
                </c:pt>
                <c:pt idx="304" formatCode="#,##0.00">
                  <c:v>1100.1610261663998</c:v>
                </c:pt>
                <c:pt idx="305" formatCode="#,##0.00">
                  <c:v>1096.7505699077983</c:v>
                </c:pt>
                <c:pt idx="306" formatCode="#,##0.00">
                  <c:v>1091.4411321939253</c:v>
                </c:pt>
                <c:pt idx="307" formatCode="#,##0.00">
                  <c:v>1084.5833607245647</c:v>
                </c:pt>
                <c:pt idx="308" formatCode="#,##0.00">
                  <c:v>1083.22605477667</c:v>
                </c:pt>
                <c:pt idx="309" formatCode="#,##0.00">
                  <c:v>1088.2418410372163</c:v>
                </c:pt>
                <c:pt idx="310" formatCode="#,##0.00">
                  <c:v>1090.7761625503647</c:v>
                </c:pt>
                <c:pt idx="311" formatCode="#,##0.00">
                  <c:v>1096.5625901256144</c:v>
                </c:pt>
                <c:pt idx="312" formatCode="#,##0.00">
                  <c:v>1099.8715530181807</c:v>
                </c:pt>
                <c:pt idx="313" formatCode="#,##0.00">
                  <c:v>1116.5671318743846</c:v>
                </c:pt>
                <c:pt idx="314" formatCode="#,##0.00">
                  <c:v>1121.9379718047305</c:v>
                </c:pt>
                <c:pt idx="315" formatCode="#,##0.00">
                  <c:v>1131.2099679765588</c:v>
                </c:pt>
                <c:pt idx="316" formatCode="#,##0.00">
                  <c:v>1144.3792075882504</c:v>
                </c:pt>
                <c:pt idx="317" formatCode="#,##0.00">
                  <c:v>1161.7160764736748</c:v>
                </c:pt>
                <c:pt idx="318" formatCode="#,##0.00">
                  <c:v>1172.291374407087</c:v>
                </c:pt>
                <c:pt idx="319" formatCode="#,##0.00">
                  <c:v>1182.0459972150056</c:v>
                </c:pt>
                <c:pt idx="320" formatCode="#,##0.00">
                  <c:v>1187.1221636097966</c:v>
                </c:pt>
                <c:pt idx="321" formatCode="#,##0.00">
                  <c:v>1194.4815259815475</c:v>
                </c:pt>
                <c:pt idx="322" formatCode="#,##0.00">
                  <c:v>1197.770900647615</c:v>
                </c:pt>
                <c:pt idx="323" formatCode="#,##0.00">
                  <c:v>1194.8347755548536</c:v>
                </c:pt>
                <c:pt idx="324" formatCode="#,##0.00">
                  <c:v>1192.2121951383801</c:v>
                </c:pt>
                <c:pt idx="325" formatCode="#,##0.00">
                  <c:v>1193.5623875045135</c:v>
                </c:pt>
                <c:pt idx="326" formatCode="#,##0.00">
                  <c:v>1194.6643034474469</c:v>
                </c:pt>
                <c:pt idx="327" formatCode="#,##0.00">
                  <c:v>1192.9845132032799</c:v>
                </c:pt>
                <c:pt idx="328" formatCode="#,##0.00">
                  <c:v>1192.3938759789421</c:v>
                </c:pt>
                <c:pt idx="329" formatCode="#,##0.00">
                  <c:v>1191.9184309769487</c:v>
                </c:pt>
                <c:pt idx="330" formatCode="#,##0.00">
                  <c:v>1190.9745712234164</c:v>
                </c:pt>
                <c:pt idx="331" formatCode="#,##0.00">
                  <c:v>1189.262710922947</c:v>
                </c:pt>
                <c:pt idx="332" formatCode="#,##0.00">
                  <c:v>1187.2169322022919</c:v>
                </c:pt>
                <c:pt idx="333" formatCode="#,##0.00">
                  <c:v>1188.9481348151121</c:v>
                </c:pt>
                <c:pt idx="334" formatCode="#,##0.00">
                  <c:v>1187.6283787420755</c:v>
                </c:pt>
                <c:pt idx="335" formatCode="#,##0.00">
                  <c:v>1181.8456695061777</c:v>
                </c:pt>
                <c:pt idx="336" formatCode="#,##0.00">
                  <c:v>1162.9101567360647</c:v>
                </c:pt>
                <c:pt idx="337" formatCode="#,##0.00">
                  <c:v>1156.0788312445261</c:v>
                </c:pt>
                <c:pt idx="338" formatCode="#,##0.00">
                  <c:v>1149.5307660346621</c:v>
                </c:pt>
                <c:pt idx="339" formatCode="#,##0.00">
                  <c:v>1145.621998051367</c:v>
                </c:pt>
                <c:pt idx="340" formatCode="#,##0.00">
                  <c:v>1138.9190242263244</c:v>
                </c:pt>
                <c:pt idx="341" formatCode="#,##0.00">
                  <c:v>1135.2352912101765</c:v>
                </c:pt>
                <c:pt idx="342" formatCode="#,##0.00">
                  <c:v>1132.871628830995</c:v>
                </c:pt>
                <c:pt idx="343" formatCode="#,##0.00">
                  <c:v>1132.0243447570654</c:v>
                </c:pt>
                <c:pt idx="344" formatCode="#,##0.00">
                  <c:v>1134.3661995164746</c:v>
                </c:pt>
                <c:pt idx="345" formatCode="#,##0.00">
                  <c:v>1138.6345850775069</c:v>
                </c:pt>
                <c:pt idx="346" formatCode="#,##0.00">
                  <c:v>1142.200654980413</c:v>
                </c:pt>
                <c:pt idx="347" formatCode="#,##0.00">
                  <c:v>1144.4955772382484</c:v>
                </c:pt>
                <c:pt idx="348" formatCode="#,##0.00">
                  <c:v>1145.4338151492284</c:v>
                </c:pt>
                <c:pt idx="349" formatCode="#,##0.00">
                  <c:v>1144.7165829112341</c:v>
                </c:pt>
                <c:pt idx="350" formatCode="#,##0.00">
                  <c:v>1146.9014606525511</c:v>
                </c:pt>
                <c:pt idx="351" formatCode="#,##0.00">
                  <c:v>1149.1545744593491</c:v>
                </c:pt>
                <c:pt idx="352" formatCode="#,##0.00">
                  <c:v>1151.3441824014203</c:v>
                </c:pt>
                <c:pt idx="353" formatCode="#,##0.00">
                  <c:v>1153.7780056346448</c:v>
                </c:pt>
                <c:pt idx="354" formatCode="#,##0.00">
                  <c:v>1154.7688242364259</c:v>
                </c:pt>
                <c:pt idx="355" formatCode="#,##0.00">
                  <c:v>1154.7696848718394</c:v>
                </c:pt>
                <c:pt idx="356" formatCode="#,##0.00">
                  <c:v>1152.7774766270127</c:v>
                </c:pt>
                <c:pt idx="357" formatCode="#,##0.00">
                  <c:v>1151.9712306867591</c:v>
                </c:pt>
                <c:pt idx="358" formatCode="#,##0.00">
                  <c:v>1154.1999868487303</c:v>
                </c:pt>
                <c:pt idx="359" formatCode="#,##0.00">
                  <c:v>1159.510401318759</c:v>
                </c:pt>
                <c:pt idx="360" formatCode="#,##0.00">
                  <c:v>1166.7229175155267</c:v>
                </c:pt>
                <c:pt idx="361" formatCode="#,##0.00">
                  <c:v>1172.8328671830661</c:v>
                </c:pt>
                <c:pt idx="362" formatCode="#,##0.00">
                  <c:v>1174.9432771661989</c:v>
                </c:pt>
                <c:pt idx="363" formatCode="#,##0.00">
                  <c:v>1177.9097102923322</c:v>
                </c:pt>
                <c:pt idx="364" formatCode="#,##0.00">
                  <c:v>1179.7529439049429</c:v>
                </c:pt>
                <c:pt idx="365" formatCode="#,##0.00">
                  <c:v>1179.0011507888446</c:v>
                </c:pt>
                <c:pt idx="366" formatCode="#,##0.00">
                  <c:v>1171.9733324178271</c:v>
                </c:pt>
                <c:pt idx="367" formatCode="#,##0.00">
                  <c:v>1156.7404271780263</c:v>
                </c:pt>
                <c:pt idx="368" formatCode="#,##0.00">
                  <c:v>1148.9224006066363</c:v>
                </c:pt>
                <c:pt idx="369" formatCode="#,##0.00">
                  <c:v>1141.1512719551226</c:v>
                </c:pt>
                <c:pt idx="370" formatCode="#,##0.00">
                  <c:v>1133.7127630947268</c:v>
                </c:pt>
                <c:pt idx="371" formatCode="#,##0.00">
                  <c:v>1126.2554375542732</c:v>
                </c:pt>
                <c:pt idx="372" formatCode="#,##0.00">
                  <c:v>1122.5903375129928</c:v>
                </c:pt>
                <c:pt idx="373" formatCode="#,##0.00">
                  <c:v>1120.1914454105822</c:v>
                </c:pt>
                <c:pt idx="374" formatCode="#,##0.00">
                  <c:v>1118.5095846088398</c:v>
                </c:pt>
                <c:pt idx="375" formatCode="#,##0.00">
                  <c:v>1124.6786186527956</c:v>
                </c:pt>
                <c:pt idx="376" formatCode="#,##0.00">
                  <c:v>1128.481745169355</c:v>
                </c:pt>
                <c:pt idx="377" formatCode="#,##0.00">
                  <c:v>1139.7198912196338</c:v>
                </c:pt>
                <c:pt idx="378" formatCode="#,##0.00">
                  <c:v>1148.0917568003904</c:v>
                </c:pt>
                <c:pt idx="379" formatCode="#,##0.00">
                  <c:v>1157.1978330428763</c:v>
                </c:pt>
                <c:pt idx="380" formatCode="#,##0.00">
                  <c:v>1166.6720198298231</c:v>
                </c:pt>
                <c:pt idx="381" formatCode="#,##0.00">
                  <c:v>1175.0453339064288</c:v>
                </c:pt>
                <c:pt idx="382" formatCode="#,##0.00">
                  <c:v>1178.0295738373261</c:v>
                </c:pt>
                <c:pt idx="383" formatCode="#,##0.00">
                  <c:v>1173.7819797319312</c:v>
                </c:pt>
                <c:pt idx="384" formatCode="#,##0.00">
                  <c:v>1170.9752285184566</c:v>
                </c:pt>
                <c:pt idx="385" formatCode="#,##0.00">
                  <c:v>1160.5974624669273</c:v>
                </c:pt>
                <c:pt idx="386" formatCode="#,##0.00">
                  <c:v>1157.8493623735501</c:v>
                </c:pt>
                <c:pt idx="387" formatCode="#,##0.00">
                  <c:v>1154.4068717938787</c:v>
                </c:pt>
                <c:pt idx="388" formatCode="#,##0.00">
                  <c:v>1151.8192871693882</c:v>
                </c:pt>
                <c:pt idx="389" formatCode="#,##0.00">
                  <c:v>1149.4925381073831</c:v>
                </c:pt>
                <c:pt idx="390" formatCode="#,##0.00">
                  <c:v>1145.2617272511836</c:v>
                </c:pt>
                <c:pt idx="391" formatCode="#,##0.00">
                  <c:v>1141.1296503760439</c:v>
                </c:pt>
                <c:pt idx="392" formatCode="#,##0.00">
                  <c:v>1139.5718096396376</c:v>
                </c:pt>
                <c:pt idx="393" formatCode="#,##0.00">
                  <c:v>1140.181405121871</c:v>
                </c:pt>
                <c:pt idx="394" formatCode="#,##0.00">
                  <c:v>1139.5561994946486</c:v>
                </c:pt>
                <c:pt idx="395" formatCode="#,##0.00">
                  <c:v>1139.7696845476592</c:v>
                </c:pt>
                <c:pt idx="396" formatCode="#,##0.00">
                  <c:v>1135.517308453537</c:v>
                </c:pt>
                <c:pt idx="397" formatCode="#,##0.00">
                  <c:v>1135.8793395289147</c:v>
                </c:pt>
                <c:pt idx="398" formatCode="#,##0.00">
                  <c:v>1135.3448088402181</c:v>
                </c:pt>
                <c:pt idx="399" formatCode="#,##0.00">
                  <c:v>1132.4695068888448</c:v>
                </c:pt>
                <c:pt idx="400" formatCode="#,##0.00">
                  <c:v>1129.7331999909497</c:v>
                </c:pt>
                <c:pt idx="401" formatCode="#,##0.00">
                  <c:v>1116.8632601036791</c:v>
                </c:pt>
                <c:pt idx="402" formatCode="#,##0.00">
                  <c:v>1093.8224815431054</c:v>
                </c:pt>
                <c:pt idx="403" formatCode="#,##0.00">
                  <c:v>1061.3440831638916</c:v>
                </c:pt>
                <c:pt idx="404" formatCode="#,##0.00">
                  <c:v>1047.0727914256138</c:v>
                </c:pt>
                <c:pt idx="405" formatCode="#,##0.00">
                  <c:v>1033.4193271573452</c:v>
                </c:pt>
                <c:pt idx="406" formatCode="#,##0.00">
                  <c:v>1022.2168871101943</c:v>
                </c:pt>
                <c:pt idx="407" formatCode="#,##0.00">
                  <c:v>1013.4944317789489</c:v>
                </c:pt>
                <c:pt idx="408" formatCode="#,##0.00">
                  <c:v>1006.4888699753982</c:v>
                </c:pt>
                <c:pt idx="409" formatCode="#,##0.00">
                  <c:v>997.44387761451219</c:v>
                </c:pt>
                <c:pt idx="410" formatCode="#,##0.00">
                  <c:v>983.27233836036589</c:v>
                </c:pt>
                <c:pt idx="411" formatCode="#,##0.00">
                  <c:v>970.65085247037939</c:v>
                </c:pt>
                <c:pt idx="412" formatCode="#,##0.00">
                  <c:v>964.04649733854183</c:v>
                </c:pt>
                <c:pt idx="413" formatCode="#,##0.00">
                  <c:v>963.76902328482686</c:v>
                </c:pt>
                <c:pt idx="414" formatCode="#,##0.00">
                  <c:v>958.73181235015556</c:v>
                </c:pt>
                <c:pt idx="415" formatCode="#,##0.00">
                  <c:v>957.03028969947991</c:v>
                </c:pt>
                <c:pt idx="416" formatCode="#,##0.00">
                  <c:v>962.9355329732515</c:v>
                </c:pt>
                <c:pt idx="417" formatCode="#,##0.00">
                  <c:v>972.63185036244545</c:v>
                </c:pt>
                <c:pt idx="418" formatCode="#,##0.00">
                  <c:v>976.83297689225674</c:v>
                </c:pt>
                <c:pt idx="419" formatCode="#,##0.00">
                  <c:v>980.48637200931375</c:v>
                </c:pt>
                <c:pt idx="420" formatCode="#,##0.00">
                  <c:v>992.09933697318388</c:v>
                </c:pt>
                <c:pt idx="421" formatCode="#,##0.00">
                  <c:v>1002.2591628640314</c:v>
                </c:pt>
                <c:pt idx="422" formatCode="#,##0.00">
                  <c:v>1010.567464782258</c:v>
                </c:pt>
                <c:pt idx="423" formatCode="#,##0.00">
                  <c:v>1015.3303198231125</c:v>
                </c:pt>
                <c:pt idx="424" formatCode="#,##0.00">
                  <c:v>1019.4365171020194</c:v>
                </c:pt>
                <c:pt idx="425" formatCode="#,##0.00">
                  <c:v>1023.2148859233222</c:v>
                </c:pt>
                <c:pt idx="426" formatCode="#,##0.00">
                  <c:v>1024.6572052321783</c:v>
                </c:pt>
                <c:pt idx="427" formatCode="#,##0.00">
                  <c:v>1023.3794430046286</c:v>
                </c:pt>
                <c:pt idx="428" formatCode="#,##0.00">
                  <c:v>1023.9036483482184</c:v>
                </c:pt>
                <c:pt idx="429" formatCode="#,##0.00">
                  <c:v>1024.1227884449204</c:v>
                </c:pt>
                <c:pt idx="430" formatCode="#,##0.00">
                  <c:v>1025.8476009575184</c:v>
                </c:pt>
                <c:pt idx="431" formatCode="#,##0.00">
                  <c:v>1026.4316583715977</c:v>
                </c:pt>
                <c:pt idx="432" formatCode="#,##0.00">
                  <c:v>1022.8086826842276</c:v>
                </c:pt>
                <c:pt idx="433" formatCode="#,##0.00">
                  <c:v>1018.983624023818</c:v>
                </c:pt>
                <c:pt idx="434" formatCode="#,##0.00">
                  <c:v>1019.0872229443444</c:v>
                </c:pt>
                <c:pt idx="435" formatCode="#,##0.00">
                  <c:v>1022.0663979235397</c:v>
                </c:pt>
                <c:pt idx="436" formatCode="#,##0.00">
                  <c:v>1026.6702999909219</c:v>
                </c:pt>
                <c:pt idx="437" formatCode="#,##0.00">
                  <c:v>1030.0967682035266</c:v>
                </c:pt>
                <c:pt idx="438" formatCode="#,##0.00">
                  <c:v>1029.8525331398571</c:v>
                </c:pt>
                <c:pt idx="439" formatCode="#,##0.00">
                  <c:v>1031.0379698590491</c:v>
                </c:pt>
                <c:pt idx="440" formatCode="#,##0.00">
                  <c:v>1031.1704118354987</c:v>
                </c:pt>
                <c:pt idx="441" formatCode="#,##0.00">
                  <c:v>1031.458489801639</c:v>
                </c:pt>
                <c:pt idx="442" formatCode="#,##0.00">
                  <c:v>1036.2999153953037</c:v>
                </c:pt>
                <c:pt idx="443" formatCode="#,##0.00">
                  <c:v>1043.2627367751732</c:v>
                </c:pt>
                <c:pt idx="444" formatCode="#,##0.00">
                  <c:v>1048.295406091162</c:v>
                </c:pt>
                <c:pt idx="445" formatCode="#,##0.00">
                  <c:v>1053.7196922571397</c:v>
                </c:pt>
                <c:pt idx="446" formatCode="#,##0.00">
                  <c:v>1058.7886371828006</c:v>
                </c:pt>
                <c:pt idx="447" formatCode="#,##0.00">
                  <c:v>1068.3070569182328</c:v>
                </c:pt>
                <c:pt idx="448" formatCode="#,##0.00">
                  <c:v>1075.1137180777669</c:v>
                </c:pt>
                <c:pt idx="449" formatCode="#,##0.00">
                  <c:v>1070.202062459032</c:v>
                </c:pt>
                <c:pt idx="450" formatCode="#,##0.00">
                  <c:v>1070.7196098901763</c:v>
                </c:pt>
                <c:pt idx="451" formatCode="#,##0.00">
                  <c:v>1070.8351334352089</c:v>
                </c:pt>
                <c:pt idx="452" formatCode="#,##0.00">
                  <c:v>1071.4900189992463</c:v>
                </c:pt>
                <c:pt idx="453" formatCode="#,##0.00">
                  <c:v>1072.5625234180748</c:v>
                </c:pt>
                <c:pt idx="454" formatCode="#,##0.00">
                  <c:v>1076.106997226663</c:v>
                </c:pt>
                <c:pt idx="455" formatCode="#,##0.00">
                  <c:v>1076.2312075059326</c:v>
                </c:pt>
                <c:pt idx="456" formatCode="#,##0.00">
                  <c:v>1077.7931452865253</c:v>
                </c:pt>
                <c:pt idx="457" formatCode="#,##0.00">
                  <c:v>1072.0498376958024</c:v>
                </c:pt>
                <c:pt idx="458" formatCode="#,##0.00">
                  <c:v>1066.5479890409936</c:v>
                </c:pt>
                <c:pt idx="459" formatCode="#,##0.00">
                  <c:v>1082.6095171739685</c:v>
                </c:pt>
                <c:pt idx="460" formatCode="#,##0.00">
                  <c:v>1090.3113054412061</c:v>
                </c:pt>
                <c:pt idx="461" formatCode="#,##0.00">
                  <c:v>1096.7797904648371</c:v>
                </c:pt>
                <c:pt idx="462" formatCode="#,##0.00">
                  <c:v>1102.516713888944</c:v>
                </c:pt>
                <c:pt idx="463" formatCode="#,##0.00">
                  <c:v>1110.0209832622122</c:v>
                </c:pt>
                <c:pt idx="464" formatCode="#,##0.00">
                  <c:v>1115.9793299253818</c:v>
                </c:pt>
                <c:pt idx="465" formatCode="#,##0.00">
                  <c:v>1118.2088720440534</c:v>
                </c:pt>
                <c:pt idx="466" formatCode="#,##0.00">
                  <c:v>1118.0136745667555</c:v>
                </c:pt>
                <c:pt idx="467" formatCode="#,##0.00">
                  <c:v>1117.8955909686056</c:v>
                </c:pt>
                <c:pt idx="468" formatCode="#,##0.00">
                  <c:v>1118.304296525328</c:v>
                </c:pt>
                <c:pt idx="469" formatCode="#,##0.00">
                  <c:v>1115.650806114015</c:v>
                </c:pt>
                <c:pt idx="470" formatCode="#,##0.00">
                  <c:v>1111.7201023407865</c:v>
                </c:pt>
                <c:pt idx="471" formatCode="#,##0.00">
                  <c:v>1107.6414945024489</c:v>
                </c:pt>
                <c:pt idx="472" formatCode="#,##0.00">
                  <c:v>1103.6863323164573</c:v>
                </c:pt>
                <c:pt idx="473" formatCode="#,##0.00">
                  <c:v>1096.7515049623771</c:v>
                </c:pt>
                <c:pt idx="474" formatCode="#,##0.00">
                  <c:v>1090.0446096959085</c:v>
                </c:pt>
                <c:pt idx="475" formatCode="#,##0.00">
                  <c:v>1085.2896368715865</c:v>
                </c:pt>
                <c:pt idx="476" formatCode="#,##0.00">
                  <c:v>1083.7977520065051</c:v>
                </c:pt>
                <c:pt idx="477" formatCode="#,##0.00">
                  <c:v>1084.3403853988211</c:v>
                </c:pt>
                <c:pt idx="478" formatCode="#,##0.00">
                  <c:v>1087.4561832585034</c:v>
                </c:pt>
                <c:pt idx="479" formatCode="#,##0.00">
                  <c:v>1097.6808934932769</c:v>
                </c:pt>
                <c:pt idx="480" formatCode="#,##0.00">
                  <c:v>1104.7220112619941</c:v>
                </c:pt>
                <c:pt idx="481" formatCode="#,##0.00">
                  <c:v>1116.2102813508341</c:v>
                </c:pt>
                <c:pt idx="482" formatCode="#,##0.00">
                  <c:v>1128.3870359164473</c:v>
                </c:pt>
                <c:pt idx="483" formatCode="#,##0.00">
                  <c:v>1140.1910866281892</c:v>
                </c:pt>
                <c:pt idx="484" formatCode="#,##0.00">
                  <c:v>1149.743343530165</c:v>
                </c:pt>
                <c:pt idx="485" formatCode="#,##0.00">
                  <c:v>1156.4982769419951</c:v>
                </c:pt>
                <c:pt idx="486" formatCode="#,##0.00">
                  <c:v>1164.4037915221268</c:v>
                </c:pt>
                <c:pt idx="487" formatCode="#,##0.00">
                  <c:v>1172.4500562034325</c:v>
                </c:pt>
                <c:pt idx="488" formatCode="#,##0.00">
                  <c:v>1173.1749858560975</c:v>
                </c:pt>
                <c:pt idx="489" formatCode="#,##0.00">
                  <c:v>1170.2136598349559</c:v>
                </c:pt>
                <c:pt idx="490" formatCode="#,##0.00">
                  <c:v>1168.0475241415672</c:v>
                </c:pt>
                <c:pt idx="491" formatCode="#,##0.00">
                  <c:v>1165.017031464213</c:v>
                </c:pt>
                <c:pt idx="492" formatCode="#,##0.00">
                  <c:v>1162.5749287520109</c:v>
                </c:pt>
                <c:pt idx="493" formatCode="#,##0.00">
                  <c:v>1161.1490880311642</c:v>
                </c:pt>
                <c:pt idx="494" formatCode="#,##0.00">
                  <c:v>1160.8575672656741</c:v>
                </c:pt>
                <c:pt idx="495" formatCode="#,##0.00">
                  <c:v>1159.0723354905879</c:v>
                </c:pt>
                <c:pt idx="496" formatCode="#,##0.00">
                  <c:v>1156.7659418353473</c:v>
                </c:pt>
                <c:pt idx="497" formatCode="#,##0.00">
                  <c:v>1154.3855021946879</c:v>
                </c:pt>
                <c:pt idx="498" formatCode="#,##0.00">
                  <c:v>1155.4548334509689</c:v>
                </c:pt>
                <c:pt idx="499" formatCode="#,##0.00">
                  <c:v>1160.9281563676295</c:v>
                </c:pt>
                <c:pt idx="500" formatCode="#,##0.00">
                  <c:v>1168.0242755211773</c:v>
                </c:pt>
                <c:pt idx="501" formatCode="#,##0.00">
                  <c:v>1173.0661424516172</c:v>
                </c:pt>
                <c:pt idx="502" formatCode="#,##0.00">
                  <c:v>1175.8346230407524</c:v>
                </c:pt>
                <c:pt idx="503" formatCode="#,##0.00">
                  <c:v>1177.2301895135295</c:v>
                </c:pt>
                <c:pt idx="504" formatCode="#,##0.00">
                  <c:v>1177.1860296286402</c:v>
                </c:pt>
                <c:pt idx="505" formatCode="#,##0.00">
                  <c:v>1176.6153231898384</c:v>
                </c:pt>
                <c:pt idx="506" formatCode="#,##0.00">
                  <c:v>1175.6334154983156</c:v>
                </c:pt>
                <c:pt idx="507" formatCode="#,##0.00">
                  <c:v>1169.8223082425845</c:v>
                </c:pt>
                <c:pt idx="508" formatCode="#,##0.00">
                  <c:v>1146.8474447343244</c:v>
                </c:pt>
                <c:pt idx="509" formatCode="#,##0.00">
                  <c:v>1138.1739275384314</c:v>
                </c:pt>
                <c:pt idx="510" formatCode="#,##0.00">
                  <c:v>1130.35617586382</c:v>
                </c:pt>
                <c:pt idx="511" formatCode="#,##0.00">
                  <c:v>1124.5370253921944</c:v>
                </c:pt>
                <c:pt idx="512" formatCode="#,##0.00">
                  <c:v>1108.2229359628589</c:v>
                </c:pt>
                <c:pt idx="513" formatCode="#,##0.00">
                  <c:v>1102.573340841137</c:v>
                </c:pt>
                <c:pt idx="514" formatCode="#,##0.00">
                  <c:v>1101.2664753088775</c:v>
                </c:pt>
                <c:pt idx="515" formatCode="#,##0.00">
                  <c:v>1098.2753173994793</c:v>
                </c:pt>
                <c:pt idx="516" formatCode="#,##0.00">
                  <c:v>1092.4548721962497</c:v>
                </c:pt>
                <c:pt idx="517" formatCode="#,##0.00">
                  <c:v>1086.8735863061836</c:v>
                </c:pt>
                <c:pt idx="518" formatCode="#,##0.00">
                  <c:v>1088.6434809538446</c:v>
                </c:pt>
                <c:pt idx="519" formatCode="#,##0.00">
                  <c:v>1090.0621570609328</c:v>
                </c:pt>
                <c:pt idx="520" formatCode="#,##0.00">
                  <c:v>1092.2957416084087</c:v>
                </c:pt>
                <c:pt idx="521" formatCode="#,##0.00">
                  <c:v>1092.6713876092842</c:v>
                </c:pt>
                <c:pt idx="522" formatCode="#,##0.00">
                  <c:v>1104.5114323481046</c:v>
                </c:pt>
                <c:pt idx="523" formatCode="#,##0.00">
                  <c:v>1112.9445821619649</c:v>
                </c:pt>
                <c:pt idx="524" formatCode="#,##0.00">
                  <c:v>1123.0727960073134</c:v>
                </c:pt>
                <c:pt idx="525" formatCode="#,##0.00">
                  <c:v>1133.0710016812795</c:v>
                </c:pt>
                <c:pt idx="526" formatCode="#,##0.00">
                  <c:v>1145.0742769139508</c:v>
                </c:pt>
                <c:pt idx="527" formatCode="#,##0.00">
                  <c:v>1159.5355546434673</c:v>
                </c:pt>
                <c:pt idx="528" formatCode="#,##0.00">
                  <c:v>1173.2733853963546</c:v>
                </c:pt>
                <c:pt idx="529" formatCode="#,##0.00">
                  <c:v>1181.7232890971623</c:v>
                </c:pt>
                <c:pt idx="530" formatCode="#,##0.00">
                  <c:v>1191.3122242441927</c:v>
                </c:pt>
                <c:pt idx="531" formatCode="#,##0.00">
                  <c:v>1200.4497604774156</c:v>
                </c:pt>
                <c:pt idx="532" formatCode="#,##0.00">
                  <c:v>1209.8377131177672</c:v>
                </c:pt>
                <c:pt idx="533" formatCode="#,##0.00">
                  <c:v>1218.2903591765842</c:v>
                </c:pt>
                <c:pt idx="534" formatCode="#,##0.00">
                  <c:v>1222.9116976061134</c:v>
                </c:pt>
                <c:pt idx="535" formatCode="#,##0.00">
                  <c:v>1229.0784188842304</c:v>
                </c:pt>
                <c:pt idx="536" formatCode="#,##0.00">
                  <c:v>1235.0940526340607</c:v>
                </c:pt>
                <c:pt idx="537" formatCode="#,##0.00">
                  <c:v>1240.3952311334558</c:v>
                </c:pt>
                <c:pt idx="538" formatCode="#,##0.00">
                  <c:v>1242.9124930157377</c:v>
                </c:pt>
                <c:pt idx="539" formatCode="#,##0.00">
                  <c:v>1242.831355940898</c:v>
                </c:pt>
                <c:pt idx="540" formatCode="#,##0.00">
                  <c:v>1242.2662779181644</c:v>
                </c:pt>
                <c:pt idx="541" formatCode="#,##0.00">
                  <c:v>1241.4070822618949</c:v>
                </c:pt>
                <c:pt idx="542" formatCode="#,##0.00">
                  <c:v>1240.3106737856076</c:v>
                </c:pt>
                <c:pt idx="543" formatCode="#,##0.00">
                  <c:v>1241.1953121132904</c:v>
                </c:pt>
                <c:pt idx="544" formatCode="#,##0.00">
                  <c:v>1240.6522978010194</c:v>
                </c:pt>
                <c:pt idx="545" formatCode="#,##0.00">
                  <c:v>1236.64565656988</c:v>
                </c:pt>
                <c:pt idx="546" formatCode="#,##0.00">
                  <c:v>1228.0898363136184</c:v>
                </c:pt>
                <c:pt idx="547" formatCode="#,##0.00">
                  <c:v>1221.635968524256</c:v>
                </c:pt>
                <c:pt idx="548" formatCode="#,##0.00">
                  <c:v>1215.5800885744818</c:v>
                </c:pt>
                <c:pt idx="549" formatCode="#,##0.00">
                  <c:v>1209.5398681639531</c:v>
                </c:pt>
                <c:pt idx="550" formatCode="#,##0.00">
                  <c:v>1195.485110619491</c:v>
                </c:pt>
                <c:pt idx="551" formatCode="#,##0.00">
                  <c:v>1188.4481486844122</c:v>
                </c:pt>
                <c:pt idx="552" formatCode="#,##0.00">
                  <c:v>1184.4789638912591</c:v>
                </c:pt>
                <c:pt idx="553" formatCode="#,##0.00">
                  <c:v>1176.3082091752287</c:v>
                </c:pt>
                <c:pt idx="554" formatCode="#,##0.00">
                  <c:v>1170.0802048870107</c:v>
                </c:pt>
                <c:pt idx="555" formatCode="#,##0.00">
                  <c:v>1167.7362928414818</c:v>
                </c:pt>
                <c:pt idx="556" formatCode="#,##0.00">
                  <c:v>1166.7648930965631</c:v>
                </c:pt>
                <c:pt idx="557" formatCode="#,##0.00">
                  <c:v>1165.2473939122715</c:v>
                </c:pt>
                <c:pt idx="558" formatCode="#,##0.00">
                  <c:v>1163.5865967517805</c:v>
                </c:pt>
                <c:pt idx="559" formatCode="#,##0.00">
                  <c:v>1161.4292750411432</c:v>
                </c:pt>
                <c:pt idx="560" formatCode="#,##0.00">
                  <c:v>1158.760377983052</c:v>
                </c:pt>
                <c:pt idx="561" formatCode="#,##0.00">
                  <c:v>1157.5053051771388</c:v>
                </c:pt>
                <c:pt idx="562" formatCode="#,##0.00">
                  <c:v>1157.2187972989502</c:v>
                </c:pt>
                <c:pt idx="563" formatCode="#,##0.00">
                  <c:v>1163.6850537283051</c:v>
                </c:pt>
                <c:pt idx="564" formatCode="#,##0.00">
                  <c:v>1169.6393135681978</c:v>
                </c:pt>
                <c:pt idx="565" formatCode="#,##0.00">
                  <c:v>1171.4022305148405</c:v>
                </c:pt>
                <c:pt idx="566" formatCode="#,##0.00">
                  <c:v>1171.1576686716887</c:v>
                </c:pt>
                <c:pt idx="567" formatCode="#,##0.00">
                  <c:v>1169.121751560569</c:v>
                </c:pt>
                <c:pt idx="568" formatCode="#,##0.00">
                  <c:v>1167.1687575927433</c:v>
                </c:pt>
                <c:pt idx="569" formatCode="#,##0.00">
                  <c:v>1163.9397195834129</c:v>
                </c:pt>
                <c:pt idx="570" formatCode="#,##0.00">
                  <c:v>1136.2930523422797</c:v>
                </c:pt>
                <c:pt idx="571" formatCode="#,##0.00">
                  <c:v>1123.7818995794585</c:v>
                </c:pt>
                <c:pt idx="572" formatCode="#,##0.00">
                  <c:v>1117.4094756866721</c:v>
                </c:pt>
                <c:pt idx="573" formatCode="#,##0.00">
                  <c:v>1110.6577346417278</c:v>
                </c:pt>
                <c:pt idx="574" formatCode="#,##0.00">
                  <c:v>1104.3451459590274</c:v>
                </c:pt>
                <c:pt idx="575" formatCode="#,##0.00">
                  <c:v>1098.0551454410829</c:v>
                </c:pt>
                <c:pt idx="576" formatCode="#,##0.00">
                  <c:v>1092.1122943184016</c:v>
                </c:pt>
                <c:pt idx="577" formatCode="#,##0.00">
                  <c:v>1119.8574289333239</c:v>
                </c:pt>
                <c:pt idx="578" formatCode="#,##0.00">
                  <c:v>1124.9338823959131</c:v>
                </c:pt>
                <c:pt idx="579" formatCode="#,##0.00">
                  <c:v>1130.6351131984673</c:v>
                </c:pt>
                <c:pt idx="580" formatCode="#,##0.00">
                  <c:v>1145.3379211438148</c:v>
                </c:pt>
                <c:pt idx="581" formatCode="#,##0.00">
                  <c:v>1154.2863441666427</c:v>
                </c:pt>
                <c:pt idx="582" formatCode="#,##0.00">
                  <c:v>1165.5276851278329</c:v>
                </c:pt>
                <c:pt idx="583" formatCode="#,##0.00">
                  <c:v>1177.1661369390167</c:v>
                </c:pt>
                <c:pt idx="584" formatCode="#,##0.00">
                  <c:v>1186.3809049360204</c:v>
                </c:pt>
                <c:pt idx="585" formatCode="#,##0.00">
                  <c:v>1197.3527573770543</c:v>
                </c:pt>
                <c:pt idx="586" formatCode="#,##0.00">
                  <c:v>1207.9549977054676</c:v>
                </c:pt>
                <c:pt idx="587" formatCode="#,##0.00">
                  <c:v>1223.7564436725283</c:v>
                </c:pt>
                <c:pt idx="588" formatCode="#,##0.00">
                  <c:v>1228.183553981992</c:v>
                </c:pt>
                <c:pt idx="589" formatCode="#,##0.00">
                  <c:v>1233.660766416725</c:v>
                </c:pt>
                <c:pt idx="590" formatCode="#,##0.00">
                  <c:v>1236.1414732693936</c:v>
                </c:pt>
                <c:pt idx="591" formatCode="#,##0.00">
                  <c:v>1235.6833278335491</c:v>
                </c:pt>
                <c:pt idx="592" formatCode="#,##0.00">
                  <c:v>1235.5056796657307</c:v>
                </c:pt>
                <c:pt idx="593" formatCode="#,##0.00">
                  <c:v>1231.9195346972003</c:v>
                </c:pt>
                <c:pt idx="594" formatCode="#,##0.00">
                  <c:v>1227.4581765936507</c:v>
                </c:pt>
                <c:pt idx="595" formatCode="#,##0.00">
                  <c:v>1222.3293609341138</c:v>
                </c:pt>
                <c:pt idx="596" formatCode="#,##0.00">
                  <c:v>1219.0965761180901</c:v>
                </c:pt>
                <c:pt idx="597" formatCode="#,##0.00">
                  <c:v>1221.9149221656605</c:v>
                </c:pt>
                <c:pt idx="598" formatCode="#,##0.00">
                  <c:v>1223.4008926391975</c:v>
                </c:pt>
                <c:pt idx="599" formatCode="#,##0.00">
                  <c:v>1222.1116899556871</c:v>
                </c:pt>
                <c:pt idx="600" formatCode="#,##0.00">
                  <c:v>1221.1356929216081</c:v>
                </c:pt>
                <c:pt idx="601" formatCode="#,##0.00">
                  <c:v>1220.5888765950006</c:v>
                </c:pt>
                <c:pt idx="602" formatCode="#,##0.00">
                  <c:v>1221.1544109371882</c:v>
                </c:pt>
                <c:pt idx="603" formatCode="#,##0.00">
                  <c:v>1222.2439767197704</c:v>
                </c:pt>
                <c:pt idx="604" formatCode="#,##0.00">
                  <c:v>1227.09014136629</c:v>
                </c:pt>
                <c:pt idx="605" formatCode="#,##0.00">
                  <c:v>1229.3087846216338</c:v>
                </c:pt>
                <c:pt idx="606" formatCode="#,##0.00">
                  <c:v>1229.9756724085571</c:v>
                </c:pt>
                <c:pt idx="607" formatCode="#,##0.00">
                  <c:v>1229.8256359206523</c:v>
                </c:pt>
                <c:pt idx="608" formatCode="#,##0.00">
                  <c:v>1233.6277849862527</c:v>
                </c:pt>
                <c:pt idx="609" formatCode="#,##0.00">
                  <c:v>1235.2882331845678</c:v>
                </c:pt>
                <c:pt idx="610" formatCode="#,##0.00">
                  <c:v>1235.716568481887</c:v>
                </c:pt>
                <c:pt idx="611" formatCode="#,##0.00">
                  <c:v>1236.1598092262964</c:v>
                </c:pt>
                <c:pt idx="612" formatCode="#,##0.00">
                  <c:v>1236.4379917499323</c:v>
                </c:pt>
                <c:pt idx="613" formatCode="#,##0.00">
                  <c:v>1236.9527146478956</c:v>
                </c:pt>
                <c:pt idx="614" formatCode="#,##0.00">
                  <c:v>1237.3709880833626</c:v>
                </c:pt>
                <c:pt idx="615" formatCode="#,##0.00">
                  <c:v>1241.1761465339976</c:v>
                </c:pt>
                <c:pt idx="616" formatCode="#,##0.00">
                  <c:v>1245.095437874842</c:v>
                </c:pt>
                <c:pt idx="617" formatCode="#,##0.00">
                  <c:v>1249.7597241435708</c:v>
                </c:pt>
                <c:pt idx="618" formatCode="#,##0.00">
                  <c:v>1250.8094466334412</c:v>
                </c:pt>
                <c:pt idx="619" formatCode="#,##0.00">
                  <c:v>1247.0810260962969</c:v>
                </c:pt>
                <c:pt idx="620" formatCode="#,##0.00">
                  <c:v>1247.1107652234978</c:v>
                </c:pt>
                <c:pt idx="621" formatCode="#,##0.00">
                  <c:v>1245.9371443187997</c:v>
                </c:pt>
                <c:pt idx="622" formatCode="#,##0.00">
                  <c:v>1245.2785001638126</c:v>
                </c:pt>
                <c:pt idx="623" formatCode="#,##0.00">
                  <c:v>1245.0864759121826</c:v>
                </c:pt>
                <c:pt idx="624" formatCode="#,##0.00">
                  <c:v>1245.2172517056149</c:v>
                </c:pt>
                <c:pt idx="625" formatCode="#,##0.00">
                  <c:v>1246.0815992856662</c:v>
                </c:pt>
                <c:pt idx="626" formatCode="#,##0.00">
                  <c:v>1246.6799836231248</c:v>
                </c:pt>
                <c:pt idx="627" formatCode="#,##0.00">
                  <c:v>1244.7493163530198</c:v>
                </c:pt>
                <c:pt idx="628" formatCode="#,##0.00">
                  <c:v>1243.6195091513403</c:v>
                </c:pt>
                <c:pt idx="629" formatCode="#,##0.00">
                  <c:v>1246.9476964529856</c:v>
                </c:pt>
                <c:pt idx="630" formatCode="#,##0.00">
                  <c:v>1248.3668625058961</c:v>
                </c:pt>
                <c:pt idx="631" formatCode="#,##0.00">
                  <c:v>1251.4215565040208</c:v>
                </c:pt>
                <c:pt idx="632" formatCode="#,##0.00">
                  <c:v>1253.8030005399189</c:v>
                </c:pt>
                <c:pt idx="633" formatCode="#,##0.00">
                  <c:v>1255.4398763584593</c:v>
                </c:pt>
                <c:pt idx="634" formatCode="#,##0.00">
                  <c:v>1249.3296538673651</c:v>
                </c:pt>
                <c:pt idx="635" formatCode="#,##0.00">
                  <c:v>1249.8422578278892</c:v>
                </c:pt>
                <c:pt idx="636" formatCode="#,##0.00">
                  <c:v>1245.8439747761261</c:v>
                </c:pt>
                <c:pt idx="637" formatCode="#,##0.00">
                  <c:v>1236.8675782796149</c:v>
                </c:pt>
                <c:pt idx="638" formatCode="#,##0.00">
                  <c:v>1233.2003223763052</c:v>
                </c:pt>
                <c:pt idx="639" formatCode="#,##0.00">
                  <c:v>1231.77800216425</c:v>
                </c:pt>
                <c:pt idx="640" formatCode="#,##0.00">
                  <c:v>1229.9873777303094</c:v>
                </c:pt>
                <c:pt idx="641" formatCode="#,##0.00">
                  <c:v>1227.6184742927971</c:v>
                </c:pt>
                <c:pt idx="642" formatCode="#,##0.00">
                  <c:v>1224.7060104507218</c:v>
                </c:pt>
                <c:pt idx="643" formatCode="#,##0.00">
                  <c:v>1222.0884909761905</c:v>
                </c:pt>
                <c:pt idx="644" formatCode="#,##0.00">
                  <c:v>1217.4558594337041</c:v>
                </c:pt>
                <c:pt idx="645" formatCode="#,##0.00">
                  <c:v>1207.1954818764525</c:v>
                </c:pt>
                <c:pt idx="646" formatCode="#,##0.00">
                  <c:v>1207.2190171075142</c:v>
                </c:pt>
                <c:pt idx="647" formatCode="#,##0.00">
                  <c:v>1213.3190938892999</c:v>
                </c:pt>
                <c:pt idx="648" formatCode="#,##0.00">
                  <c:v>1217.1825646995371</c:v>
                </c:pt>
                <c:pt idx="649" formatCode="#,##0.00">
                  <c:v>1218.7283962930551</c:v>
                </c:pt>
                <c:pt idx="650" formatCode="#,##0.00">
                  <c:v>1219.693368942663</c:v>
                </c:pt>
                <c:pt idx="651" formatCode="#,##0.00">
                  <c:v>1221.5021494808659</c:v>
                </c:pt>
                <c:pt idx="652" formatCode="#,##0.00">
                  <c:v>1226.7899252376453</c:v>
                </c:pt>
                <c:pt idx="653" formatCode="#,##0.00">
                  <c:v>1231.0746355508629</c:v>
                </c:pt>
                <c:pt idx="654" formatCode="#,##0.00">
                  <c:v>1238.3573125495866</c:v>
                </c:pt>
                <c:pt idx="655" formatCode="#,##0.00">
                  <c:v>1246.8830675991253</c:v>
                </c:pt>
                <c:pt idx="656" formatCode="#,##0.00">
                  <c:v>1251.7057364973582</c:v>
                </c:pt>
                <c:pt idx="657" formatCode="#,##0.00">
                  <c:v>1254.489694473722</c:v>
                </c:pt>
                <c:pt idx="658" formatCode="#,##0.00">
                  <c:v>1257.4539114794113</c:v>
                </c:pt>
                <c:pt idx="659" formatCode="#,##0.00">
                  <c:v>1260.6055445471554</c:v>
                </c:pt>
                <c:pt idx="660" formatCode="#,##0.00">
                  <c:v>1266.3593503900147</c:v>
                </c:pt>
                <c:pt idx="661" formatCode="#,##0.00">
                  <c:v>1270.3358267365861</c:v>
                </c:pt>
                <c:pt idx="662" formatCode="#,##0.00">
                  <c:v>1278.1916682903754</c:v>
                </c:pt>
                <c:pt idx="663" formatCode="#,##0.00">
                  <c:v>1284.5533430239243</c:v>
                </c:pt>
                <c:pt idx="664" formatCode="#,##0.00">
                  <c:v>1288.4524747271309</c:v>
                </c:pt>
                <c:pt idx="665" formatCode="#,##0.00">
                  <c:v>1298.6560062686722</c:v>
                </c:pt>
                <c:pt idx="666" formatCode="#,##0.00">
                  <c:v>1307.3146761907299</c:v>
                </c:pt>
                <c:pt idx="667" formatCode="#,##0.00">
                  <c:v>1319.005765041273</c:v>
                </c:pt>
                <c:pt idx="668" formatCode="#,##0.00">
                  <c:v>1326.889214090794</c:v>
                </c:pt>
                <c:pt idx="669" formatCode="#,##0.00">
                  <c:v>1331.3719444923613</c:v>
                </c:pt>
                <c:pt idx="670" formatCode="#,##0.00">
                  <c:v>1336.0515907514293</c:v>
                </c:pt>
                <c:pt idx="671" formatCode="#,##0.00">
                  <c:v>1340.5029691380482</c:v>
                </c:pt>
                <c:pt idx="672" formatCode="#,##0.00">
                  <c:v>1347.2799508216735</c:v>
                </c:pt>
                <c:pt idx="673" formatCode="#,##0.00">
                  <c:v>1354.5581603898925</c:v>
                </c:pt>
                <c:pt idx="674" formatCode="#,##0.00">
                  <c:v>1356.3215396747278</c:v>
                </c:pt>
                <c:pt idx="675" formatCode="#,##0.00">
                  <c:v>1359.6908414398836</c:v>
                </c:pt>
                <c:pt idx="676" formatCode="#,##0.00">
                  <c:v>1363.1846637143603</c:v>
                </c:pt>
                <c:pt idx="677" formatCode="#,##0.00">
                  <c:v>1369.7263040088385</c:v>
                </c:pt>
                <c:pt idx="678" formatCode="#,##0.00">
                  <c:v>1377.6861529597209</c:v>
                </c:pt>
                <c:pt idx="679" formatCode="#,##0.00">
                  <c:v>1386.4231326476756</c:v>
                </c:pt>
                <c:pt idx="680" formatCode="#,##0.00">
                  <c:v>1385.1784521345355</c:v>
                </c:pt>
                <c:pt idx="681" formatCode="#,##0.00">
                  <c:v>1367.8637074585515</c:v>
                </c:pt>
                <c:pt idx="682" formatCode="#,##0.00">
                  <c:v>1360.5124826575327</c:v>
                </c:pt>
                <c:pt idx="683" formatCode="#,##0.00">
                  <c:v>1351.2879490134781</c:v>
                </c:pt>
                <c:pt idx="684" formatCode="#,##0.00">
                  <c:v>1343.0281585153236</c:v>
                </c:pt>
                <c:pt idx="685" formatCode="#,##0.00">
                  <c:v>1336.9214704691492</c:v>
                </c:pt>
                <c:pt idx="686" formatCode="#,##0.00">
                  <c:v>1331.5561388119352</c:v>
                </c:pt>
                <c:pt idx="687" formatCode="#,##0.00">
                  <c:v>1320.6956042839147</c:v>
                </c:pt>
                <c:pt idx="688" formatCode="#,##0.00">
                  <c:v>1314.7052591084391</c:v>
                </c:pt>
                <c:pt idx="689" formatCode="#,##0.00">
                  <c:v>1307.382492008785</c:v>
                </c:pt>
                <c:pt idx="690" formatCode="#,##0.00">
                  <c:v>1300.4143362495763</c:v>
                </c:pt>
                <c:pt idx="691" formatCode="#,##0.00">
                  <c:v>1298.4729654937912</c:v>
                </c:pt>
                <c:pt idx="692" formatCode="#,##0.00">
                  <c:v>1288.1532305580031</c:v>
                </c:pt>
                <c:pt idx="693" formatCode="#,##0.00">
                  <c:v>1285.5165633855295</c:v>
                </c:pt>
                <c:pt idx="694" formatCode="#,##0.00">
                  <c:v>1284.5060152032029</c:v>
                </c:pt>
                <c:pt idx="695" formatCode="#,##0.00">
                  <c:v>1283.2498076681215</c:v>
                </c:pt>
                <c:pt idx="696" formatCode="#,##0.00">
                  <c:v>1282.8170537846727</c:v>
                </c:pt>
                <c:pt idx="697" formatCode="#,##0.00">
                  <c:v>1285.792963105361</c:v>
                </c:pt>
                <c:pt idx="698" formatCode="#,##0.00">
                  <c:v>1285.1348250260683</c:v>
                </c:pt>
                <c:pt idx="699" formatCode="#,##0.00">
                  <c:v>1284.3656653740823</c:v>
                </c:pt>
                <c:pt idx="700" formatCode="#,##0.00">
                  <c:v>1280.2631543929954</c:v>
                </c:pt>
                <c:pt idx="701" formatCode="#,##0.00">
                  <c:v>1279.15752691743</c:v>
                </c:pt>
                <c:pt idx="702" formatCode="#,##0.00">
                  <c:v>1294.3579329000379</c:v>
                </c:pt>
                <c:pt idx="703" formatCode="#,##0.00">
                  <c:v>1300.723820558502</c:v>
                </c:pt>
                <c:pt idx="704" formatCode="#,##0.00">
                  <c:v>1302.1620634009391</c:v>
                </c:pt>
                <c:pt idx="705" formatCode="#,##0.00">
                  <c:v>1304.0605816981347</c:v>
                </c:pt>
                <c:pt idx="706" formatCode="#,##0.00">
                  <c:v>1305.544665945441</c:v>
                </c:pt>
                <c:pt idx="707" formatCode="#,##0.00">
                  <c:v>1307.1105711293276</c:v>
                </c:pt>
                <c:pt idx="708" formatCode="#,##0.00">
                  <c:v>1307.886180896917</c:v>
                </c:pt>
                <c:pt idx="709" formatCode="#,##0.00">
                  <c:v>1308.8103097985063</c:v>
                </c:pt>
                <c:pt idx="710" formatCode="#,##0.00">
                  <c:v>1311.2980175327691</c:v>
                </c:pt>
                <c:pt idx="711" formatCode="#,##0.00">
                  <c:v>1313.8345663448076</c:v>
                </c:pt>
                <c:pt idx="712" formatCode="#,##0.00">
                  <c:v>1318.4500537503031</c:v>
                </c:pt>
                <c:pt idx="713" formatCode="#,##0.00">
                  <c:v>1318.9898612838945</c:v>
                </c:pt>
                <c:pt idx="714" formatCode="#,##0.00">
                  <c:v>1319.9946398293591</c:v>
                </c:pt>
                <c:pt idx="715" formatCode="#,##0.00">
                  <c:v>1321.8418723962436</c:v>
                </c:pt>
                <c:pt idx="716" formatCode="#,##0.00">
                  <c:v>1322.7983874361109</c:v>
                </c:pt>
                <c:pt idx="717" formatCode="#,##0.00">
                  <c:v>1325.0700088435899</c:v>
                </c:pt>
                <c:pt idx="718" formatCode="#,##0.00">
                  <c:v>1325.9881110737983</c:v>
                </c:pt>
                <c:pt idx="719" formatCode="#,##0.00">
                  <c:v>1323.7552803099909</c:v>
                </c:pt>
                <c:pt idx="720" formatCode="#,##0.00">
                  <c:v>1320.5787544955333</c:v>
                </c:pt>
                <c:pt idx="721" formatCode="#,##0.00">
                  <c:v>1312.6821590205232</c:v>
                </c:pt>
                <c:pt idx="722" formatCode="#,##0.00">
                  <c:v>1306.325819293201</c:v>
                </c:pt>
                <c:pt idx="723" formatCode="#,##0.00">
                  <c:v>1302.4422145907033</c:v>
                </c:pt>
                <c:pt idx="724" formatCode="#,##0.00">
                  <c:v>1298.6348927336537</c:v>
                </c:pt>
                <c:pt idx="725" formatCode="#,##0.00">
                  <c:v>1294.3263192156592</c:v>
                </c:pt>
                <c:pt idx="726" formatCode="#,##0.00">
                  <c:v>1292.0605845024675</c:v>
                </c:pt>
                <c:pt idx="727" formatCode="#,##0.00">
                  <c:v>1286.489082328226</c:v>
                </c:pt>
                <c:pt idx="728" formatCode="#,##0.00">
                  <c:v>1289.6522900476439</c:v>
                </c:pt>
                <c:pt idx="729" formatCode="#,##0.00">
                  <c:v>1292.8959587190018</c:v>
                </c:pt>
                <c:pt idx="730" formatCode="#,##0.00">
                  <c:v>1294.9340495068332</c:v>
                </c:pt>
                <c:pt idx="731" formatCode="#,##0.00">
                  <c:v>1298.467931143947</c:v>
                </c:pt>
                <c:pt idx="732" formatCode="#,##0.00">
                  <c:v>1300.6264073487635</c:v>
                </c:pt>
                <c:pt idx="733" formatCode="#,##0.00">
                  <c:v>1298.8974868128416</c:v>
                </c:pt>
                <c:pt idx="734" formatCode="#,##0.00">
                  <c:v>1296.290268565614</c:v>
                </c:pt>
                <c:pt idx="735" formatCode="#,##0.00">
                  <c:v>1289.3172164122427</c:v>
                </c:pt>
                <c:pt idx="736" formatCode="#,##0.00">
                  <c:v>1276.66494463301</c:v>
                </c:pt>
                <c:pt idx="737" formatCode="#,##0.00">
                  <c:v>1271.3244403298481</c:v>
                </c:pt>
                <c:pt idx="738" formatCode="#,##0.00">
                  <c:v>1263.0671839795068</c:v>
                </c:pt>
                <c:pt idx="739" formatCode="#,##0.00">
                  <c:v>1253.4527843609346</c:v>
                </c:pt>
                <c:pt idx="740" formatCode="#,##0.00">
                  <c:v>1244.7562794660259</c:v>
                </c:pt>
                <c:pt idx="741" formatCode="#,##0.00">
                  <c:v>1236.338090097471</c:v>
                </c:pt>
                <c:pt idx="742" formatCode="#,##0.00">
                  <c:v>1231.6939430832729</c:v>
                </c:pt>
                <c:pt idx="743" formatCode="#,##0.00">
                  <c:v>1229.1804655510859</c:v>
                </c:pt>
                <c:pt idx="744" formatCode="#,##0.00">
                  <c:v>1228.7698762886207</c:v>
                </c:pt>
                <c:pt idx="745" formatCode="#,##0.00">
                  <c:v>1228.6838319077053</c:v>
                </c:pt>
                <c:pt idx="746" formatCode="#,##0.00">
                  <c:v>1230.9801494759736</c:v>
                </c:pt>
                <c:pt idx="747" formatCode="#,##0.00">
                  <c:v>1232.6964183489872</c:v>
                </c:pt>
                <c:pt idx="748" formatCode="#,##0.00">
                  <c:v>1234.919014694827</c:v>
                </c:pt>
                <c:pt idx="749" formatCode="#,##0.00">
                  <c:v>1235.5247037453732</c:v>
                </c:pt>
                <c:pt idx="750" formatCode="#,##0.00">
                  <c:v>1239.326256399451</c:v>
                </c:pt>
                <c:pt idx="751" formatCode="#,##0.00">
                  <c:v>1247.989519119393</c:v>
                </c:pt>
                <c:pt idx="752" formatCode="#,##0.00">
                  <c:v>1260.0153151798586</c:v>
                </c:pt>
                <c:pt idx="753" formatCode="#,##0.00">
                  <c:v>1270.8047869684158</c:v>
                </c:pt>
                <c:pt idx="754" formatCode="#,##0.00">
                  <c:v>1275.4888380904513</c:v>
                </c:pt>
                <c:pt idx="755" formatCode="#,##0.00">
                  <c:v>1278.913111028945</c:v>
                </c:pt>
                <c:pt idx="756" formatCode="#,##0.00">
                  <c:v>1280.9956126156699</c:v>
                </c:pt>
                <c:pt idx="757" formatCode="#,##0.00">
                  <c:v>1280.2418076823674</c:v>
                </c:pt>
                <c:pt idx="758" formatCode="#,##0.00">
                  <c:v>1287.7136033241511</c:v>
                </c:pt>
                <c:pt idx="759" formatCode="#,##0.00">
                  <c:v>1295.1842225034025</c:v>
                </c:pt>
                <c:pt idx="760" formatCode="#,##0.00">
                  <c:v>1306.897271227589</c:v>
                </c:pt>
                <c:pt idx="761" formatCode="#,##0.00">
                  <c:v>1311.4065480481129</c:v>
                </c:pt>
                <c:pt idx="762" formatCode="#,##0.00">
                  <c:v>1316.6245111278643</c:v>
                </c:pt>
                <c:pt idx="763" formatCode="#,##0.00">
                  <c:v>1320.6566864779506</c:v>
                </c:pt>
                <c:pt idx="764" formatCode="#,##0.00">
                  <c:v>1322.2212774743825</c:v>
                </c:pt>
                <c:pt idx="765" formatCode="#,##0.00">
                  <c:v>1323.4143672133096</c:v>
                </c:pt>
                <c:pt idx="766" formatCode="#,##0.00">
                  <c:v>1325.8354754010879</c:v>
                </c:pt>
                <c:pt idx="767" formatCode="#,##0.00">
                  <c:v>1332.7444047903266</c:v>
                </c:pt>
                <c:pt idx="768" formatCode="#,##0.00">
                  <c:v>1339.3368132933028</c:v>
                </c:pt>
                <c:pt idx="769" formatCode="#,##0.00">
                  <c:v>1341.6126562359188</c:v>
                </c:pt>
                <c:pt idx="770" formatCode="#,##0.00">
                  <c:v>1337.1556405675119</c:v>
                </c:pt>
                <c:pt idx="771" formatCode="#,##0.00">
                  <c:v>1337.8919774821134</c:v>
                </c:pt>
                <c:pt idx="772" formatCode="#,##0.00">
                  <c:v>1335.577025986976</c:v>
                </c:pt>
                <c:pt idx="773" formatCode="#,##0.00">
                  <c:v>1335.3177028392686</c:v>
                </c:pt>
                <c:pt idx="774" formatCode="#,##0.00">
                  <c:v>1337.4900468365279</c:v>
                </c:pt>
                <c:pt idx="775" formatCode="#,##0.00">
                  <c:v>1340.310006098669</c:v>
                </c:pt>
                <c:pt idx="776" formatCode="#,##0.00">
                  <c:v>1346.5347433857376</c:v>
                </c:pt>
                <c:pt idx="777" formatCode="#,##0.00">
                  <c:v>1353.3035865505262</c:v>
                </c:pt>
                <c:pt idx="778" formatCode="#,##0.00">
                  <c:v>1368.4547983272257</c:v>
                </c:pt>
                <c:pt idx="779" formatCode="#,##0.00">
                  <c:v>1374.2880952182077</c:v>
                </c:pt>
                <c:pt idx="780" formatCode="#,##0.00">
                  <c:v>1378.3629545677554</c:v>
                </c:pt>
                <c:pt idx="781" formatCode="#,##0.00">
                  <c:v>1386.6795067419607</c:v>
                </c:pt>
                <c:pt idx="782" formatCode="#,##0.00">
                  <c:v>1398.6540593892689</c:v>
                </c:pt>
                <c:pt idx="783" formatCode="#,##0.00">
                  <c:v>1403.6363100959702</c:v>
                </c:pt>
                <c:pt idx="784" formatCode="#,##0.00">
                  <c:v>1408.4534929121696</c:v>
                </c:pt>
                <c:pt idx="785" formatCode="#,##0.00">
                  <c:v>1413.1578898763867</c:v>
                </c:pt>
                <c:pt idx="786" formatCode="#,##0.00">
                  <c:v>1422.1701891760024</c:v>
                </c:pt>
                <c:pt idx="787" formatCode="#,##0.00">
                  <c:v>1429.9497501209657</c:v>
                </c:pt>
                <c:pt idx="788" formatCode="#,##0.00">
                  <c:v>1436.0737625248476</c:v>
                </c:pt>
                <c:pt idx="789" formatCode="#,##0.00">
                  <c:v>1440.3853552578287</c:v>
                </c:pt>
                <c:pt idx="790" formatCode="#,##0.00">
                  <c:v>1449.546968167263</c:v>
                </c:pt>
                <c:pt idx="791" formatCode="#,##0.00">
                  <c:v>1458.2340219121197</c:v>
                </c:pt>
                <c:pt idx="792" formatCode="#,##0.00">
                  <c:v>1470.3748365069498</c:v>
                </c:pt>
                <c:pt idx="793" formatCode="#,##0.00">
                  <c:v>1476.405584152993</c:v>
                </c:pt>
                <c:pt idx="794" formatCode="#,##0.00">
                  <c:v>1482.0446891651934</c:v>
                </c:pt>
                <c:pt idx="795" formatCode="#,##0.00">
                  <c:v>1489.1872580910608</c:v>
                </c:pt>
                <c:pt idx="796" formatCode="#,##0.00">
                  <c:v>1497.569804158891</c:v>
                </c:pt>
                <c:pt idx="797" formatCode="#,##0.00">
                  <c:v>1515.7573226609497</c:v>
                </c:pt>
                <c:pt idx="798" formatCode="#,##0.00">
                  <c:v>1527.8555757305721</c:v>
                </c:pt>
                <c:pt idx="799" formatCode="#,##0.00">
                  <c:v>1534.1619440261527</c:v>
                </c:pt>
                <c:pt idx="800" formatCode="#,##0.00">
                  <c:v>1539.9289351449518</c:v>
                </c:pt>
                <c:pt idx="801" formatCode="#,##0.00">
                  <c:v>1545.1219361807975</c:v>
                </c:pt>
                <c:pt idx="802" formatCode="#,##0.00">
                  <c:v>1552.8234330609662</c:v>
                </c:pt>
                <c:pt idx="803" formatCode="#,##0.00">
                  <c:v>1559.2684478459928</c:v>
                </c:pt>
                <c:pt idx="804" formatCode="#,##0.00">
                  <c:v>1565.1902591248127</c:v>
                </c:pt>
                <c:pt idx="805" formatCode="#,##0.00">
                  <c:v>1567.4039162539716</c:v>
                </c:pt>
                <c:pt idx="806" formatCode="#,##0.00">
                  <c:v>1566.9438296559526</c:v>
                </c:pt>
                <c:pt idx="807" formatCode="#,##0.00">
                  <c:v>1564.6074470339445</c:v>
                </c:pt>
                <c:pt idx="808" formatCode="#,##0.00">
                  <c:v>1559.4821992643933</c:v>
                </c:pt>
                <c:pt idx="809" formatCode="#,##0.00">
                  <c:v>1557.2729064513262</c:v>
                </c:pt>
                <c:pt idx="810" formatCode="#,##0.00">
                  <c:v>1556.9607800632741</c:v>
                </c:pt>
                <c:pt idx="811" formatCode="#,##0.00">
                  <c:v>1558.3217344793609</c:v>
                </c:pt>
                <c:pt idx="812" formatCode="#,##0.00">
                  <c:v>1557.8748989304008</c:v>
                </c:pt>
                <c:pt idx="813" formatCode="#,##0.00">
                  <c:v>1555.6584171986074</c:v>
                </c:pt>
                <c:pt idx="814" formatCode="#,##0.00">
                  <c:v>1554.68531626394</c:v>
                </c:pt>
                <c:pt idx="815" formatCode="#,##0.00">
                  <c:v>1553.2534448855019</c:v>
                </c:pt>
                <c:pt idx="816" formatCode="#,##0.00">
                  <c:v>1546.3080903714256</c:v>
                </c:pt>
                <c:pt idx="817" formatCode="#,##0.00">
                  <c:v>1541.2781387337168</c:v>
                </c:pt>
                <c:pt idx="818" formatCode="#,##0.00">
                  <c:v>1535.6036911467406</c:v>
                </c:pt>
                <c:pt idx="819" formatCode="#,##0.00">
                  <c:v>1533.3245008212727</c:v>
                </c:pt>
                <c:pt idx="820" formatCode="#,##0.00">
                  <c:v>1531.3621896487132</c:v>
                </c:pt>
                <c:pt idx="821" formatCode="#,##0.00">
                  <c:v>1517.8536453303939</c:v>
                </c:pt>
                <c:pt idx="822" formatCode="#,##0.00">
                  <c:v>1506.4588376447048</c:v>
                </c:pt>
                <c:pt idx="823" formatCode="#,##0.00">
                  <c:v>1500.3989251253006</c:v>
                </c:pt>
                <c:pt idx="824" formatCode="#,##0.00">
                  <c:v>1491.7008590784981</c:v>
                </c:pt>
                <c:pt idx="825" formatCode="#,##0.00">
                  <c:v>1483.0231336017857</c:v>
                </c:pt>
                <c:pt idx="826" formatCode="#,##0.00">
                  <c:v>1478.614095806543</c:v>
                </c:pt>
                <c:pt idx="827" formatCode="#,##0.00">
                  <c:v>1474.6790099301479</c:v>
                </c:pt>
                <c:pt idx="828" formatCode="#,##0.00">
                  <c:v>1462.8141131836262</c:v>
                </c:pt>
                <c:pt idx="829" formatCode="#,##0.00">
                  <c:v>1451.7663261032305</c:v>
                </c:pt>
                <c:pt idx="830" formatCode="#,##0.00">
                  <c:v>1441.8403305287666</c:v>
                </c:pt>
                <c:pt idx="831" formatCode="#,##0.00">
                  <c:v>1429.9708956554623</c:v>
                </c:pt>
                <c:pt idx="832" formatCode="#,##0.00">
                  <c:v>1423.0608589470751</c:v>
                </c:pt>
                <c:pt idx="833" formatCode="#,##0.00">
                  <c:v>1419.7912310097045</c:v>
                </c:pt>
                <c:pt idx="834" formatCode="#,##0.00">
                  <c:v>1417.7438917174093</c:v>
                </c:pt>
                <c:pt idx="835" formatCode="#,##0.00">
                  <c:v>1412.2797518682166</c:v>
                </c:pt>
                <c:pt idx="836" formatCode="#,##0.00">
                  <c:v>1413.4031913810743</c:v>
                </c:pt>
                <c:pt idx="837" formatCode="#,##0.00">
                  <c:v>1415.6402853224045</c:v>
                </c:pt>
                <c:pt idx="838" formatCode="#,##0.00">
                  <c:v>1419.7822303552509</c:v>
                </c:pt>
                <c:pt idx="839" formatCode="#,##0.00">
                  <c:v>1427.3188935268172</c:v>
                </c:pt>
                <c:pt idx="840" formatCode="#,##0.00">
                  <c:v>1437.8147972103227</c:v>
                </c:pt>
                <c:pt idx="841" formatCode="#,##0.00">
                  <c:v>1450.0080928923971</c:v>
                </c:pt>
                <c:pt idx="842" formatCode="#,##0.00">
                  <c:v>1461.3833740572252</c:v>
                </c:pt>
                <c:pt idx="843" formatCode="#,##0.00">
                  <c:v>1467.2489512576583</c:v>
                </c:pt>
                <c:pt idx="844" formatCode="#,##0.00">
                  <c:v>1470.0682726027107</c:v>
                </c:pt>
                <c:pt idx="845" formatCode="#,##0.00">
                  <c:v>1470.1888357805012</c:v>
                </c:pt>
                <c:pt idx="846" formatCode="#,##0.00">
                  <c:v>1470.9650705081472</c:v>
                </c:pt>
                <c:pt idx="847" formatCode="#,##0.00">
                  <c:v>1471.3137909775978</c:v>
                </c:pt>
                <c:pt idx="848" formatCode="#,##0.00">
                  <c:v>1473.843780957113</c:v>
                </c:pt>
                <c:pt idx="849" formatCode="#,##0.00">
                  <c:v>1474.1417121117722</c:v>
                </c:pt>
                <c:pt idx="850" formatCode="#,##0.00">
                  <c:v>1476.3823472799379</c:v>
                </c:pt>
                <c:pt idx="851" formatCode="#,##0.00">
                  <c:v>1480.253363653856</c:v>
                </c:pt>
                <c:pt idx="852" formatCode="#,##0.00">
                  <c:v>1484.4300933024697</c:v>
                </c:pt>
                <c:pt idx="853" formatCode="#,##0.00">
                  <c:v>1489.582684503717</c:v>
                </c:pt>
                <c:pt idx="854" formatCode="#,##0.00">
                  <c:v>1493.2874375213553</c:v>
                </c:pt>
                <c:pt idx="855" formatCode="#,##0.00">
                  <c:v>1492.5025909572555</c:v>
                </c:pt>
                <c:pt idx="856" formatCode="#,##0.00">
                  <c:v>1491.152230758217</c:v>
                </c:pt>
                <c:pt idx="857" formatCode="#,##0.00">
                  <c:v>1488.025504828699</c:v>
                </c:pt>
                <c:pt idx="858" formatCode="#,##0.00">
                  <c:v>1483.526837732903</c:v>
                </c:pt>
                <c:pt idx="859" formatCode="#,##0.00">
                  <c:v>1488.0454509048118</c:v>
                </c:pt>
                <c:pt idx="860" formatCode="#,##0.00">
                  <c:v>1494.3613324176629</c:v>
                </c:pt>
                <c:pt idx="861" formatCode="#,##0.00">
                  <c:v>1495.2485616937813</c:v>
                </c:pt>
                <c:pt idx="862" formatCode="#,##0.00">
                  <c:v>1491.2152762852863</c:v>
                </c:pt>
                <c:pt idx="863" formatCode="#,##0.00">
                  <c:v>1485.6049758997874</c:v>
                </c:pt>
                <c:pt idx="864" formatCode="#,##0.00">
                  <c:v>1480.7593422150458</c:v>
                </c:pt>
                <c:pt idx="865" formatCode="#,##0.00">
                  <c:v>1478.1359705590239</c:v>
                </c:pt>
                <c:pt idx="866" formatCode="#,##0.00">
                  <c:v>1476.4475606719743</c:v>
                </c:pt>
                <c:pt idx="867" formatCode="#,##0.00">
                  <c:v>1474.1939394128942</c:v>
                </c:pt>
                <c:pt idx="868" formatCode="#,##0.00">
                  <c:v>1466.5281749461799</c:v>
                </c:pt>
                <c:pt idx="869" formatCode="#,##0.00">
                  <c:v>1457.3943120912993</c:v>
                </c:pt>
                <c:pt idx="870" formatCode="#,##0.00">
                  <c:v>1446.3356913547839</c:v>
                </c:pt>
                <c:pt idx="871" formatCode="#,##0.00">
                  <c:v>1438.3412096710535</c:v>
                </c:pt>
                <c:pt idx="872" formatCode="#,##0.00">
                  <c:v>1430.2179681903585</c:v>
                </c:pt>
                <c:pt idx="873" formatCode="#,##0.00">
                  <c:v>1434.7220023550276</c:v>
                </c:pt>
                <c:pt idx="874" formatCode="#,##0.00">
                  <c:v>1444.4428969333946</c:v>
                </c:pt>
                <c:pt idx="875" formatCode="#,##0.00">
                  <c:v>1446.6742872484538</c:v>
                </c:pt>
                <c:pt idx="876" formatCode="#,##0.00">
                  <c:v>1449.7612535124788</c:v>
                </c:pt>
                <c:pt idx="877" formatCode="#,##0.00">
                  <c:v>1453.3500742792151</c:v>
                </c:pt>
                <c:pt idx="878" formatCode="#,##0.00">
                  <c:v>1466.0559127365357</c:v>
                </c:pt>
                <c:pt idx="879" formatCode="#,##0.00">
                  <c:v>1475.8735147336656</c:v>
                </c:pt>
                <c:pt idx="880" formatCode="#,##0.00">
                  <c:v>1483.8834864466094</c:v>
                </c:pt>
                <c:pt idx="881" formatCode="#,##0.00">
                  <c:v>1492.3461561317633</c:v>
                </c:pt>
                <c:pt idx="882" formatCode="#,##0.00">
                  <c:v>1501.6086218502887</c:v>
                </c:pt>
                <c:pt idx="883" formatCode="#,##0.00">
                  <c:v>1512.7073401753098</c:v>
                </c:pt>
                <c:pt idx="884" formatCode="#,##0.00">
                  <c:v>1533.3247943882573</c:v>
                </c:pt>
                <c:pt idx="885" formatCode="#,##0.00">
                  <c:v>1546.9322052061905</c:v>
                </c:pt>
                <c:pt idx="886" formatCode="#,##0.00">
                  <c:v>1562.8262035171026</c:v>
                </c:pt>
                <c:pt idx="887" formatCode="#,##0.00">
                  <c:v>1584.1299268607015</c:v>
                </c:pt>
                <c:pt idx="888" formatCode="#,##0.00">
                  <c:v>1602.4614611743596</c:v>
                </c:pt>
                <c:pt idx="889" formatCode="#,##0.00">
                  <c:v>1644.2340138980042</c:v>
                </c:pt>
                <c:pt idx="890" formatCode="#,##0.00">
                  <c:v>1661.238221609234</c:v>
                </c:pt>
                <c:pt idx="891" formatCode="#,##0.00">
                  <c:v>1671.8879638591432</c:v>
                </c:pt>
                <c:pt idx="892" formatCode="#,##0.00">
                  <c:v>1685.5381490614773</c:v>
                </c:pt>
                <c:pt idx="893" formatCode="#,##0.00">
                  <c:v>1707.780595876394</c:v>
                </c:pt>
                <c:pt idx="894" formatCode="#,##0.00">
                  <c:v>1722.9594869084881</c:v>
                </c:pt>
                <c:pt idx="895" formatCode="#,##0.00">
                  <c:v>1731.9038186006669</c:v>
                </c:pt>
                <c:pt idx="896" formatCode="#,##0.00">
                  <c:v>1742.5915784788031</c:v>
                </c:pt>
                <c:pt idx="897" formatCode="#,##0.00">
                  <c:v>1755.3924472689282</c:v>
                </c:pt>
                <c:pt idx="898" formatCode="#,##0.00">
                  <c:v>1769.3015062985892</c:v>
                </c:pt>
                <c:pt idx="899" formatCode="#,##0.00">
                  <c:v>1786.8013073327725</c:v>
                </c:pt>
                <c:pt idx="900" formatCode="#,##0.00">
                  <c:v>1799.4490008675034</c:v>
                </c:pt>
                <c:pt idx="901" formatCode="#,##0.00">
                  <c:v>1809.0799436350082</c:v>
                </c:pt>
                <c:pt idx="902" formatCode="#,##0.00">
                  <c:v>1815.783696574232</c:v>
                </c:pt>
                <c:pt idx="903" formatCode="#,##0.00">
                  <c:v>1821.3835710394296</c:v>
                </c:pt>
                <c:pt idx="904" formatCode="#,##0.00">
                  <c:v>1826.2438856358033</c:v>
                </c:pt>
                <c:pt idx="905" formatCode="#,##0.00">
                  <c:v>1829.8811300598043</c:v>
                </c:pt>
                <c:pt idx="906" formatCode="#,##0.00">
                  <c:v>1834.3322040991923</c:v>
                </c:pt>
                <c:pt idx="907" formatCode="#,##0.00">
                  <c:v>1831.6537940803591</c:v>
                </c:pt>
                <c:pt idx="908" formatCode="#,##0.00">
                  <c:v>1828.6932398916945</c:v>
                </c:pt>
                <c:pt idx="909" formatCode="#,##0.00">
                  <c:v>1819.5783603245598</c:v>
                </c:pt>
                <c:pt idx="910" formatCode="#,##0.00">
                  <c:v>1801.9922509673327</c:v>
                </c:pt>
                <c:pt idx="911" formatCode="#,##0.00">
                  <c:v>1789.3380831683007</c:v>
                </c:pt>
                <c:pt idx="912" formatCode="#,##0.00">
                  <c:v>1788.3021872779316</c:v>
                </c:pt>
                <c:pt idx="913" formatCode="#,##0.00">
                  <c:v>1790.4548362747159</c:v>
                </c:pt>
                <c:pt idx="914" formatCode="#,##0.00">
                  <c:v>1792.1678613153881</c:v>
                </c:pt>
                <c:pt idx="915" formatCode="#,##0.00">
                  <c:v>1804.1339983622195</c:v>
                </c:pt>
                <c:pt idx="916" formatCode="#,##0.00">
                  <c:v>1823.3972279110405</c:v>
                </c:pt>
                <c:pt idx="917" formatCode="#,##0.00">
                  <c:v>1851.8352103111531</c:v>
                </c:pt>
                <c:pt idx="918" formatCode="#,##0.00">
                  <c:v>1867.345376587346</c:v>
                </c:pt>
                <c:pt idx="919" formatCode="#,##0.00">
                  <c:v>1885.5931313484793</c:v>
                </c:pt>
                <c:pt idx="920" formatCode="#,##0.00">
                  <c:v>1914.2324880232625</c:v>
                </c:pt>
                <c:pt idx="921" formatCode="#,##0.00">
                  <c:v>1944.2235782990899</c:v>
                </c:pt>
                <c:pt idx="922" formatCode="#,##0.00">
                  <c:v>1963.4722571058721</c:v>
                </c:pt>
                <c:pt idx="923" formatCode="#,##0.00">
                  <c:v>1976.1420799174657</c:v>
                </c:pt>
                <c:pt idx="924" formatCode="#,##0.00">
                  <c:v>1984.6819760877852</c:v>
                </c:pt>
                <c:pt idx="925" formatCode="#,##0.00">
                  <c:v>1995.6825586997668</c:v>
                </c:pt>
                <c:pt idx="926" formatCode="#,##0.00">
                  <c:v>2005.8621773336517</c:v>
                </c:pt>
                <c:pt idx="927" formatCode="#,##0.00">
                  <c:v>1999.1280910576997</c:v>
                </c:pt>
                <c:pt idx="928" formatCode="#,##0.00">
                  <c:v>1987.7623071108992</c:v>
                </c:pt>
                <c:pt idx="929" formatCode="#,##0.00">
                  <c:v>1982.643087965643</c:v>
                </c:pt>
                <c:pt idx="930" formatCode="#,##0.00">
                  <c:v>1974.1004299001202</c:v>
                </c:pt>
                <c:pt idx="931" formatCode="#,##0.00">
                  <c:v>1967.1660284937323</c:v>
                </c:pt>
                <c:pt idx="932" formatCode="#,##0.00">
                  <c:v>1963.4823774197584</c:v>
                </c:pt>
                <c:pt idx="933" formatCode="#,##0.00">
                  <c:v>1956.4317617989243</c:v>
                </c:pt>
                <c:pt idx="934" formatCode="#,##0.00">
                  <c:v>1951.5695708381666</c:v>
                </c:pt>
                <c:pt idx="935" formatCode="#,##0.00">
                  <c:v>1950.3921733992715</c:v>
                </c:pt>
                <c:pt idx="936" formatCode="#,##0.00">
                  <c:v>1949.5329860410698</c:v>
                </c:pt>
                <c:pt idx="937" formatCode="#,##0.00">
                  <c:v>1950.3930489586614</c:v>
                </c:pt>
                <c:pt idx="938" formatCode="#,##0.00">
                  <c:v>1951.7539716010422</c:v>
                </c:pt>
                <c:pt idx="939" formatCode="#,##0.00">
                  <c:v>1959.1900881938122</c:v>
                </c:pt>
                <c:pt idx="940" formatCode="#,##0.00">
                  <c:v>1963.9430259130027</c:v>
                </c:pt>
                <c:pt idx="941" formatCode="#,##0.00">
                  <c:v>1971.1995579719764</c:v>
                </c:pt>
                <c:pt idx="942" formatCode="#,##0.00">
                  <c:v>1978.7169323362805</c:v>
                </c:pt>
                <c:pt idx="943" formatCode="#,##0.00">
                  <c:v>1990.9761680970951</c:v>
                </c:pt>
                <c:pt idx="944" formatCode="#,##0.00">
                  <c:v>2002.9405949249167</c:v>
                </c:pt>
                <c:pt idx="945" formatCode="#,##0.00">
                  <c:v>2027.2571111222978</c:v>
                </c:pt>
                <c:pt idx="946" formatCode="#,##0.00">
                  <c:v>2062.8699856820917</c:v>
                </c:pt>
                <c:pt idx="947" formatCode="#,##0.00">
                  <c:v>2101.2112363672409</c:v>
                </c:pt>
                <c:pt idx="948" formatCode="#,##0.00">
                  <c:v>2118.6511087538947</c:v>
                </c:pt>
                <c:pt idx="949" formatCode="#,##0.00">
                  <c:v>2132.6611770302643</c:v>
                </c:pt>
                <c:pt idx="950" formatCode="#,##0.00">
                  <c:v>2132.3881450115014</c:v>
                </c:pt>
                <c:pt idx="951" formatCode="#,##0.00">
                  <c:v>2133.5260098841209</c:v>
                </c:pt>
                <c:pt idx="952" formatCode="#,##0.00">
                  <c:v>2132.2712989960673</c:v>
                </c:pt>
                <c:pt idx="953" formatCode="#,##0.00">
                  <c:v>2124.8416723404548</c:v>
                </c:pt>
                <c:pt idx="954" formatCode="#,##0.00">
                  <c:v>2120.8130681528824</c:v>
                </c:pt>
                <c:pt idx="955" formatCode="#,##0.00">
                  <c:v>2118.6987841229002</c:v>
                </c:pt>
                <c:pt idx="956" formatCode="#,##0.00">
                  <c:v>2107.3212531502681</c:v>
                </c:pt>
                <c:pt idx="957" formatCode="#,##0.00">
                  <c:v>2088.9012399894109</c:v>
                </c:pt>
                <c:pt idx="958" formatCode="#,##0.00">
                  <c:v>2078.1877298069458</c:v>
                </c:pt>
                <c:pt idx="959" formatCode="#,##0.00">
                  <c:v>2074.0992973971156</c:v>
                </c:pt>
                <c:pt idx="960" formatCode="#,##0.00">
                  <c:v>2072.6973896612744</c:v>
                </c:pt>
                <c:pt idx="961" formatCode="#,##0.00">
                  <c:v>2069.5649287742226</c:v>
                </c:pt>
                <c:pt idx="962" formatCode="#,##0.00">
                  <c:v>2070.7033717311319</c:v>
                </c:pt>
                <c:pt idx="963" formatCode="#,##0.00">
                  <c:v>2082.9134586834798</c:v>
                </c:pt>
                <c:pt idx="964" formatCode="#,##0.00">
                  <c:v>2089.5023338527094</c:v>
                </c:pt>
                <c:pt idx="965" formatCode="#,##0.00">
                  <c:v>2092.1086672838837</c:v>
                </c:pt>
                <c:pt idx="966" formatCode="#,##0.00">
                  <c:v>2094.8541745909879</c:v>
                </c:pt>
                <c:pt idx="967" formatCode="#,##0.00">
                  <c:v>2093.7286104676832</c:v>
                </c:pt>
                <c:pt idx="968" formatCode="#,##0.00">
                  <c:v>2083.2195281594932</c:v>
                </c:pt>
                <c:pt idx="969" formatCode="#,##0.00">
                  <c:v>2074.6570065053088</c:v>
                </c:pt>
                <c:pt idx="970" formatCode="#,##0.00">
                  <c:v>2070.1065588724837</c:v>
                </c:pt>
                <c:pt idx="971" formatCode="#,##0.00">
                  <c:v>2067.7634879727557</c:v>
                </c:pt>
                <c:pt idx="972" formatCode="#,##0.00">
                  <c:v>2057.9927163290135</c:v>
                </c:pt>
                <c:pt idx="973" formatCode="#,##0.00">
                  <c:v>2046.86960879055</c:v>
                </c:pt>
                <c:pt idx="974" formatCode="#,##0.00">
                  <c:v>2038.7031165767585</c:v>
                </c:pt>
                <c:pt idx="975" formatCode="#,##0.00">
                  <c:v>2028.4712403696469</c:v>
                </c:pt>
                <c:pt idx="976" formatCode="#,##0.00">
                  <c:v>2021.1322575105803</c:v>
                </c:pt>
                <c:pt idx="977" formatCode="#,##0.00">
                  <c:v>2013.6844103869066</c:v>
                </c:pt>
                <c:pt idx="978" formatCode="#,##0.00">
                  <c:v>2009.8252215946923</c:v>
                </c:pt>
                <c:pt idx="979" formatCode="#,##0.00">
                  <c:v>2004.7068965500264</c:v>
                </c:pt>
                <c:pt idx="980" formatCode="#,##0.00">
                  <c:v>2002.9749464053807</c:v>
                </c:pt>
                <c:pt idx="981" formatCode="#,##0.00">
                  <c:v>2001.0240351494942</c:v>
                </c:pt>
                <c:pt idx="982" formatCode="#,##0.00">
                  <c:v>2001.1173394074196</c:v>
                </c:pt>
                <c:pt idx="983" formatCode="#,##0.00">
                  <c:v>2001.2401114119423</c:v>
                </c:pt>
                <c:pt idx="984" formatCode="#,##0.00">
                  <c:v>2001.226008090505</c:v>
                </c:pt>
                <c:pt idx="985" formatCode="#,##0.00">
                  <c:v>2012.0076496739484</c:v>
                </c:pt>
                <c:pt idx="986" formatCode="#,##0.00">
                  <c:v>2018.476111071167</c:v>
                </c:pt>
                <c:pt idx="987" formatCode="#,##0.00">
                  <c:v>2025.9448969310513</c:v>
                </c:pt>
                <c:pt idx="988" formatCode="#,##0.00">
                  <c:v>2026.3503683272006</c:v>
                </c:pt>
                <c:pt idx="989" formatCode="#,##0.00">
                  <c:v>2026.6522578064009</c:v>
                </c:pt>
                <c:pt idx="990" formatCode="#,##0.00">
                  <c:v>2029.4310859233174</c:v>
                </c:pt>
                <c:pt idx="991" formatCode="#,##0.00">
                  <c:v>2032.6570170522039</c:v>
                </c:pt>
                <c:pt idx="992" formatCode="#,##0.00">
                  <c:v>2039.3981210748057</c:v>
                </c:pt>
                <c:pt idx="993" formatCode="#,##0.00">
                  <c:v>2047.8013202352602</c:v>
                </c:pt>
                <c:pt idx="994" formatCode="#,##0.00">
                  <c:v>2054.5757694473409</c:v>
                </c:pt>
                <c:pt idx="995" formatCode="#,##0.00">
                  <c:v>2056.6555804385725</c:v>
                </c:pt>
                <c:pt idx="996" formatCode="#,##0.00">
                  <c:v>2061.2344140481432</c:v>
                </c:pt>
                <c:pt idx="997" formatCode="#,##0.00">
                  <c:v>2072.3452347277389</c:v>
                </c:pt>
                <c:pt idx="998" formatCode="#,##0.00">
                  <c:v>2089.5404399838903</c:v>
                </c:pt>
                <c:pt idx="999" formatCode="#,##0.00">
                  <c:v>2105.364468780293</c:v>
                </c:pt>
                <c:pt idx="1000" formatCode="#,##0.00">
                  <c:v>2118.0843114111567</c:v>
                </c:pt>
                <c:pt idx="1001" formatCode="#,##0.00">
                  <c:v>2129.8361656801558</c:v>
                </c:pt>
                <c:pt idx="1002" formatCode="#,##0.00">
                  <c:v>2146.5776213322224</c:v>
                </c:pt>
                <c:pt idx="1003" formatCode="#,##0.00">
                  <c:v>2161.4179649496459</c:v>
                </c:pt>
                <c:pt idx="1004" formatCode="#,##0.00">
                  <c:v>2173.7643967032168</c:v>
                </c:pt>
                <c:pt idx="1005" formatCode="#,##0.00">
                  <c:v>2183.2100507039836</c:v>
                </c:pt>
                <c:pt idx="1006" formatCode="#,##0.00">
                  <c:v>2199.2550746586603</c:v>
                </c:pt>
                <c:pt idx="1007" formatCode="#,##0.00">
                  <c:v>2217.39844134347</c:v>
                </c:pt>
                <c:pt idx="1008" formatCode="#,##0.00">
                  <c:v>2242.2274287235286</c:v>
                </c:pt>
                <c:pt idx="1009" formatCode="#,##0.00">
                  <c:v>2257.7218711963369</c:v>
                </c:pt>
                <c:pt idx="1010" formatCode="#,##0.00">
                  <c:v>2269.9288042341459</c:v>
                </c:pt>
                <c:pt idx="1011" formatCode="#,##0.00">
                  <c:v>2284.2191911965911</c:v>
                </c:pt>
                <c:pt idx="1012" formatCode="#,##0.00">
                  <c:v>2280.69975318054</c:v>
                </c:pt>
                <c:pt idx="1013" formatCode="#,##0.00">
                  <c:v>2287.2553509810441</c:v>
                </c:pt>
                <c:pt idx="1014" formatCode="#,##0.00">
                  <c:v>2293.2392788531579</c:v>
                </c:pt>
                <c:pt idx="1015" formatCode="#,##0.00">
                  <c:v>2296.6335563577422</c:v>
                </c:pt>
                <c:pt idx="1016" formatCode="#,##0.00">
                  <c:v>2298.0266000489842</c:v>
                </c:pt>
                <c:pt idx="1017" formatCode="#,##0.00">
                  <c:v>2297.9819671257433</c:v>
                </c:pt>
                <c:pt idx="1018" formatCode="#,##0.00">
                  <c:v>2288.2421709007399</c:v>
                </c:pt>
                <c:pt idx="1019" formatCode="#,##0.00">
                  <c:v>2277.7534553662413</c:v>
                </c:pt>
                <c:pt idx="1020" formatCode="#,##0.00">
                  <c:v>2267.8408815862508</c:v>
                </c:pt>
                <c:pt idx="1021" formatCode="#,##0.00">
                  <c:v>2256.2553885383609</c:v>
                </c:pt>
                <c:pt idx="1022" formatCode="#,##0.00">
                  <c:v>2260.0684079429011</c:v>
                </c:pt>
                <c:pt idx="1023" formatCode="#,##0.00">
                  <c:v>2246.0313733086737</c:v>
                </c:pt>
                <c:pt idx="1024" formatCode="#,##0.00">
                  <c:v>2226.4250774709835</c:v>
                </c:pt>
                <c:pt idx="1025" formatCode="#,##0.00">
                  <c:v>2216.521356299485</c:v>
                </c:pt>
                <c:pt idx="1026" formatCode="#,##0.00">
                  <c:v>2208.0832146392704</c:v>
                </c:pt>
                <c:pt idx="1027" formatCode="#,##0.00">
                  <c:v>2199.1605308262228</c:v>
                </c:pt>
                <c:pt idx="1028" formatCode="#,##0.00">
                  <c:v>2178.8676437179092</c:v>
                </c:pt>
                <c:pt idx="1029" formatCode="#,##0.00">
                  <c:v>2163.2793768711595</c:v>
                </c:pt>
                <c:pt idx="1030" formatCode="#,##0.00">
                  <c:v>2152.7002585441096</c:v>
                </c:pt>
                <c:pt idx="1031" formatCode="#,##0.00">
                  <c:v>2144.8890498768051</c:v>
                </c:pt>
                <c:pt idx="1032" formatCode="#,##0.00">
                  <c:v>2137.2925871475873</c:v>
                </c:pt>
                <c:pt idx="1033" formatCode="#,##0.00">
                  <c:v>2135.2542233987224</c:v>
                </c:pt>
                <c:pt idx="1034" formatCode="#,##0.00">
                  <c:v>2136.3203637161496</c:v>
                </c:pt>
                <c:pt idx="1035" formatCode="#,##0.00">
                  <c:v>2135.5303174033706</c:v>
                </c:pt>
                <c:pt idx="1036" formatCode="#,##0.00">
                  <c:v>2136.9918266885416</c:v>
                </c:pt>
                <c:pt idx="1037" formatCode="#,##0.00">
                  <c:v>2140.3283695805226</c:v>
                </c:pt>
                <c:pt idx="1038" formatCode="#,##0.00">
                  <c:v>2151.9265289870136</c:v>
                </c:pt>
                <c:pt idx="1039" formatCode="#,##0.00">
                  <c:v>2165.674829874913</c:v>
                </c:pt>
                <c:pt idx="1040" formatCode="#,##0.00">
                  <c:v>2177.5143765686385</c:v>
                </c:pt>
                <c:pt idx="1041" formatCode="#,##0.00">
                  <c:v>2193.0264655476376</c:v>
                </c:pt>
                <c:pt idx="1042" formatCode="#,##0.00">
                  <c:v>2200.1904429172355</c:v>
                </c:pt>
                <c:pt idx="1043" formatCode="#,##0.00">
                  <c:v>2206.0960851310369</c:v>
                </c:pt>
                <c:pt idx="1044" formatCode="#,##0.00">
                  <c:v>2213.5493994366966</c:v>
                </c:pt>
                <c:pt idx="1045" formatCode="#,##0.00">
                  <c:v>2216.1911176401545</c:v>
                </c:pt>
                <c:pt idx="1046" formatCode="#,##0.00">
                  <c:v>2216.258298911026</c:v>
                </c:pt>
                <c:pt idx="1047" formatCode="#,##0.00">
                  <c:v>2210.8284662121478</c:v>
                </c:pt>
                <c:pt idx="1048" formatCode="#,##0.00">
                  <c:v>2207.7996861914494</c:v>
                </c:pt>
                <c:pt idx="1049" formatCode="#,##0.00">
                  <c:v>2207.9530299281755</c:v>
                </c:pt>
                <c:pt idx="1050" formatCode="#,##0.00">
                  <c:v>2207.8872382375821</c:v>
                </c:pt>
                <c:pt idx="1051" formatCode="#,##0.00">
                  <c:v>2196.8788744702238</c:v>
                </c:pt>
                <c:pt idx="1052" formatCode="#,##0.00">
                  <c:v>2185.8907237860362</c:v>
                </c:pt>
                <c:pt idx="1053" formatCode="#,##0.00">
                  <c:v>2143.3966658475124</c:v>
                </c:pt>
                <c:pt idx="1054" formatCode="#,##0.00">
                  <c:v>2125.5689953763558</c:v>
                </c:pt>
                <c:pt idx="1055" formatCode="#,##0.00">
                  <c:v>2120.7235944638878</c:v>
                </c:pt>
                <c:pt idx="1056" formatCode="#,##0.00">
                  <c:v>2108.3854636578453</c:v>
                </c:pt>
                <c:pt idx="1057" formatCode="#,##0.00">
                  <c:v>2103.759583294087</c:v>
                </c:pt>
                <c:pt idx="1058" formatCode="#,##0.00">
                  <c:v>2103.2610746062242</c:v>
                </c:pt>
                <c:pt idx="1059" formatCode="#,##0.00">
                  <c:v>2100.686886809699</c:v>
                </c:pt>
                <c:pt idx="1060" formatCode="#,##0.00">
                  <c:v>2095.9938351016658</c:v>
                </c:pt>
                <c:pt idx="1061" formatCode="#,##0.00">
                  <c:v>2093.8192635902328</c:v>
                </c:pt>
                <c:pt idx="1062" formatCode="#,##0.00">
                  <c:v>2093.4923396927998</c:v>
                </c:pt>
                <c:pt idx="1063" formatCode="#,##0.00">
                  <c:v>2114.0024014555297</c:v>
                </c:pt>
                <c:pt idx="1064" formatCode="#,##0.00">
                  <c:v>2128.5730695123398</c:v>
                </c:pt>
                <c:pt idx="1065" formatCode="#,##0.00">
                  <c:v>2132.4474080214991</c:v>
                </c:pt>
                <c:pt idx="1066" formatCode="#,##0.00">
                  <c:v>2133.6505221376865</c:v>
                </c:pt>
                <c:pt idx="1067" formatCode="#,##0.00">
                  <c:v>2133.9365970212011</c:v>
                </c:pt>
                <c:pt idx="1068" formatCode="#,##0.00">
                  <c:v>2132.9606924837344</c:v>
                </c:pt>
                <c:pt idx="1069" formatCode="#,##0.00">
                  <c:v>2134.9481598520019</c:v>
                </c:pt>
                <c:pt idx="1070" formatCode="#,##0.00">
                  <c:v>2144.4028702893888</c:v>
                </c:pt>
                <c:pt idx="1071" formatCode="#,##0.00">
                  <c:v>2160.5697205503438</c:v>
                </c:pt>
                <c:pt idx="1072" formatCode="#,##0.00">
                  <c:v>2171.4601408160561</c:v>
                </c:pt>
                <c:pt idx="1073" formatCode="#,##0.00">
                  <c:v>2177.895465002503</c:v>
                </c:pt>
                <c:pt idx="1074" formatCode="#,##0.00">
                  <c:v>2180.7113000562481</c:v>
                </c:pt>
                <c:pt idx="1075" formatCode="#,##0.00">
                  <c:v>2183.9525126503431</c:v>
                </c:pt>
                <c:pt idx="1076" formatCode="#,##0.00">
                  <c:v>2188.0009298044624</c:v>
                </c:pt>
                <c:pt idx="1077" formatCode="#,##0.00">
                  <c:v>2193.8034197775351</c:v>
                </c:pt>
                <c:pt idx="1078" formatCode="#,##0.00">
                  <c:v>2200.5910763376087</c:v>
                </c:pt>
                <c:pt idx="1079" formatCode="#,##0.00">
                  <c:v>2205.1710985169589</c:v>
                </c:pt>
                <c:pt idx="1080" formatCode="#,##0.00">
                  <c:v>2208.7067194647507</c:v>
                </c:pt>
                <c:pt idx="1081" formatCode="#,##0.00">
                  <c:v>2205.8470382082337</c:v>
                </c:pt>
                <c:pt idx="1082" formatCode="#,##0.00">
                  <c:v>2205.1432823929936</c:v>
                </c:pt>
                <c:pt idx="1083" formatCode="#,##0.00">
                  <c:v>2208.0725893947911</c:v>
                </c:pt>
                <c:pt idx="1084" formatCode="#,##0.00">
                  <c:v>2198.4962694172573</c:v>
                </c:pt>
                <c:pt idx="1085" formatCode="#,##0.00">
                  <c:v>2192.6182202312871</c:v>
                </c:pt>
                <c:pt idx="1086" formatCode="#,##0.00">
                  <c:v>2188.2770353298251</c:v>
                </c:pt>
                <c:pt idx="1087" formatCode="#,##0.00">
                  <c:v>2180.2962895536944</c:v>
                </c:pt>
                <c:pt idx="1088" formatCode="#,##0.00">
                  <c:v>2181.0914674287728</c:v>
                </c:pt>
                <c:pt idx="1089" formatCode="#,##0.00">
                  <c:v>2182.4505687658288</c:v>
                </c:pt>
                <c:pt idx="1090" formatCode="#,##0.00">
                  <c:v>2183.0024707082312</c:v>
                </c:pt>
                <c:pt idx="1091" formatCode="#,##0.00">
                  <c:v>2179.1844849387821</c:v>
                </c:pt>
                <c:pt idx="1092" formatCode="#,##0.00">
                  <c:v>2153.8718452726243</c:v>
                </c:pt>
                <c:pt idx="1093" formatCode="#,##0.00">
                  <c:v>2143.2875680672237</c:v>
                </c:pt>
                <c:pt idx="1094" formatCode="#,##0.00">
                  <c:v>2131.5952960248874</c:v>
                </c:pt>
                <c:pt idx="1095" formatCode="#,##0.00">
                  <c:v>2125.9814924482898</c:v>
                </c:pt>
                <c:pt idx="1096" formatCode="#,##0.00">
                  <c:v>2123.9301684585903</c:v>
                </c:pt>
                <c:pt idx="1097" formatCode="#,##0.00">
                  <c:v>2123.9571888095825</c:v>
                </c:pt>
                <c:pt idx="1098" formatCode="#,##0.00">
                  <c:v>2119.2699404337372</c:v>
                </c:pt>
                <c:pt idx="1099" formatCode="#,##0.00">
                  <c:v>2116.7917639009102</c:v>
                </c:pt>
                <c:pt idx="1100" formatCode="#,##0.00">
                  <c:v>2114.5404857751601</c:v>
                </c:pt>
                <c:pt idx="1101" formatCode="#,##0.00">
                  <c:v>2108.2409865919203</c:v>
                </c:pt>
                <c:pt idx="1102" formatCode="#,##0.00">
                  <c:v>2118.8739456118628</c:v>
                </c:pt>
                <c:pt idx="1103" formatCode="#,##0.00">
                  <c:v>2125.2283679857064</c:v>
                </c:pt>
                <c:pt idx="1104" formatCode="#,##0.00">
                  <c:v>2131.2817552603865</c:v>
                </c:pt>
                <c:pt idx="1105" formatCode="#,##0.00">
                  <c:v>2129.8263098262673</c:v>
                </c:pt>
                <c:pt idx="1106" formatCode="#,##0.00">
                  <c:v>2124.2097600142979</c:v>
                </c:pt>
                <c:pt idx="1107" formatCode="#,##0.00">
                  <c:v>2119.0962516828104</c:v>
                </c:pt>
                <c:pt idx="1108" formatCode="#,##0.00">
                  <c:v>2119.9170812070997</c:v>
                </c:pt>
                <c:pt idx="1109" formatCode="#,##0.00">
                  <c:v>2126.7928658920291</c:v>
                </c:pt>
                <c:pt idx="1110" formatCode="#,##0.00">
                  <c:v>2133.3011122308517</c:v>
                </c:pt>
                <c:pt idx="1111" formatCode="#,##0.00">
                  <c:v>2137.6713256868102</c:v>
                </c:pt>
                <c:pt idx="1112" formatCode="#,##0.00">
                  <c:v>2147.6858550103889</c:v>
                </c:pt>
                <c:pt idx="1113" formatCode="#,##0.00">
                  <c:v>2159.1656225241259</c:v>
                </c:pt>
                <c:pt idx="1114" formatCode="#,##0.00">
                  <c:v>2169.9773042421152</c:v>
                </c:pt>
                <c:pt idx="1115" formatCode="#,##0.00">
                  <c:v>2189.4861292388791</c:v>
                </c:pt>
                <c:pt idx="1116" formatCode="#,##0.00">
                  <c:v>2210.0147469727162</c:v>
                </c:pt>
                <c:pt idx="1117" formatCode="#,##0.00">
                  <c:v>2226.9966569021144</c:v>
                </c:pt>
                <c:pt idx="1118" formatCode="#,##0.00">
                  <c:v>2242.583098802987</c:v>
                </c:pt>
                <c:pt idx="1119" formatCode="#,##0.00">
                  <c:v>2257.5725571029857</c:v>
                </c:pt>
                <c:pt idx="1120" formatCode="#,##0.00">
                  <c:v>2269.5512706743225</c:v>
                </c:pt>
                <c:pt idx="1121" formatCode="#,##0.00">
                  <c:v>2293.0088006009164</c:v>
                </c:pt>
                <c:pt idx="1122" formatCode="#,##0.00">
                  <c:v>2312.841492225084</c:v>
                </c:pt>
                <c:pt idx="1123" formatCode="#,##0.00">
                  <c:v>2321.6296961280696</c:v>
                </c:pt>
                <c:pt idx="1124" formatCode="#,##0.00">
                  <c:v>2335.0382782602901</c:v>
                </c:pt>
                <c:pt idx="1125" formatCode="#,##0.00">
                  <c:v>2352.3999080220874</c:v>
                </c:pt>
                <c:pt idx="1126" formatCode="#,##0.00">
                  <c:v>2359.7392038976404</c:v>
                </c:pt>
                <c:pt idx="1127" formatCode="#,##0.00">
                  <c:v>2381.056851208336</c:v>
                </c:pt>
                <c:pt idx="1128" formatCode="#,##0.00">
                  <c:v>2399.6093024355901</c:v>
                </c:pt>
                <c:pt idx="1129" formatCode="#,##0.00">
                  <c:v>2406.5620151131598</c:v>
                </c:pt>
                <c:pt idx="1130" formatCode="#,##0.00">
                  <c:v>2412.9927763267838</c:v>
                </c:pt>
                <c:pt idx="1131" formatCode="#,##0.00">
                  <c:v>2418.5213152638462</c:v>
                </c:pt>
                <c:pt idx="1132" formatCode="#,##0.00">
                  <c:v>2419.2173868623472</c:v>
                </c:pt>
                <c:pt idx="1133" formatCode="#,##0.00">
                  <c:v>2419.7240919293235</c:v>
                </c:pt>
                <c:pt idx="1134" formatCode="#,##0.00">
                  <c:v>2419.5405481060484</c:v>
                </c:pt>
                <c:pt idx="1135" formatCode="#,##0.00">
                  <c:v>2417.0241356880529</c:v>
                </c:pt>
                <c:pt idx="1136" formatCode="#,##0.00">
                  <c:v>2423.8391160549395</c:v>
                </c:pt>
                <c:pt idx="1137" formatCode="#,##0.00">
                  <c:v>2420.6344039119867</c:v>
                </c:pt>
                <c:pt idx="1138" formatCode="#,##0.00">
                  <c:v>2427.8087229563957</c:v>
                </c:pt>
                <c:pt idx="1139" formatCode="#,##0.00">
                  <c:v>2444.7798746910453</c:v>
                </c:pt>
                <c:pt idx="1140" formatCode="#,##0.00">
                  <c:v>2465.0431800660645</c:v>
                </c:pt>
                <c:pt idx="1141" formatCode="#,##0.00">
                  <c:v>2483.3863989861579</c:v>
                </c:pt>
                <c:pt idx="1142" formatCode="#,##0.00">
                  <c:v>2496.3082688246263</c:v>
                </c:pt>
                <c:pt idx="1143" formatCode="#,##0.00">
                  <c:v>2512.7098617660408</c:v>
                </c:pt>
                <c:pt idx="1144" formatCode="#,##0.00">
                  <c:v>2529.0170674952947</c:v>
                </c:pt>
                <c:pt idx="1145" formatCode="#,##0.00">
                  <c:v>2541.8868871648779</c:v>
                </c:pt>
                <c:pt idx="1146" formatCode="#,##0.00">
                  <c:v>2556.2520244103348</c:v>
                </c:pt>
                <c:pt idx="1147" formatCode="#,##0.00">
                  <c:v>2558.5712849599745</c:v>
                </c:pt>
                <c:pt idx="1148" formatCode="#,##0.00">
                  <c:v>2559.9226765847402</c:v>
                </c:pt>
                <c:pt idx="1149" formatCode="#,##0.00">
                  <c:v>2550.6753313315339</c:v>
                </c:pt>
                <c:pt idx="1150" formatCode="#,##0.00">
                  <c:v>2542.1645960314077</c:v>
                </c:pt>
                <c:pt idx="1151" formatCode="#,##0.00">
                  <c:v>2531.535252215755</c:v>
                </c:pt>
                <c:pt idx="1152" formatCode="#,##0.00">
                  <c:v>2524.0394833663831</c:v>
                </c:pt>
                <c:pt idx="1153" formatCode="#,##0.00">
                  <c:v>2513.1409413174506</c:v>
                </c:pt>
                <c:pt idx="1154" formatCode="#,##0.00">
                  <c:v>2502.9114143215675</c:v>
                </c:pt>
                <c:pt idx="1155" formatCode="#,##0.00">
                  <c:v>2496.4329845926154</c:v>
                </c:pt>
                <c:pt idx="1156" formatCode="#,##0.00">
                  <c:v>2487.336385195978</c:v>
                </c:pt>
                <c:pt idx="1157" formatCode="#,##0.00">
                  <c:v>2479.5719139001617</c:v>
                </c:pt>
                <c:pt idx="1158" formatCode="#,##0.00">
                  <c:v>2471.8249048243406</c:v>
                </c:pt>
                <c:pt idx="1159" formatCode="#,##0.00">
                  <c:v>2469.1668154461959</c:v>
                </c:pt>
                <c:pt idx="1160" formatCode="#,##0.00">
                  <c:v>2473.4701334700489</c:v>
                </c:pt>
                <c:pt idx="1161" formatCode="#,##0.00">
                  <c:v>2477.9291078344168</c:v>
                </c:pt>
                <c:pt idx="1162" formatCode="#,##0.00">
                  <c:v>2482.5426917906657</c:v>
                </c:pt>
                <c:pt idx="1163" formatCode="#,##0.00">
                  <c:v>2484.0266944924992</c:v>
                </c:pt>
                <c:pt idx="1164" formatCode="#,##0.00">
                  <c:v>2484.4423154667679</c:v>
                </c:pt>
                <c:pt idx="1165" formatCode="#,##0.00">
                  <c:v>2487.6652131459696</c:v>
                </c:pt>
                <c:pt idx="1166" formatCode="#,##0.00">
                  <c:v>2506.6373374308823</c:v>
                </c:pt>
                <c:pt idx="1167" formatCode="#,##0.00">
                  <c:v>2520.7401195699495</c:v>
                </c:pt>
                <c:pt idx="1168" formatCode="#,##0.00">
                  <c:v>2535.91506356321</c:v>
                </c:pt>
                <c:pt idx="1169" formatCode="#,##0.00">
                  <c:v>2558.1975013394126</c:v>
                </c:pt>
                <c:pt idx="1170" formatCode="#,##0.00">
                  <c:v>2575.2197161843287</c:v>
                </c:pt>
                <c:pt idx="1171" formatCode="#,##0.00">
                  <c:v>2583.416506413057</c:v>
                </c:pt>
                <c:pt idx="1172" formatCode="#,##0.00">
                  <c:v>2588.511747894855</c:v>
                </c:pt>
                <c:pt idx="1173" formatCode="#,##0.00">
                  <c:v>2597.1419956523609</c:v>
                </c:pt>
                <c:pt idx="1174" formatCode="#,##0.00">
                  <c:v>2598.6324643855555</c:v>
                </c:pt>
                <c:pt idx="1175" formatCode="#,##0.00">
                  <c:v>2600.1890596590924</c:v>
                </c:pt>
                <c:pt idx="1176" formatCode="#,##0.00">
                  <c:v>2601.3099418578513</c:v>
                </c:pt>
                <c:pt idx="1177" formatCode="#,##0.00">
                  <c:v>2604.4146728230749</c:v>
                </c:pt>
                <c:pt idx="1178" formatCode="#,##0.00">
                  <c:v>2625.781597514539</c:v>
                </c:pt>
                <c:pt idx="1179" formatCode="#,##0.00">
                  <c:v>2630.774818637537</c:v>
                </c:pt>
                <c:pt idx="1180" formatCode="#,##0.00">
                  <c:v>2641.0631831763858</c:v>
                </c:pt>
                <c:pt idx="1181" formatCode="#,##0.00">
                  <c:v>2646.0572763854661</c:v>
                </c:pt>
                <c:pt idx="1182" formatCode="#,##0.00">
                  <c:v>2655.3434545625569</c:v>
                </c:pt>
                <c:pt idx="1183" formatCode="#,##0.00">
                  <c:v>2661.4964653898173</c:v>
                </c:pt>
                <c:pt idx="1184" formatCode="#,##0.00">
                  <c:v>2674.5608892902574</c:v>
                </c:pt>
                <c:pt idx="1185" formatCode="#,##0.00">
                  <c:v>2691.7818480092169</c:v>
                </c:pt>
                <c:pt idx="1186" formatCode="#,##0.00">
                  <c:v>2707.7801756949675</c:v>
                </c:pt>
                <c:pt idx="1187" formatCode="#,##0.00">
                  <c:v>2721.4154555184473</c:v>
                </c:pt>
                <c:pt idx="1188" formatCode="#,##0.00">
                  <c:v>2722.3825422657005</c:v>
                </c:pt>
                <c:pt idx="1189" formatCode="#,##0.00">
                  <c:v>2721.6286457552187</c:v>
                </c:pt>
                <c:pt idx="1190" formatCode="#,##0.00">
                  <c:v>2718.8816093596329</c:v>
                </c:pt>
                <c:pt idx="1191" formatCode="#,##0.00">
                  <c:v>2723.6360977656636</c:v>
                </c:pt>
                <c:pt idx="1192" formatCode="#,##0.00">
                  <c:v>2724.4545958000831</c:v>
                </c:pt>
                <c:pt idx="1193" formatCode="#,##0.00">
                  <c:v>2722.7613922525538</c:v>
                </c:pt>
                <c:pt idx="1194" formatCode="#,##0.00">
                  <c:v>2642.4467563897447</c:v>
                </c:pt>
                <c:pt idx="1195" formatCode="#,##0.00">
                  <c:v>2614.0861154989261</c:v>
                </c:pt>
                <c:pt idx="1196" formatCode="#,##0.00">
                  <c:v>2593.1026368137032</c:v>
                </c:pt>
                <c:pt idx="1197" formatCode="#,##0.00">
                  <c:v>2565.7659106345031</c:v>
                </c:pt>
                <c:pt idx="1198" formatCode="#,##0.00">
                  <c:v>2556.5382324666466</c:v>
                </c:pt>
                <c:pt idx="1199" formatCode="#,##0.00">
                  <c:v>2541.0941634828464</c:v>
                </c:pt>
                <c:pt idx="1200" formatCode="#,##0.00">
                  <c:v>2524.7129605800778</c:v>
                </c:pt>
                <c:pt idx="1201" formatCode="#,##0.00">
                  <c:v>2510.0025932778676</c:v>
                </c:pt>
                <c:pt idx="1202" formatCode="#,##0.00">
                  <c:v>2500.7144537837507</c:v>
                </c:pt>
                <c:pt idx="1203" formatCode="#,##0.00">
                  <c:v>2486.3664905058499</c:v>
                </c:pt>
                <c:pt idx="1204" formatCode="#,##0.00">
                  <c:v>2508.6372762168576</c:v>
                </c:pt>
                <c:pt idx="1205" formatCode="#,##0.00">
                  <c:v>2527.3543557013886</c:v>
                </c:pt>
                <c:pt idx="1206" formatCode="#,##0.00">
                  <c:v>2539.9579481167557</c:v>
                </c:pt>
                <c:pt idx="1207" formatCode="#,##0.00">
                  <c:v>2548.5824124861597</c:v>
                </c:pt>
                <c:pt idx="1208" formatCode="#,##0.00">
                  <c:v>2551.1049964483923</c:v>
                </c:pt>
                <c:pt idx="1209" formatCode="#,##0.00">
                  <c:v>2562.8272184235889</c:v>
                </c:pt>
                <c:pt idx="1210" formatCode="#,##0.00">
                  <c:v>2573.7734725878204</c:v>
                </c:pt>
                <c:pt idx="1211" formatCode="#,##0.00">
                  <c:v>2583.9777183997294</c:v>
                </c:pt>
                <c:pt idx="1212" formatCode="#,##0.00">
                  <c:v>2594.2388894874325</c:v>
                </c:pt>
                <c:pt idx="1213" formatCode="#,##0.00">
                  <c:v>2594.1333201793523</c:v>
                </c:pt>
                <c:pt idx="1214" formatCode="#,##0.00">
                  <c:v>2590.2184668278901</c:v>
                </c:pt>
                <c:pt idx="1215" formatCode="#,##0.00">
                  <c:v>2587.6977241425175</c:v>
                </c:pt>
                <c:pt idx="1216" formatCode="#,##0.00">
                  <c:v>2592.0720758932084</c:v>
                </c:pt>
                <c:pt idx="1217" formatCode="#,##0.00">
                  <c:v>2601.0765858419995</c:v>
                </c:pt>
                <c:pt idx="1218" formatCode="#,##0.00">
                  <c:v>2608.634524229104</c:v>
                </c:pt>
                <c:pt idx="1219" formatCode="#,##0.00">
                  <c:v>2612.0028172887223</c:v>
                </c:pt>
                <c:pt idx="1220" formatCode="#,##0.00">
                  <c:v>2617.9827567139346</c:v>
                </c:pt>
                <c:pt idx="1221" formatCode="#,##0.00">
                  <c:v>2623.8193305439331</c:v>
                </c:pt>
                <c:pt idx="1222" formatCode="#,##0.00">
                  <c:v>2630.4796764957009</c:v>
                </c:pt>
                <c:pt idx="1223" formatCode="#,##0.00">
                  <c:v>2636.3300759227222</c:v>
                </c:pt>
                <c:pt idx="1224" formatCode="#,##0.00">
                  <c:v>2642.9132770822339</c:v>
                </c:pt>
                <c:pt idx="1225" formatCode="#,##0.00">
                  <c:v>2647.7683404915083</c:v>
                </c:pt>
                <c:pt idx="1226" formatCode="#,##0.00">
                  <c:v>2645.282491871304</c:v>
                </c:pt>
                <c:pt idx="1227" formatCode="#,##0.00">
                  <c:v>2628.24869833703</c:v>
                </c:pt>
                <c:pt idx="1228" formatCode="#,##0.00">
                  <c:v>2614.6389727400719</c:v>
                </c:pt>
                <c:pt idx="1229" formatCode="#,##0.00">
                  <c:v>2603.3804464266564</c:v>
                </c:pt>
                <c:pt idx="1230" formatCode="#,##0.00">
                  <c:v>2590.6378064518276</c:v>
                </c:pt>
                <c:pt idx="1231" formatCode="#,##0.00">
                  <c:v>2571.1801030947768</c:v>
                </c:pt>
                <c:pt idx="1232" formatCode="#,##0.00">
                  <c:v>2532.3735599754527</c:v>
                </c:pt>
                <c:pt idx="1233" formatCode="#,##0.00">
                  <c:v>2509.3837237294128</c:v>
                </c:pt>
                <c:pt idx="1234" formatCode="#,##0.00">
                  <c:v>2486.4451371220193</c:v>
                </c:pt>
                <c:pt idx="1235" formatCode="#,##0.00">
                  <c:v>2476.4461962891842</c:v>
                </c:pt>
                <c:pt idx="1236" formatCode="#,##0.00">
                  <c:v>2466.4582510519426</c:v>
                </c:pt>
                <c:pt idx="1237" formatCode="#,##0.00">
                  <c:v>2459.4257971081179</c:v>
                </c:pt>
                <c:pt idx="1238" formatCode="#,##0.00">
                  <c:v>2454.9288074739716</c:v>
                </c:pt>
                <c:pt idx="1239" formatCode="#,##0.00">
                  <c:v>2454.591607327985</c:v>
                </c:pt>
                <c:pt idx="1240" formatCode="#,##0.00">
                  <c:v>2451.592140149578</c:v>
                </c:pt>
                <c:pt idx="1241" formatCode="#,##0.00">
                  <c:v>2452.8084184437303</c:v>
                </c:pt>
                <c:pt idx="1242" formatCode="#,##0.00">
                  <c:v>2473.539774198181</c:v>
                </c:pt>
                <c:pt idx="1243" formatCode="#,##0.00">
                  <c:v>2493.6706401277697</c:v>
                </c:pt>
                <c:pt idx="1244" formatCode="#,##0.00">
                  <c:v>2504.2598154221146</c:v>
                </c:pt>
                <c:pt idx="1245" formatCode="#,##0.00">
                  <c:v>2514.7927682486597</c:v>
                </c:pt>
                <c:pt idx="1246" formatCode="#,##0.00">
                  <c:v>2522.3052391575102</c:v>
                </c:pt>
                <c:pt idx="1247" formatCode="#,##0.00">
                  <c:v>2515.3953699869298</c:v>
                </c:pt>
                <c:pt idx="1248" formatCode="#,##0.00">
                  <c:v>2501.246629714286</c:v>
                </c:pt>
                <c:pt idx="1249" formatCode="#,##0.00">
                  <c:v>2496.8722492390243</c:v>
                </c:pt>
                <c:pt idx="1250" formatCode="#,##0.00">
                  <c:v>2496.4480376891984</c:v>
                </c:pt>
                <c:pt idx="1251" formatCode="#,##0.00">
                  <c:v>2496.1550322027479</c:v>
                </c:pt>
                <c:pt idx="1252" formatCode="#,##0.00">
                  <c:v>2495.376623410003</c:v>
                </c:pt>
                <c:pt idx="1253" formatCode="#,##0.00">
                  <c:v>2492.825873025582</c:v>
                </c:pt>
                <c:pt idx="1254" formatCode="#,##0.00">
                  <c:v>2504.2357649780665</c:v>
                </c:pt>
                <c:pt idx="1255" formatCode="#,##0.00">
                  <c:v>2505.0488855518179</c:v>
                </c:pt>
                <c:pt idx="1256" formatCode="#,##0.00">
                  <c:v>2502.4200951149555</c:v>
                </c:pt>
                <c:pt idx="1257" formatCode="#,##0.00">
                  <c:v>2505.4646828804971</c:v>
                </c:pt>
                <c:pt idx="1258" formatCode="#,##0.00">
                  <c:v>2513.0280656278633</c:v>
                </c:pt>
                <c:pt idx="1259" formatCode="#,##0.00">
                  <c:v>2517.3253301378836</c:v>
                </c:pt>
                <c:pt idx="1260" formatCode="#,##0.00">
                  <c:v>2519.3749783802014</c:v>
                </c:pt>
                <c:pt idx="1261" formatCode="#,##0.00">
                  <c:v>2518.4267465150019</c:v>
                </c:pt>
                <c:pt idx="1262" formatCode="#,##0.00">
                  <c:v>2520.3896290247708</c:v>
                </c:pt>
                <c:pt idx="1263" formatCode="#,##0.00">
                  <c:v>2523.1657582779931</c:v>
                </c:pt>
                <c:pt idx="1264" formatCode="#,##0.00">
                  <c:v>2516.5922321774419</c:v>
                </c:pt>
                <c:pt idx="1265" formatCode="#,##0.00">
                  <c:v>2514.0095968003025</c:v>
                </c:pt>
                <c:pt idx="1266" formatCode="#,##0.00">
                  <c:v>2515.9835593320245</c:v>
                </c:pt>
                <c:pt idx="1267" formatCode="#,##0.00">
                  <c:v>2517.7246219284216</c:v>
                </c:pt>
                <c:pt idx="1268" formatCode="#,##0.00">
                  <c:v>2523.4381744604511</c:v>
                </c:pt>
                <c:pt idx="1269" formatCode="#,##0.00">
                  <c:v>2527.5525088549862</c:v>
                </c:pt>
                <c:pt idx="1270" formatCode="#,##0.00">
                  <c:v>2529.2126372732646</c:v>
                </c:pt>
                <c:pt idx="1271" formatCode="#,##0.00">
                  <c:v>2524.2675689572025</c:v>
                </c:pt>
                <c:pt idx="1272" formatCode="#,##0.00">
                  <c:v>2518.4792480452893</c:v>
                </c:pt>
                <c:pt idx="1273" formatCode="#,##0.00">
                  <c:v>2510.3795155798698</c:v>
                </c:pt>
                <c:pt idx="1274" formatCode="#,##0.00">
                  <c:v>2511.348361638436</c:v>
                </c:pt>
                <c:pt idx="1275" formatCode="#,##0.00">
                  <c:v>2517.9734013042048</c:v>
                </c:pt>
                <c:pt idx="1276" formatCode="#,##0.00">
                  <c:v>2524.5490476524274</c:v>
                </c:pt>
                <c:pt idx="1277" formatCode="#,##0.00">
                  <c:v>2536.53293638678</c:v>
                </c:pt>
                <c:pt idx="1278" formatCode="#,##0.00">
                  <c:v>2542.4486262083728</c:v>
                </c:pt>
                <c:pt idx="1279" formatCode="#,##0.00">
                  <c:v>2549.1505255875095</c:v>
                </c:pt>
                <c:pt idx="1280" formatCode="#,##0.00">
                  <c:v>2563.3551453678419</c:v>
                </c:pt>
                <c:pt idx="1281" formatCode="#,##0.00">
                  <c:v>2586.5824814984162</c:v>
                </c:pt>
                <c:pt idx="1282" formatCode="#,##0.00">
                  <c:v>2607.1863539737501</c:v>
                </c:pt>
                <c:pt idx="1283" formatCode="#,##0.00">
                  <c:v>2631.1149832574642</c:v>
                </c:pt>
                <c:pt idx="1284" formatCode="#,##0.00">
                  <c:v>2655.9990576968062</c:v>
                </c:pt>
                <c:pt idx="1285" formatCode="#,##0.00">
                  <c:v>2666.9828360467518</c:v>
                </c:pt>
                <c:pt idx="1286" formatCode="#,##0.00">
                  <c:v>2686.1304213748554</c:v>
                </c:pt>
                <c:pt idx="1287" formatCode="#,##0.00">
                  <c:v>2700.3399382625626</c:v>
                </c:pt>
                <c:pt idx="1288" formatCode="#,##0.00">
                  <c:v>2703.9878124810007</c:v>
                </c:pt>
                <c:pt idx="1289" formatCode="#,##0.00">
                  <c:v>2697.608565944377</c:v>
                </c:pt>
                <c:pt idx="1290" formatCode="#,##0.00">
                  <c:v>2689.9568211602373</c:v>
                </c:pt>
                <c:pt idx="1291" formatCode="#,##0.00">
                  <c:v>2684.1957938189412</c:v>
                </c:pt>
                <c:pt idx="1292" formatCode="#,##0.00">
                  <c:v>2681.0293276347102</c:v>
                </c:pt>
                <c:pt idx="1293" formatCode="#,##0.00">
                  <c:v>2679.1865930226281</c:v>
                </c:pt>
                <c:pt idx="1294" formatCode="#,##0.00">
                  <c:v>2673.1364633805788</c:v>
                </c:pt>
                <c:pt idx="1295" formatCode="#,##0.00">
                  <c:v>2667.9843780609094</c:v>
                </c:pt>
                <c:pt idx="1296" formatCode="#,##0.00">
                  <c:v>2649.7888574983572</c:v>
                </c:pt>
                <c:pt idx="1297" formatCode="#,##0.00">
                  <c:v>2621.9751828296371</c:v>
                </c:pt>
                <c:pt idx="1298" formatCode="#,##0.00">
                  <c:v>2609.8873968657099</c:v>
                </c:pt>
                <c:pt idx="1299" formatCode="#,##0.00">
                  <c:v>2605.0881496203465</c:v>
                </c:pt>
                <c:pt idx="1300" formatCode="#,##0.00">
                  <c:v>2599.2307106923695</c:v>
                </c:pt>
                <c:pt idx="1301" formatCode="#,##0.00">
                  <c:v>2593.8277828191617</c:v>
                </c:pt>
                <c:pt idx="1302" formatCode="#,##0.00">
                  <c:v>2582.5536783409648</c:v>
                </c:pt>
                <c:pt idx="1303" formatCode="#,##0.00">
                  <c:v>2574.2629025375668</c:v>
                </c:pt>
                <c:pt idx="1304" formatCode="#,##0.00">
                  <c:v>2572.7132413024583</c:v>
                </c:pt>
                <c:pt idx="1305" formatCode="#,##0.00">
                  <c:v>2569.3432174556415</c:v>
                </c:pt>
                <c:pt idx="1306" formatCode="#,##0.00">
                  <c:v>2566.8274841452053</c:v>
                </c:pt>
                <c:pt idx="1307" formatCode="#,##0.00">
                  <c:v>2561.9656098830856</c:v>
                </c:pt>
                <c:pt idx="1308" formatCode="#,##0.00">
                  <c:v>2559.4654758110114</c:v>
                </c:pt>
                <c:pt idx="1309" formatCode="#,##0.00">
                  <c:v>2560.5893549796483</c:v>
                </c:pt>
                <c:pt idx="1310" formatCode="#,##0.00">
                  <c:v>2567.8392815528869</c:v>
                </c:pt>
                <c:pt idx="1311" formatCode="#,##0.00">
                  <c:v>2573.9321933283359</c:v>
                </c:pt>
                <c:pt idx="1312" formatCode="#,##0.00">
                  <c:v>2585.4751047377772</c:v>
                </c:pt>
                <c:pt idx="1313" formatCode="#,##0.00">
                  <c:v>2602.9317459521048</c:v>
                </c:pt>
                <c:pt idx="1314" formatCode="#,##0.00">
                  <c:v>2604.7728080701499</c:v>
                </c:pt>
                <c:pt idx="1315" formatCode="#,##0.00">
                  <c:v>2574.7603348436514</c:v>
                </c:pt>
                <c:pt idx="1316" formatCode="#,##0.00">
                  <c:v>2564.3633106484513</c:v>
                </c:pt>
                <c:pt idx="1317" formatCode="#,##0.00">
                  <c:v>2554.2712022159185</c:v>
                </c:pt>
                <c:pt idx="1318" formatCode="#,##0.00">
                  <c:v>2538.6488490380893</c:v>
                </c:pt>
                <c:pt idx="1319" formatCode="#,##0.00">
                  <c:v>2524.310284049544</c:v>
                </c:pt>
                <c:pt idx="1320" formatCode="#,##0.00">
                  <c:v>2510.7735511381734</c:v>
                </c:pt>
                <c:pt idx="1321" formatCode="#,##0.00">
                  <c:v>2503.3441047824681</c:v>
                </c:pt>
                <c:pt idx="1322" formatCode="#,##0.00">
                  <c:v>2497.1557034835023</c:v>
                </c:pt>
                <c:pt idx="1323" formatCode="#,##0.00">
                  <c:v>2484.4851498127282</c:v>
                </c:pt>
                <c:pt idx="1324" formatCode="#,##0.00">
                  <c:v>2473.1052330506659</c:v>
                </c:pt>
                <c:pt idx="1325" formatCode="#,##0.00">
                  <c:v>2464.7219256269286</c:v>
                </c:pt>
                <c:pt idx="1326" formatCode="#,##0.00">
                  <c:v>2471.9867675526207</c:v>
                </c:pt>
                <c:pt idx="1327" formatCode="#,##0.00">
                  <c:v>2476.1878348865398</c:v>
                </c:pt>
                <c:pt idx="1328" formatCode="#,##0.00">
                  <c:v>2485.0157817057866</c:v>
                </c:pt>
                <c:pt idx="1329" formatCode="#,##0.00">
                  <c:v>2495.0864900543006</c:v>
                </c:pt>
                <c:pt idx="1330" formatCode="#,##0.00">
                  <c:v>2501.0808409303272</c:v>
                </c:pt>
                <c:pt idx="1331" formatCode="#,##0.00">
                  <c:v>2503.7916705389353</c:v>
                </c:pt>
                <c:pt idx="1332" formatCode="#,##0.00">
                  <c:v>2506.4307211041646</c:v>
                </c:pt>
                <c:pt idx="1333" formatCode="#,##0.00">
                  <c:v>2508.3518039765381</c:v>
                </c:pt>
                <c:pt idx="1334" formatCode="#,##0.00">
                  <c:v>2516.1001329837036</c:v>
                </c:pt>
                <c:pt idx="1335" formatCode="#,##0.00">
                  <c:v>2518.233024542862</c:v>
                </c:pt>
                <c:pt idx="1336" formatCode="#,##0.00">
                  <c:v>2517.8632919087331</c:v>
                </c:pt>
                <c:pt idx="1337" formatCode="#,##0.00">
                  <c:v>2525.8058443739305</c:v>
                </c:pt>
                <c:pt idx="1338" formatCode="#,##0.00">
                  <c:v>2529.4458225566063</c:v>
                </c:pt>
                <c:pt idx="1339" formatCode="#,##0.00">
                  <c:v>2535.4518486731331</c:v>
                </c:pt>
                <c:pt idx="1340" formatCode="#,##0.00">
                  <c:v>2537.3270165589242</c:v>
                </c:pt>
                <c:pt idx="1341" formatCode="#,##0.00">
                  <c:v>2544.5397241103724</c:v>
                </c:pt>
                <c:pt idx="1342" formatCode="#,##0.00">
                  <c:v>2552.9571918036067</c:v>
                </c:pt>
                <c:pt idx="1343" formatCode="#,##0.00">
                  <c:v>2562.8085364981644</c:v>
                </c:pt>
                <c:pt idx="1344" formatCode="#,##0.00">
                  <c:v>2575.8236674763043</c:v>
                </c:pt>
                <c:pt idx="1345" formatCode="#,##0.00">
                  <c:v>2591.2568046306219</c:v>
                </c:pt>
                <c:pt idx="1346" formatCode="#,##0.00">
                  <c:v>2600.6714865842005</c:v>
                </c:pt>
                <c:pt idx="1347" formatCode="#,##0.00">
                  <c:v>2605.7533216632578</c:v>
                </c:pt>
                <c:pt idx="1348" formatCode="#,##0.00">
                  <c:v>2608.5281885549207</c:v>
                </c:pt>
                <c:pt idx="1349" formatCode="#,##0.00">
                  <c:v>2607.7695589729428</c:v>
                </c:pt>
                <c:pt idx="1350" formatCode="#,##0.00">
                  <c:v>2605.8245640561527</c:v>
                </c:pt>
                <c:pt idx="1351" formatCode="#,##0.00">
                  <c:v>2601.942421349293</c:v>
                </c:pt>
                <c:pt idx="1352" formatCode="#,##0.00">
                  <c:v>2600.1941563208443</c:v>
                </c:pt>
                <c:pt idx="1353" formatCode="#,##0.00">
                  <c:v>2598.3001697603058</c:v>
                </c:pt>
                <c:pt idx="1354" formatCode="#,##0.00">
                  <c:v>2586.7499247497053</c:v>
                </c:pt>
                <c:pt idx="1355" formatCode="#,##0.00">
                  <c:v>2577.2628563321809</c:v>
                </c:pt>
                <c:pt idx="1356" formatCode="#,##0.00">
                  <c:v>2568.5632877771118</c:v>
                </c:pt>
                <c:pt idx="1357" formatCode="#,##0.00">
                  <c:v>2560.960539317954</c:v>
                </c:pt>
                <c:pt idx="1358" formatCode="#,##0.00">
                  <c:v>2549.1059696280627</c:v>
                </c:pt>
                <c:pt idx="1359" formatCode="#,##0.00">
                  <c:v>2544.7234932054894</c:v>
                </c:pt>
                <c:pt idx="1360" formatCode="#,##0.00">
                  <c:v>2544.1769397899448</c:v>
                </c:pt>
                <c:pt idx="1361" formatCode="#,##0.00">
                  <c:v>2542.8606140124643</c:v>
                </c:pt>
                <c:pt idx="1362" formatCode="#,##0.00">
                  <c:v>2537.1568061285238</c:v>
                </c:pt>
                <c:pt idx="1363" formatCode="#,##0.00">
                  <c:v>2534.6602995602666</c:v>
                </c:pt>
                <c:pt idx="1364" formatCode="#,##0.00">
                  <c:v>2539.9291259714578</c:v>
                </c:pt>
                <c:pt idx="1365" formatCode="#,##0.00">
                  <c:v>2549.8625710104129</c:v>
                </c:pt>
                <c:pt idx="1366" formatCode="#,##0.00">
                  <c:v>2554.2544052492876</c:v>
                </c:pt>
                <c:pt idx="1367" formatCode="#,##0.00">
                  <c:v>2562.2687430013184</c:v>
                </c:pt>
                <c:pt idx="1368" formatCode="#,##0.00">
                  <c:v>2569.7647807085586</c:v>
                </c:pt>
                <c:pt idx="1369" formatCode="#,##0.00">
                  <c:v>2575.5873158914683</c:v>
                </c:pt>
                <c:pt idx="1370" formatCode="#,##0.00">
                  <c:v>2579.2290254133331</c:v>
                </c:pt>
                <c:pt idx="1371" formatCode="#,##0.00">
                  <c:v>2584.0539749219229</c:v>
                </c:pt>
                <c:pt idx="1372" formatCode="#,##0.00">
                  <c:v>2587.566794661459</c:v>
                </c:pt>
                <c:pt idx="1373" formatCode="#,##0.00">
                  <c:v>2580.8770278120455</c:v>
                </c:pt>
                <c:pt idx="1374" formatCode="#,##0.00">
                  <c:v>2552.1138379502809</c:v>
                </c:pt>
                <c:pt idx="1375" formatCode="#,##0.00">
                  <c:v>2545.9831483203156</c:v>
                </c:pt>
                <c:pt idx="1376" formatCode="#,##0.00">
                  <c:v>2542.145441681675</c:v>
                </c:pt>
                <c:pt idx="1377" formatCode="#,##0.00">
                  <c:v>2539.2097160485287</c:v>
                </c:pt>
                <c:pt idx="1378" formatCode="#,##0.00">
                  <c:v>2536.882097299218</c:v>
                </c:pt>
                <c:pt idx="1379" formatCode="#,##0.00">
                  <c:v>2535.6732399393159</c:v>
                </c:pt>
                <c:pt idx="1380" formatCode="#,##0.00">
                  <c:v>2533.0285935187426</c:v>
                </c:pt>
                <c:pt idx="1381" formatCode="#,##0.00">
                  <c:v>2529.2565879084741</c:v>
                </c:pt>
                <c:pt idx="1382" formatCode="#,##0.00">
                  <c:v>2522.097131704923</c:v>
                </c:pt>
                <c:pt idx="1383" formatCode="#,##0.00">
                  <c:v>2517.1027797505317</c:v>
                </c:pt>
                <c:pt idx="1384" formatCode="#,##0.00">
                  <c:v>2527.3258439606175</c:v>
                </c:pt>
                <c:pt idx="1385" formatCode="#,##0.00">
                  <c:v>2526.8947838479939</c:v>
                </c:pt>
                <c:pt idx="1386" formatCode="#,##0.00">
                  <c:v>2526.9424481989604</c:v>
                </c:pt>
                <c:pt idx="1387" formatCode="#,##0.00">
                  <c:v>2522.3390220185188</c:v>
                </c:pt>
                <c:pt idx="1388" formatCode="#,##0.00">
                  <c:v>2515.270329639874</c:v>
                </c:pt>
                <c:pt idx="1389" formatCode="#,##0.00">
                  <c:v>2511.5055209682032</c:v>
                </c:pt>
                <c:pt idx="1390" formatCode="#,##0.00">
                  <c:v>2508.6565918682745</c:v>
                </c:pt>
                <c:pt idx="1391" formatCode="#,##0.00">
                  <c:v>2504.046474531734</c:v>
                </c:pt>
                <c:pt idx="1392" formatCode="#,##0.00">
                  <c:v>2503.2414676351236</c:v>
                </c:pt>
                <c:pt idx="1393" formatCode="#,##0.00">
                  <c:v>2510.7446347288251</c:v>
                </c:pt>
                <c:pt idx="1394" formatCode="#,##0.00">
                  <c:v>2514.1790777533365</c:v>
                </c:pt>
                <c:pt idx="1395" formatCode="#,##0.00">
                  <c:v>2520.8814275799764</c:v>
                </c:pt>
                <c:pt idx="1396" formatCode="#,##0.00">
                  <c:v>2530.1485796105212</c:v>
                </c:pt>
                <c:pt idx="1397" formatCode="#,##0.00">
                  <c:v>2555.6119181257977</c:v>
                </c:pt>
                <c:pt idx="1398" formatCode="#,##0.00">
                  <c:v>2570.8042230660026</c:v>
                </c:pt>
                <c:pt idx="1399" formatCode="#,##0.00">
                  <c:v>2591.8267862066891</c:v>
                </c:pt>
                <c:pt idx="1400" formatCode="#,##0.00">
                  <c:v>2600.6527067369902</c:v>
                </c:pt>
                <c:pt idx="1401" formatCode="#,##0.00">
                  <c:v>2626.5812911650255</c:v>
                </c:pt>
                <c:pt idx="1402" formatCode="#,##0.00">
                  <c:v>2641.3540313431522</c:v>
                </c:pt>
                <c:pt idx="1403" formatCode="#,##0.00">
                  <c:v>2657.4369786250368</c:v>
                </c:pt>
                <c:pt idx="1404" formatCode="#,##0.00">
                  <c:v>2668.0485823329072</c:v>
                </c:pt>
                <c:pt idx="1405" formatCode="#,##0.00">
                  <c:v>2660.0779817051284</c:v>
                </c:pt>
                <c:pt idx="1406" formatCode="#,##0.00">
                  <c:v>2653.5473690358608</c:v>
                </c:pt>
                <c:pt idx="1407" formatCode="#,##0.00">
                  <c:v>2643.6679106065944</c:v>
                </c:pt>
                <c:pt idx="1408" formatCode="#,##0.00">
                  <c:v>2632.966791277177</c:v>
                </c:pt>
                <c:pt idx="1409" formatCode="#,##0.00">
                  <c:v>2623.9825835730985</c:v>
                </c:pt>
                <c:pt idx="1410" formatCode="#,##0.00">
                  <c:v>2615.7350176231021</c:v>
                </c:pt>
                <c:pt idx="1411" formatCode="#,##0.00">
                  <c:v>2604.5594841550378</c:v>
                </c:pt>
                <c:pt idx="1412" formatCode="#,##0.00">
                  <c:v>2596.5590234319507</c:v>
                </c:pt>
                <c:pt idx="1413" formatCode="#,##0.00">
                  <c:v>2589.8920004447032</c:v>
                </c:pt>
                <c:pt idx="1414" formatCode="#,##0.00">
                  <c:v>2578.4941875933396</c:v>
                </c:pt>
                <c:pt idx="1415" formatCode="#,##0.00">
                  <c:v>2573.8129642686777</c:v>
                </c:pt>
                <c:pt idx="1416" formatCode="#,##0.00">
                  <c:v>2571.8087813496518</c:v>
                </c:pt>
                <c:pt idx="1417" formatCode="#,##0.00">
                  <c:v>2570.2199946224559</c:v>
                </c:pt>
                <c:pt idx="1418" formatCode="#,##0.00">
                  <c:v>2566.5307853516592</c:v>
                </c:pt>
                <c:pt idx="1419" formatCode="#,##0.00">
                  <c:v>2564.3213326454179</c:v>
                </c:pt>
                <c:pt idx="1420" formatCode="#,##0.00">
                  <c:v>2563.9730334459609</c:v>
                </c:pt>
                <c:pt idx="1421" formatCode="#,##0.00">
                  <c:v>2563.5280918520325</c:v>
                </c:pt>
                <c:pt idx="1422" formatCode="#,##0.00">
                  <c:v>2557.9503962390149</c:v>
                </c:pt>
                <c:pt idx="1423" formatCode="#,##0.00">
                  <c:v>2553.2786495852824</c:v>
                </c:pt>
                <c:pt idx="1424" formatCode="#,##0.00">
                  <c:v>2551.0444159192111</c:v>
                </c:pt>
                <c:pt idx="1425" formatCode="#,##0.00">
                  <c:v>2549.3005922021844</c:v>
                </c:pt>
                <c:pt idx="1426" formatCode="#,##0.00">
                  <c:v>2548.9394473051157</c:v>
                </c:pt>
                <c:pt idx="1427" formatCode="#,##0.00">
                  <c:v>2550.4604270398022</c:v>
                </c:pt>
                <c:pt idx="1428" formatCode="#,##0.00">
                  <c:v>2556.6861667860553</c:v>
                </c:pt>
                <c:pt idx="1429" formatCode="#,##0.00">
                  <c:v>2563.8176374243576</c:v>
                </c:pt>
                <c:pt idx="1430" formatCode="#,##0.00">
                  <c:v>2570.4336871046103</c:v>
                </c:pt>
                <c:pt idx="1431" formatCode="#,##0.00">
                  <c:v>2579.0616654829705</c:v>
                </c:pt>
                <c:pt idx="1432" formatCode="#,##0.00">
                  <c:v>2605.4295121991354</c:v>
                </c:pt>
                <c:pt idx="1433" formatCode="#,##0.00">
                  <c:v>2623.7951006411827</c:v>
                </c:pt>
                <c:pt idx="1434" formatCode="#,##0.00">
                  <c:v>2630.3381933387313</c:v>
                </c:pt>
                <c:pt idx="1435" formatCode="#,##0.00">
                  <c:v>2638.763631639471</c:v>
                </c:pt>
                <c:pt idx="1436" formatCode="#,##0.00">
                  <c:v>2642.3735615115934</c:v>
                </c:pt>
                <c:pt idx="1437" formatCode="#,##0.00">
                  <c:v>2645.9506380482635</c:v>
                </c:pt>
                <c:pt idx="1438" formatCode="#,##0.00">
                  <c:v>2639.5843445766845</c:v>
                </c:pt>
                <c:pt idx="1439" formatCode="#,##0.00">
                  <c:v>2613.9392364723603</c:v>
                </c:pt>
                <c:pt idx="1440" formatCode="#,##0.00">
                  <c:v>2603.7837595903807</c:v>
                </c:pt>
                <c:pt idx="1441" formatCode="#,##0.00">
                  <c:v>2594.2151937176891</c:v>
                </c:pt>
                <c:pt idx="1442" formatCode="#,##0.00">
                  <c:v>2568.8299357409251</c:v>
                </c:pt>
                <c:pt idx="1443" formatCode="#,##0.00">
                  <c:v>2549.5916192548698</c:v>
                </c:pt>
                <c:pt idx="1444" formatCode="#,##0.00">
                  <c:v>2541.3009922809756</c:v>
                </c:pt>
                <c:pt idx="1445" formatCode="#,##0.00">
                  <c:v>2534.09699578858</c:v>
                </c:pt>
                <c:pt idx="1446" formatCode="#,##0.00">
                  <c:v>2527.7722501987491</c:v>
                </c:pt>
                <c:pt idx="1447" formatCode="#,##0.00">
                  <c:v>2521.6264190681154</c:v>
                </c:pt>
                <c:pt idx="1448" formatCode="#,##0.00">
                  <c:v>2506.1516976927874</c:v>
                </c:pt>
                <c:pt idx="1449" formatCode="#,##0.00">
                  <c:v>2507.0754452378005</c:v>
                </c:pt>
                <c:pt idx="1450" formatCode="#,##0.00">
                  <c:v>2510.6651873369578</c:v>
                </c:pt>
                <c:pt idx="1451" formatCode="#,##0.00">
                  <c:v>2514.2680236564124</c:v>
                </c:pt>
                <c:pt idx="1452" formatCode="#,##0.00">
                  <c:v>2521.7420935042078</c:v>
                </c:pt>
                <c:pt idx="1453" formatCode="#,##0.00">
                  <c:v>2523.1353390984405</c:v>
                </c:pt>
                <c:pt idx="1454" formatCode="#,##0.00">
                  <c:v>2519.8424153792503</c:v>
                </c:pt>
                <c:pt idx="1455" formatCode="#,##0.00">
                  <c:v>2516.0518769392665</c:v>
                </c:pt>
                <c:pt idx="1456" formatCode="#,##0.00">
                  <c:v>2509.9232898531241</c:v>
                </c:pt>
                <c:pt idx="1457" formatCode="#,##0.00">
                  <c:v>2503.4819722080579</c:v>
                </c:pt>
                <c:pt idx="1458" formatCode="#,##0.00">
                  <c:v>2501.2997060731914</c:v>
                </c:pt>
                <c:pt idx="1459" formatCode="#,##0.00">
                  <c:v>2481.5690712079763</c:v>
                </c:pt>
                <c:pt idx="1460" formatCode="#,##0.00">
                  <c:v>2464.6735538114563</c:v>
                </c:pt>
                <c:pt idx="1461" formatCode="#,##0.00">
                  <c:v>2450.7478635754514</c:v>
                </c:pt>
                <c:pt idx="1462" formatCode="#,##0.00">
                  <c:v>2434.2901061364391</c:v>
                </c:pt>
                <c:pt idx="1463" formatCode="#,##0.00">
                  <c:v>2420.2516396993465</c:v>
                </c:pt>
                <c:pt idx="1464" formatCode="#,##0.00">
                  <c:v>2409.5520451421098</c:v>
                </c:pt>
                <c:pt idx="1465" formatCode="#,##0.00">
                  <c:v>2403.6155981356587</c:v>
                </c:pt>
                <c:pt idx="1466" formatCode="#,##0.00">
                  <c:v>2391.90426250463</c:v>
                </c:pt>
                <c:pt idx="1467" formatCode="#,##0.00">
                  <c:v>2380.240054216606</c:v>
                </c:pt>
                <c:pt idx="1468" formatCode="#,##0.00">
                  <c:v>2376.7151535127705</c:v>
                </c:pt>
                <c:pt idx="1469" formatCode="#,##0.00">
                  <c:v>2370.9494217555766</c:v>
                </c:pt>
                <c:pt idx="1470" formatCode="#,##0.00">
                  <c:v>2370.2286053908228</c:v>
                </c:pt>
                <c:pt idx="1471" formatCode="#,##0.00">
                  <c:v>2367.8462527396218</c:v>
                </c:pt>
                <c:pt idx="1472" formatCode="#,##0.00">
                  <c:v>2367.048511056566</c:v>
                </c:pt>
                <c:pt idx="1473" formatCode="#,##0.00">
                  <c:v>2365.010706533893</c:v>
                </c:pt>
                <c:pt idx="1474" formatCode="#,##0.00">
                  <c:v>2359.0950556127218</c:v>
                </c:pt>
                <c:pt idx="1475" formatCode="#,##0.00">
                  <c:v>2355.3989607938097</c:v>
                </c:pt>
                <c:pt idx="1476" formatCode="#,##0.00">
                  <c:v>2354.1198862982806</c:v>
                </c:pt>
                <c:pt idx="1477" formatCode="#,##0.00">
                  <c:v>2355.6579238856034</c:v>
                </c:pt>
                <c:pt idx="1478" formatCode="#,##0.00">
                  <c:v>2358.067728238826</c:v>
                </c:pt>
                <c:pt idx="1479" formatCode="#,##0.00">
                  <c:v>2356.9232629627186</c:v>
                </c:pt>
                <c:pt idx="1480" formatCode="#,##0.00">
                  <c:v>2357.1736956086293</c:v>
                </c:pt>
                <c:pt idx="1481" formatCode="#,##0.00">
                  <c:v>2359.9136927566115</c:v>
                </c:pt>
                <c:pt idx="1482" formatCode="#,##0.00">
                  <c:v>2365.802952105832</c:v>
                </c:pt>
                <c:pt idx="1483" formatCode="#,##0.00">
                  <c:v>2375.1473017789576</c:v>
                </c:pt>
                <c:pt idx="1484" formatCode="#,##0.00">
                  <c:v>2382.7816695237575</c:v>
                </c:pt>
                <c:pt idx="1485" formatCode="#,##0.00">
                  <c:v>2387.7655012847808</c:v>
                </c:pt>
                <c:pt idx="1486" formatCode="#,##0.00">
                  <c:v>2399.9812669036564</c:v>
                </c:pt>
                <c:pt idx="1487" formatCode="#,##0.00">
                  <c:v>2403.8102978320035</c:v>
                </c:pt>
                <c:pt idx="1488" formatCode="#,##0.00">
                  <c:v>2415.1015496251944</c:v>
                </c:pt>
                <c:pt idx="1489" formatCode="#,##0.00">
                  <c:v>2426.7908243157435</c:v>
                </c:pt>
                <c:pt idx="1490" formatCode="#,##0.00">
                  <c:v>2430.3640580293822</c:v>
                </c:pt>
                <c:pt idx="1491" formatCode="#,##0.00">
                  <c:v>2432.6731635493143</c:v>
                </c:pt>
                <c:pt idx="1492" formatCode="#,##0.00">
                  <c:v>2432.8830393908888</c:v>
                </c:pt>
                <c:pt idx="1493" formatCode="#,##0.00">
                  <c:v>2429.9862321856285</c:v>
                </c:pt>
                <c:pt idx="1494" formatCode="#,##0.00">
                  <c:v>2418.2032298105541</c:v>
                </c:pt>
                <c:pt idx="1495" formatCode="#,##0.00">
                  <c:v>2411.7164593806269</c:v>
                </c:pt>
                <c:pt idx="1496" formatCode="#,##0.00">
                  <c:v>2404.8254241635696</c:v>
                </c:pt>
                <c:pt idx="1497" formatCode="#,##0.00">
                  <c:v>2402.9005305796495</c:v>
                </c:pt>
                <c:pt idx="1498" formatCode="#,##0.00">
                  <c:v>2389.0280956679421</c:v>
                </c:pt>
                <c:pt idx="1499" formatCode="#,##0.00">
                  <c:v>2374.8851034109343</c:v>
                </c:pt>
                <c:pt idx="1500" formatCode="#,##0.00">
                  <c:v>2355.0219055810931</c:v>
                </c:pt>
                <c:pt idx="1501" formatCode="#,##0.00">
                  <c:v>2343.4650428688778</c:v>
                </c:pt>
                <c:pt idx="1502" formatCode="#,##0.00">
                  <c:v>2333.3251234593658</c:v>
                </c:pt>
                <c:pt idx="1503" formatCode="#,##0.00">
                  <c:v>2325.9791724491811</c:v>
                </c:pt>
                <c:pt idx="1504" formatCode="#,##0.00">
                  <c:v>2321.3520447528585</c:v>
                </c:pt>
                <c:pt idx="1505" formatCode="#,##0.00">
                  <c:v>2313.2224476315741</c:v>
                </c:pt>
                <c:pt idx="1506" formatCode="#,##0.00">
                  <c:v>2301.1914934770152</c:v>
                </c:pt>
                <c:pt idx="1507" formatCode="#,##0.00">
                  <c:v>2293.701649704642</c:v>
                </c:pt>
                <c:pt idx="1508" formatCode="#,##0.00">
                  <c:v>2286.1798882613484</c:v>
                </c:pt>
                <c:pt idx="1509" formatCode="#,##0.00">
                  <c:v>2280.9927478878703</c:v>
                </c:pt>
                <c:pt idx="1510" formatCode="#,##0.00">
                  <c:v>2286.7824589760239</c:v>
                </c:pt>
                <c:pt idx="1511" formatCode="#,##0.00">
                  <c:v>2297.9338682919852</c:v>
                </c:pt>
                <c:pt idx="1512" formatCode="#,##0.00">
                  <c:v>2310.4457800293712</c:v>
                </c:pt>
                <c:pt idx="1513" formatCode="#,##0.00">
                  <c:v>2322.2946673530141</c:v>
                </c:pt>
                <c:pt idx="1514" formatCode="#,##0.00">
                  <c:v>2330.1176471563208</c:v>
                </c:pt>
                <c:pt idx="1515" formatCode="#,##0.00">
                  <c:v>2341.9166395501256</c:v>
                </c:pt>
                <c:pt idx="1516" formatCode="#,##0.00">
                  <c:v>2361.4053953387279</c:v>
                </c:pt>
                <c:pt idx="1517" formatCode="#,##0.00">
                  <c:v>2368.4192274284019</c:v>
                </c:pt>
                <c:pt idx="1518" formatCode="#,##0.00">
                  <c:v>2361.8028734080103</c:v>
                </c:pt>
                <c:pt idx="1519" formatCode="#,##0.00">
                  <c:v>2356.9564290648459</c:v>
                </c:pt>
                <c:pt idx="1520" formatCode="#,##0.00">
                  <c:v>2345.8540009094954</c:v>
                </c:pt>
                <c:pt idx="1521" formatCode="#,##0.00">
                  <c:v>2324.1465356781296</c:v>
                </c:pt>
                <c:pt idx="1522" formatCode="#,##0.00">
                  <c:v>2310.9952492996977</c:v>
                </c:pt>
                <c:pt idx="1523" formatCode="#,##0.00">
                  <c:v>2298.9517326510204</c:v>
                </c:pt>
                <c:pt idx="1524" formatCode="#,##0.00">
                  <c:v>2288.5853707272686</c:v>
                </c:pt>
                <c:pt idx="1525" formatCode="#,##0.00">
                  <c:v>2280.837275177546</c:v>
                </c:pt>
                <c:pt idx="1526" formatCode="#,##0.00">
                  <c:v>2271.3245327193754</c:v>
                </c:pt>
                <c:pt idx="1527" formatCode="#,##0.00">
                  <c:v>2268.9225656268504</c:v>
                </c:pt>
                <c:pt idx="1528" formatCode="#,##0.00">
                  <c:v>2266.6370003914067</c:v>
                </c:pt>
                <c:pt idx="1529" formatCode="#,##0.00">
                  <c:v>2261.7876601468497</c:v>
                </c:pt>
                <c:pt idx="1530" formatCode="#,##0.00">
                  <c:v>2260.930745866393</c:v>
                </c:pt>
                <c:pt idx="1531" formatCode="#,##0.00">
                  <c:v>2264.0100123254178</c:v>
                </c:pt>
                <c:pt idx="1532" formatCode="#,##0.00">
                  <c:v>2250.2652556103176</c:v>
                </c:pt>
                <c:pt idx="1533" formatCode="#,##0.00">
                  <c:v>2247.7986449308601</c:v>
                </c:pt>
                <c:pt idx="1534" formatCode="#,##0.00">
                  <c:v>2251.0659751797848</c:v>
                </c:pt>
                <c:pt idx="1535" formatCode="#,##0.00">
                  <c:v>2262.519118547571</c:v>
                </c:pt>
                <c:pt idx="1536" formatCode="#,##0.00">
                  <c:v>2268.383313927467</c:v>
                </c:pt>
                <c:pt idx="1537" formatCode="#,##0.00">
                  <c:v>2269.7010394503013</c:v>
                </c:pt>
                <c:pt idx="1538" formatCode="#,##0.00">
                  <c:v>2276.8088484045002</c:v>
                </c:pt>
                <c:pt idx="1539" formatCode="#,##0.00">
                  <c:v>2287.4106144451089</c:v>
                </c:pt>
                <c:pt idx="1540" formatCode="#,##0.00">
                  <c:v>2301.9728016131835</c:v>
                </c:pt>
                <c:pt idx="1541" formatCode="#,##0.00">
                  <c:v>2314.4493549850217</c:v>
                </c:pt>
                <c:pt idx="1542" formatCode="#,##0.00">
                  <c:v>2334.006559588212</c:v>
                </c:pt>
                <c:pt idx="1543" formatCode="#,##0.00">
                  <c:v>2343.3709519438894</c:v>
                </c:pt>
                <c:pt idx="1544" formatCode="#,##0.00">
                  <c:v>2347.5454502269881</c:v>
                </c:pt>
                <c:pt idx="1545" formatCode="#,##0.00">
                  <c:v>2356.4255583117924</c:v>
                </c:pt>
                <c:pt idx="1546" formatCode="#,##0.00">
                  <c:v>2366.0687832990216</c:v>
                </c:pt>
                <c:pt idx="1547" formatCode="#,##0.00">
                  <c:v>2377.1911174623565</c:v>
                </c:pt>
                <c:pt idx="1548" formatCode="#,##0.00">
                  <c:v>2391.5370296376677</c:v>
                </c:pt>
                <c:pt idx="1549" formatCode="#,##0.00">
                  <c:v>2409.2958183167448</c:v>
                </c:pt>
                <c:pt idx="1550" formatCode="#,##0.00">
                  <c:v>2417.4566337223068</c:v>
                </c:pt>
                <c:pt idx="1551" formatCode="#,##0.00">
                  <c:v>2427.570355415613</c:v>
                </c:pt>
                <c:pt idx="1552" formatCode="#,##0.00">
                  <c:v>2448.0430240227029</c:v>
                </c:pt>
                <c:pt idx="1553" formatCode="#,##0.00">
                  <c:v>2459.559708537136</c:v>
                </c:pt>
                <c:pt idx="1554" formatCode="#,##0.00">
                  <c:v>2469.5698210590094</c:v>
                </c:pt>
                <c:pt idx="1555" formatCode="#,##0.00">
                  <c:v>2477.5869929587016</c:v>
                </c:pt>
                <c:pt idx="1556" formatCode="#,##0.00">
                  <c:v>2481.1555906949507</c:v>
                </c:pt>
                <c:pt idx="1557" formatCode="#,##0.00">
                  <c:v>2481.4474824328836</c:v>
                </c:pt>
                <c:pt idx="1558" formatCode="#,##0.00">
                  <c:v>2480.0512337014184</c:v>
                </c:pt>
                <c:pt idx="1559" formatCode="#,##0.00">
                  <c:v>2479.3413809541739</c:v>
                </c:pt>
                <c:pt idx="1560" formatCode="#,##0.00">
                  <c:v>2481.9207836336027</c:v>
                </c:pt>
                <c:pt idx="1561" formatCode="#,##0.00">
                  <c:v>2485.0549159618636</c:v>
                </c:pt>
                <c:pt idx="1562" formatCode="#,##0.00">
                  <c:v>2485.5047104129967</c:v>
                </c:pt>
                <c:pt idx="1563" formatCode="#,##0.00">
                  <c:v>2484.837780721035</c:v>
                </c:pt>
                <c:pt idx="1564" formatCode="#,##0.00">
                  <c:v>2481.3689356323835</c:v>
                </c:pt>
                <c:pt idx="1565" formatCode="#,##0.00">
                  <c:v>2478.0555971845406</c:v>
                </c:pt>
                <c:pt idx="1566" formatCode="#,##0.00">
                  <c:v>2474.9548618745221</c:v>
                </c:pt>
                <c:pt idx="1567" formatCode="#,##0.00">
                  <c:v>2475.3009624393881</c:v>
                </c:pt>
                <c:pt idx="1568" formatCode="#,##0.00">
                  <c:v>2478.3050869951717</c:v>
                </c:pt>
                <c:pt idx="1569" formatCode="#,##0.00">
                  <c:v>2484.9498717013494</c:v>
                </c:pt>
                <c:pt idx="1570" formatCode="#,##0.00">
                  <c:v>2487.080139473524</c:v>
                </c:pt>
                <c:pt idx="1571" formatCode="#,##0.00">
                  <c:v>2486.1805343910137</c:v>
                </c:pt>
                <c:pt idx="1572" formatCode="#,##0.00">
                  <c:v>2482.1239780314859</c:v>
                </c:pt>
                <c:pt idx="1573" formatCode="#,##0.00">
                  <c:v>2483.7308163349662</c:v>
                </c:pt>
                <c:pt idx="1574" formatCode="#,##0.00">
                  <c:v>2488.8741047594026</c:v>
                </c:pt>
                <c:pt idx="1575" formatCode="#,##0.00">
                  <c:v>2494.3767216921569</c:v>
                </c:pt>
                <c:pt idx="1576" formatCode="#,##0.00">
                  <c:v>2500.8972184720496</c:v>
                </c:pt>
                <c:pt idx="1577" formatCode="#,##0.00">
                  <c:v>2505.3942877407285</c:v>
                </c:pt>
                <c:pt idx="1578" formatCode="#,##0.00">
                  <c:v>2506.3791914288563</c:v>
                </c:pt>
                <c:pt idx="1579" formatCode="#,##0.00">
                  <c:v>2505.8286436019503</c:v>
                </c:pt>
                <c:pt idx="1580" formatCode="#,##0.00">
                  <c:v>2505.0689841455273</c:v>
                </c:pt>
                <c:pt idx="1581" formatCode="#,##0.00">
                  <c:v>2507.1565525838341</c:v>
                </c:pt>
                <c:pt idx="1582" formatCode="#,##0.00">
                  <c:v>2517.2504703728732</c:v>
                </c:pt>
                <c:pt idx="1583" formatCode="#,##0.00">
                  <c:v>2524.3890802393375</c:v>
                </c:pt>
                <c:pt idx="1584" formatCode="#,##0.00">
                  <c:v>2530.5477976836596</c:v>
                </c:pt>
                <c:pt idx="1585" formatCode="#,##0.00">
                  <c:v>2535.4726819231569</c:v>
                </c:pt>
                <c:pt idx="1586" formatCode="#,##0.00">
                  <c:v>2537.4007626722469</c:v>
                </c:pt>
                <c:pt idx="1587" formatCode="#,##0.00">
                  <c:v>2532.8472265709174</c:v>
                </c:pt>
                <c:pt idx="1588" formatCode="#,##0.00">
                  <c:v>2533.1595799278089</c:v>
                </c:pt>
                <c:pt idx="1589" formatCode="#,##0.00">
                  <c:v>2532.0392426893022</c:v>
                </c:pt>
                <c:pt idx="1590" formatCode="#,##0.00">
                  <c:v>2534.7001187953883</c:v>
                </c:pt>
                <c:pt idx="1591" formatCode="#,##0.00">
                  <c:v>2541.8480408802234</c:v>
                </c:pt>
                <c:pt idx="1592" formatCode="#,##0.00">
                  <c:v>2550.3206638225029</c:v>
                </c:pt>
                <c:pt idx="1593" formatCode="#,##0.00">
                  <c:v>2558.1272643763396</c:v>
                </c:pt>
                <c:pt idx="1594" formatCode="#,##0.00">
                  <c:v>2565.0827113867254</c:v>
                </c:pt>
                <c:pt idx="1595" formatCode="#,##0.00">
                  <c:v>2573.2378190208638</c:v>
                </c:pt>
                <c:pt idx="1596" formatCode="#,##0.00">
                  <c:v>2582.6994477282178</c:v>
                </c:pt>
                <c:pt idx="1597" formatCode="#,##0.00">
                  <c:v>2594.5671683291625</c:v>
                </c:pt>
                <c:pt idx="1598" formatCode="#,##0.00">
                  <c:v>2603.4043002123412</c:v>
                </c:pt>
                <c:pt idx="1599" formatCode="#,##0.00">
                  <c:v>2609.3273105669682</c:v>
                </c:pt>
                <c:pt idx="1600" formatCode="#,##0.00">
                  <c:v>2608.8431918162955</c:v>
                </c:pt>
                <c:pt idx="1601" formatCode="#,##0.00">
                  <c:v>2603.4420432197676</c:v>
                </c:pt>
                <c:pt idx="1602" formatCode="#,##0.00">
                  <c:v>2601.5634900592959</c:v>
                </c:pt>
                <c:pt idx="1603" formatCode="#,##0.00">
                  <c:v>2593.9221467228008</c:v>
                </c:pt>
                <c:pt idx="1604" formatCode="#,##0.00">
                  <c:v>2584.8953236036377</c:v>
                </c:pt>
                <c:pt idx="1605" formatCode="#,##0.00">
                  <c:v>2579.480638178245</c:v>
                </c:pt>
                <c:pt idx="1606" formatCode="#,##0.00">
                  <c:v>2584.1171990897788</c:v>
                </c:pt>
                <c:pt idx="1607" formatCode="#,##0.00">
                  <c:v>2585.4832499555605</c:v>
                </c:pt>
                <c:pt idx="1608" formatCode="#,##0.00">
                  <c:v>2592.7519621708657</c:v>
                </c:pt>
                <c:pt idx="1609" formatCode="#,##0.00">
                  <c:v>2598.778800777447</c:v>
                </c:pt>
                <c:pt idx="1610" formatCode="#,##0.00">
                  <c:v>2592.252585384646</c:v>
                </c:pt>
                <c:pt idx="1611" formatCode="#,##0.00">
                  <c:v>2576.5871649820592</c:v>
                </c:pt>
                <c:pt idx="1612" formatCode="#,##0.00">
                  <c:v>2558.3123682586179</c:v>
                </c:pt>
                <c:pt idx="1613" formatCode="#,##0.00">
                  <c:v>2552.0739889049582</c:v>
                </c:pt>
                <c:pt idx="1614" formatCode="#,##0.00">
                  <c:v>2549.8816476190268</c:v>
                </c:pt>
                <c:pt idx="1615" formatCode="#,##0.00">
                  <c:v>2544.8834814429351</c:v>
                </c:pt>
                <c:pt idx="1616" formatCode="#,##0.00">
                  <c:v>2535.7184817126758</c:v>
                </c:pt>
                <c:pt idx="1617" formatCode="#,##0.00">
                  <c:v>2528.9295526470059</c:v>
                </c:pt>
                <c:pt idx="1618" formatCode="#,##0.00">
                  <c:v>2512.7342678456148</c:v>
                </c:pt>
                <c:pt idx="1619" formatCode="#,##0.00">
                  <c:v>2500.0668676236583</c:v>
                </c:pt>
                <c:pt idx="1620" formatCode="#,##0.00">
                  <c:v>2489.9248735329211</c:v>
                </c:pt>
                <c:pt idx="1621" formatCode="#,##0.00">
                  <c:v>2485.2110803809974</c:v>
                </c:pt>
                <c:pt idx="1622" formatCode="#,##0.00">
                  <c:v>2486.7470716298981</c:v>
                </c:pt>
                <c:pt idx="1623" formatCode="#,##0.00">
                  <c:v>2488.3173077955166</c:v>
                </c:pt>
                <c:pt idx="1624" formatCode="#,##0.00">
                  <c:v>2472.360313269287</c:v>
                </c:pt>
                <c:pt idx="1625" formatCode="#,##0.00">
                  <c:v>2466.0188538819907</c:v>
                </c:pt>
                <c:pt idx="1626" formatCode="#,##0.00">
                  <c:v>2462.8494757007529</c:v>
                </c:pt>
                <c:pt idx="1627" formatCode="#,##0.00">
                  <c:v>2463.4100973042741</c:v>
                </c:pt>
                <c:pt idx="1628" formatCode="#,##0.00">
                  <c:v>2467.9840962496937</c:v>
                </c:pt>
                <c:pt idx="1629" formatCode="#,##0.00">
                  <c:v>2474.1416335909789</c:v>
                </c:pt>
                <c:pt idx="1630" formatCode="#,##0.00">
                  <c:v>2479.3453505152124</c:v>
                </c:pt>
                <c:pt idx="1631" formatCode="#,##0.00">
                  <c:v>2486.129856689271</c:v>
                </c:pt>
                <c:pt idx="1632" formatCode="#,##0.00">
                  <c:v>2491.4802549855676</c:v>
                </c:pt>
                <c:pt idx="1633" formatCode="#,##0.00">
                  <c:v>2507.8478219672538</c:v>
                </c:pt>
                <c:pt idx="1634" formatCode="#,##0.00">
                  <c:v>2532.8573858334253</c:v>
                </c:pt>
                <c:pt idx="1635" formatCode="#,##0.00">
                  <c:v>2565.3385995865051</c:v>
                </c:pt>
                <c:pt idx="1636" formatCode="#,##0.00">
                  <c:v>2588.5875370530148</c:v>
                </c:pt>
                <c:pt idx="1637" formatCode="#,##0.00">
                  <c:v>2607.3427826139955</c:v>
                </c:pt>
                <c:pt idx="1638" formatCode="#,##0.00">
                  <c:v>2621.5515444649914</c:v>
                </c:pt>
                <c:pt idx="1639" formatCode="#,##0.00">
                  <c:v>2630.8130755033062</c:v>
                </c:pt>
                <c:pt idx="1640" formatCode="#,##0.00">
                  <c:v>2638.1483891009666</c:v>
                </c:pt>
                <c:pt idx="1641" formatCode="#,##0.00">
                  <c:v>2645.3261822373588</c:v>
                </c:pt>
                <c:pt idx="1642" formatCode="#,##0.00">
                  <c:v>2652.4957448618311</c:v>
                </c:pt>
                <c:pt idx="1643" formatCode="#,##0.00">
                  <c:v>2665.5104334455291</c:v>
                </c:pt>
                <c:pt idx="1644" formatCode="#,##0.00">
                  <c:v>2677.0153660939877</c:v>
                </c:pt>
                <c:pt idx="1645" formatCode="#,##0.00">
                  <c:v>2678.5366337256314</c:v>
                </c:pt>
                <c:pt idx="1646" formatCode="#,##0.00">
                  <c:v>2673.092832833202</c:v>
                </c:pt>
                <c:pt idx="1647" formatCode="#,##0.00">
                  <c:v>2671.6978179148582</c:v>
                </c:pt>
                <c:pt idx="1648" formatCode="#,##0.00">
                  <c:v>2666.487136444875</c:v>
                </c:pt>
                <c:pt idx="1649" formatCode="#,##0.00">
                  <c:v>2656.4444412000003</c:v>
                </c:pt>
                <c:pt idx="1650" formatCode="#,##0.00">
                  <c:v>2651.9484394969795</c:v>
                </c:pt>
                <c:pt idx="1651" formatCode="#,##0.00">
                  <c:v>2650.531512353105</c:v>
                </c:pt>
                <c:pt idx="1652" formatCode="#,##0.00">
                  <c:v>2639.543239249329</c:v>
                </c:pt>
                <c:pt idx="1653" formatCode="#,##0.00">
                  <c:v>2626.2453340546222</c:v>
                </c:pt>
                <c:pt idx="1654" formatCode="#,##0.00">
                  <c:v>2603.046256207223</c:v>
                </c:pt>
                <c:pt idx="1655" formatCode="#,##0.00">
                  <c:v>2577.8400656425979</c:v>
                </c:pt>
                <c:pt idx="1656" formatCode="#,##0.00">
                  <c:v>2560.4127792369104</c:v>
                </c:pt>
                <c:pt idx="1657" formatCode="#,##0.00">
                  <c:v>2550.7711124635589</c:v>
                </c:pt>
                <c:pt idx="1658" formatCode="#,##0.00">
                  <c:v>2537.4937136895865</c:v>
                </c:pt>
                <c:pt idx="1659" formatCode="#,##0.00">
                  <c:v>2529.0373198911943</c:v>
                </c:pt>
                <c:pt idx="1660" formatCode="#,##0.00">
                  <c:v>2510.3468544489424</c:v>
                </c:pt>
                <c:pt idx="1661" formatCode="#,##0.00">
                  <c:v>2455.5895295141695</c:v>
                </c:pt>
                <c:pt idx="1662" formatCode="#,##0.00">
                  <c:v>2436.8698486762437</c:v>
                </c:pt>
                <c:pt idx="1663" formatCode="#,##0.00">
                  <c:v>2425.6431726191122</c:v>
                </c:pt>
                <c:pt idx="1664" formatCode="#,##0.00">
                  <c:v>2415.1143338628158</c:v>
                </c:pt>
                <c:pt idx="1665" formatCode="#,##0.00">
                  <c:v>2400.9417430105877</c:v>
                </c:pt>
                <c:pt idx="1666" formatCode="#,##0.00">
                  <c:v>2381.1547582782241</c:v>
                </c:pt>
                <c:pt idx="1667" formatCode="#,##0.00">
                  <c:v>2377.0142713704854</c:v>
                </c:pt>
                <c:pt idx="1668" formatCode="#,##0.00">
                  <c:v>2370.5497073157057</c:v>
                </c:pt>
                <c:pt idx="1669" formatCode="#,##0.00">
                  <c:v>2363.7642245398524</c:v>
                </c:pt>
                <c:pt idx="1670" formatCode="#,##0.00">
                  <c:v>2354.7093083357745</c:v>
                </c:pt>
                <c:pt idx="1671" formatCode="#,##0.00">
                  <c:v>2366.7521846435284</c:v>
                </c:pt>
                <c:pt idx="1672" formatCode="#,##0.00">
                  <c:v>2372.0221400811329</c:v>
                </c:pt>
                <c:pt idx="1673" formatCode="#,##0.00">
                  <c:v>2378.9370640137786</c:v>
                </c:pt>
                <c:pt idx="1674" formatCode="#,##0.00">
                  <c:v>2386.038458955536</c:v>
                </c:pt>
                <c:pt idx="1675" formatCode="#,##0.00">
                  <c:v>2400.6994854363611</c:v>
                </c:pt>
                <c:pt idx="1676" formatCode="#,##0.00">
                  <c:v>2413.8055642265676</c:v>
                </c:pt>
                <c:pt idx="1677" formatCode="#,##0.00">
                  <c:v>2417.0553004076833</c:v>
                </c:pt>
                <c:pt idx="1678" formatCode="#,##0.00">
                  <c:v>2417.2010839671252</c:v>
                </c:pt>
                <c:pt idx="1679" formatCode="#,##0.00">
                  <c:v>2416.1707086212828</c:v>
                </c:pt>
                <c:pt idx="1680" formatCode="#,##0.00">
                  <c:v>2416.3725789566715</c:v>
                </c:pt>
                <c:pt idx="1681" formatCode="#,##0.00">
                  <c:v>2414.5779365778117</c:v>
                </c:pt>
                <c:pt idx="1682" formatCode="#,##0.00">
                  <c:v>2412.9461244269132</c:v>
                </c:pt>
                <c:pt idx="1683" formatCode="#,##0.00">
                  <c:v>2394.9475171474351</c:v>
                </c:pt>
                <c:pt idx="1684" formatCode="#,##0.00">
                  <c:v>2380.5026173091192</c:v>
                </c:pt>
                <c:pt idx="1685" formatCode="#,##0.00">
                  <c:v>2371.154620909324</c:v>
                </c:pt>
                <c:pt idx="1686" formatCode="#,##0.00">
                  <c:v>2367.6576833934855</c:v>
                </c:pt>
                <c:pt idx="1687" formatCode="#,##0.00">
                  <c:v>2365.742808914933</c:v>
                </c:pt>
                <c:pt idx="1688" formatCode="#,##0.00">
                  <c:v>2364.4383392108389</c:v>
                </c:pt>
                <c:pt idx="1689" formatCode="#,##0.00">
                  <c:v>2365.7564189538689</c:v>
                </c:pt>
                <c:pt idx="1690" formatCode="#,##0.00">
                  <c:v>2366.5007712238485</c:v>
                </c:pt>
                <c:pt idx="1691" formatCode="#,##0.00">
                  <c:v>2368.2768040709529</c:v>
                </c:pt>
                <c:pt idx="1692" formatCode="#,##0.00">
                  <c:v>2369.2099675449458</c:v>
                </c:pt>
                <c:pt idx="1693" formatCode="#,##0.00">
                  <c:v>2379.6144748106376</c:v>
                </c:pt>
                <c:pt idx="1694" formatCode="#,##0.00">
                  <c:v>2394.7832562821068</c:v>
                </c:pt>
                <c:pt idx="1695" formatCode="#,##0.00">
                  <c:v>2400.6030156787738</c:v>
                </c:pt>
                <c:pt idx="1696" formatCode="#,##0.00">
                  <c:v>2395.0106287996964</c:v>
                </c:pt>
                <c:pt idx="1697" formatCode="#,##0.00">
                  <c:v>2384.3706690492063</c:v>
                </c:pt>
                <c:pt idx="1698" formatCode="#,##0.00">
                  <c:v>2377.243132415626</c:v>
                </c:pt>
                <c:pt idx="1699" formatCode="#,##0.00">
                  <c:v>2370.1965154187665</c:v>
                </c:pt>
                <c:pt idx="1700" formatCode="#,##0.00">
                  <c:v>2357.9013938809144</c:v>
                </c:pt>
                <c:pt idx="1701" formatCode="#,##0.00">
                  <c:v>2346.017166950588</c:v>
                </c:pt>
                <c:pt idx="1702" formatCode="#,##0.00">
                  <c:v>2311.0826944503315</c:v>
                </c:pt>
                <c:pt idx="1703" formatCode="#,##0.00">
                  <c:v>2282.7387151649064</c:v>
                </c:pt>
                <c:pt idx="1704" formatCode="#,##0.00">
                  <c:v>2253.4069421432941</c:v>
                </c:pt>
                <c:pt idx="1705" formatCode="#,##0.00">
                  <c:v>2219.9205770935782</c:v>
                </c:pt>
                <c:pt idx="1706" formatCode="#,##0.00">
                  <c:v>2199.4500179647102</c:v>
                </c:pt>
                <c:pt idx="1707" formatCode="#,##0.00">
                  <c:v>2186.4973553564278</c:v>
                </c:pt>
                <c:pt idx="1708" formatCode="#,##0.00">
                  <c:v>2175.7527306528332</c:v>
                </c:pt>
                <c:pt idx="1709" formatCode="#,##0.00">
                  <c:v>2167.0178453683338</c:v>
                </c:pt>
                <c:pt idx="1710" formatCode="#,##0.00">
                  <c:v>2157.0660036481281</c:v>
                </c:pt>
                <c:pt idx="1711" formatCode="#,##0.00">
                  <c:v>2148.0992438902504</c:v>
                </c:pt>
                <c:pt idx="1712" formatCode="#,##0.00">
                  <c:v>2143.4376652476694</c:v>
                </c:pt>
                <c:pt idx="1713" formatCode="#,##0.00">
                  <c:v>2159.4903649502294</c:v>
                </c:pt>
                <c:pt idx="1714" formatCode="#,##0.00">
                  <c:v>2171.9517819594598</c:v>
                </c:pt>
                <c:pt idx="1715" formatCode="#,##0.00">
                  <c:v>2194.1607985443839</c:v>
                </c:pt>
                <c:pt idx="1716" formatCode="#,##0.00">
                  <c:v>2208.2658932469881</c:v>
                </c:pt>
                <c:pt idx="1717" formatCode="#,##0.00">
                  <c:v>2217.1174643692079</c:v>
                </c:pt>
                <c:pt idx="1718" formatCode="#,##0.00">
                  <c:v>2227.5263229976208</c:v>
                </c:pt>
                <c:pt idx="1719" formatCode="#,##0.00">
                  <c:v>2232.7618523130013</c:v>
                </c:pt>
                <c:pt idx="1720" formatCode="#,##0.00">
                  <c:v>2234.573417894941</c:v>
                </c:pt>
                <c:pt idx="1721" formatCode="#,##0.00">
                  <c:v>2232.7821971530311</c:v>
                </c:pt>
                <c:pt idx="1722" formatCode="#,##0.00">
                  <c:v>2233.2822197675664</c:v>
                </c:pt>
                <c:pt idx="1723" formatCode="#,##0.00">
                  <c:v>2223.5357263567776</c:v>
                </c:pt>
                <c:pt idx="1724" formatCode="#,##0.00">
                  <c:v>2215.8892487568905</c:v>
                </c:pt>
                <c:pt idx="1725" formatCode="#,##0.00">
                  <c:v>2210.6615473466095</c:v>
                </c:pt>
                <c:pt idx="1726" formatCode="#,##0.00">
                  <c:v>2199.4724715054167</c:v>
                </c:pt>
                <c:pt idx="1727" formatCode="#,##0.00">
                  <c:v>2204.6154994505077</c:v>
                </c:pt>
                <c:pt idx="1728" formatCode="#,##0.00">
                  <c:v>2208.3601962223497</c:v>
                </c:pt>
                <c:pt idx="1729" formatCode="#,##0.00">
                  <c:v>2214.0760875712185</c:v>
                </c:pt>
                <c:pt idx="1730" formatCode="#,##0.00">
                  <c:v>2230.1696542820487</c:v>
                </c:pt>
                <c:pt idx="1731" formatCode="#,##0.00">
                  <c:v>2244.535862657734</c:v>
                </c:pt>
                <c:pt idx="1732" formatCode="#,##0.00">
                  <c:v>2258.9794912467728</c:v>
                </c:pt>
                <c:pt idx="1733" formatCode="#,##0.00">
                  <c:v>2265.6804749323614</c:v>
                </c:pt>
                <c:pt idx="1734" formatCode="#,##0.00">
                  <c:v>2271.0570580249891</c:v>
                </c:pt>
                <c:pt idx="1735" formatCode="#,##0.00">
                  <c:v>2281.4625928257128</c:v>
                </c:pt>
                <c:pt idx="1736" formatCode="#,##0.00">
                  <c:v>2291.6189678206902</c:v>
                </c:pt>
                <c:pt idx="1737" formatCode="#,##0.00">
                  <c:v>2309.1478392504982</c:v>
                </c:pt>
                <c:pt idx="1738" formatCode="#,##0.00">
                  <c:v>2318.0521507008748</c:v>
                </c:pt>
                <c:pt idx="1739" formatCode="#,##0.00">
                  <c:v>2323.4229357673735</c:v>
                </c:pt>
                <c:pt idx="1740" formatCode="#,##0.00">
                  <c:v>2327.2527856709612</c:v>
                </c:pt>
                <c:pt idx="1741" formatCode="#,##0.00">
                  <c:v>2333.2236828047048</c:v>
                </c:pt>
                <c:pt idx="1742" formatCode="#,##0.00">
                  <c:v>2339.2102164986286</c:v>
                </c:pt>
                <c:pt idx="1743" formatCode="#,##0.00">
                  <c:v>2332.8611279607326</c:v>
                </c:pt>
                <c:pt idx="1744" formatCode="#,##0.00">
                  <c:v>2330.6601327697163</c:v>
                </c:pt>
                <c:pt idx="1745" formatCode="#,##0.00">
                  <c:v>2330.4456926884477</c:v>
                </c:pt>
                <c:pt idx="1746" formatCode="#,##0.00">
                  <c:v>2328.995063213752</c:v>
                </c:pt>
                <c:pt idx="1747" formatCode="#,##0.00">
                  <c:v>2329.0077350569045</c:v>
                </c:pt>
                <c:pt idx="1748" formatCode="#,##0.00">
                  <c:v>2309.3412984290489</c:v>
                </c:pt>
                <c:pt idx="1749" formatCode="#,##0.00">
                  <c:v>2301.5040539126162</c:v>
                </c:pt>
                <c:pt idx="1750" formatCode="#,##0.00">
                  <c:v>2295.9386948166098</c:v>
                </c:pt>
                <c:pt idx="1751" formatCode="#,##0.00">
                  <c:v>2291.5675156836169</c:v>
                </c:pt>
                <c:pt idx="1752" formatCode="#,##0.00">
                  <c:v>2287.6209611192176</c:v>
                </c:pt>
                <c:pt idx="1753" formatCode="#,##0.00">
                  <c:v>2287.1980819458699</c:v>
                </c:pt>
                <c:pt idx="1754" formatCode="#,##0.00">
                  <c:v>2287.4386533835423</c:v>
                </c:pt>
                <c:pt idx="1755" formatCode="#,##0.00">
                  <c:v>2287.8767887171416</c:v>
                </c:pt>
                <c:pt idx="1756" formatCode="#,##0.00">
                  <c:v>2293.0871951279014</c:v>
                </c:pt>
                <c:pt idx="1757" formatCode="#,##0.00">
                  <c:v>2295.4195824884273</c:v>
                </c:pt>
                <c:pt idx="1758" formatCode="#,##0.00">
                  <c:v>2304.0291148276801</c:v>
                </c:pt>
                <c:pt idx="1759" formatCode="#,##0.00">
                  <c:v>2301.8573932981335</c:v>
                </c:pt>
                <c:pt idx="1760" formatCode="#,##0.00">
                  <c:v>2286.8091684169963</c:v>
                </c:pt>
                <c:pt idx="1761" formatCode="#,##0.00">
                  <c:v>2270.3205041620913</c:v>
                </c:pt>
                <c:pt idx="1762" formatCode="#,##0.00">
                  <c:v>2265.9747277506667</c:v>
                </c:pt>
                <c:pt idx="1763" formatCode="#,##0.00">
                  <c:v>2262.973737301219</c:v>
                </c:pt>
                <c:pt idx="1764" formatCode="#,##0.00">
                  <c:v>2259.7113137628544</c:v>
                </c:pt>
                <c:pt idx="1765" formatCode="#,##0.00">
                  <c:v>2256.6779161459076</c:v>
                </c:pt>
                <c:pt idx="1766" formatCode="#,##0.00">
                  <c:v>2251.8532384449582</c:v>
                </c:pt>
                <c:pt idx="1767" formatCode="#,##0.00">
                  <c:v>2263.2474092518942</c:v>
                </c:pt>
                <c:pt idx="1768" formatCode="#,##0.00">
                  <c:v>2273.0900516453685</c:v>
                </c:pt>
                <c:pt idx="1769" formatCode="#,##0.00">
                  <c:v>2283.436664766195</c:v>
                </c:pt>
                <c:pt idx="1770" formatCode="#,##0.00">
                  <c:v>2305.1918296075123</c:v>
                </c:pt>
                <c:pt idx="1771" formatCode="#,##0.00">
                  <c:v>2347.7952706561223</c:v>
                </c:pt>
                <c:pt idx="1772" formatCode="#,##0.00">
                  <c:v>2363.6470776087253</c:v>
                </c:pt>
                <c:pt idx="1773" formatCode="#,##0.00">
                  <c:v>2388.218218377122</c:v>
                </c:pt>
                <c:pt idx="1774" formatCode="#,##0.00">
                  <c:v>2409.8782991076332</c:v>
                </c:pt>
                <c:pt idx="1775" formatCode="#,##0.00">
                  <c:v>2420.1908671114074</c:v>
                </c:pt>
                <c:pt idx="1776" formatCode="#,##0.00">
                  <c:v>2437.3282489841836</c:v>
                </c:pt>
                <c:pt idx="1777" formatCode="#,##0.00">
                  <c:v>2449.9825103886064</c:v>
                </c:pt>
                <c:pt idx="1778" formatCode="#,##0.00">
                  <c:v>2455.9066511706237</c:v>
                </c:pt>
                <c:pt idx="1779" formatCode="#,##0.00">
                  <c:v>2459.7833015312913</c:v>
                </c:pt>
                <c:pt idx="1780" formatCode="#,##0.00">
                  <c:v>2464.5520736956455</c:v>
                </c:pt>
                <c:pt idx="1781" formatCode="#,##0.00">
                  <c:v>2466.9219466676759</c:v>
                </c:pt>
                <c:pt idx="1782" formatCode="#,##0.00">
                  <c:v>2470.7728412372153</c:v>
                </c:pt>
                <c:pt idx="1783" formatCode="#,##0.00">
                  <c:v>2469.379986629081</c:v>
                </c:pt>
                <c:pt idx="1784" formatCode="#,##0.00">
                  <c:v>2469.3471467267323</c:v>
                </c:pt>
                <c:pt idx="1785" formatCode="#,##0.00">
                  <c:v>2481.7027995125945</c:v>
                </c:pt>
                <c:pt idx="1786" formatCode="#,##0.00">
                  <c:v>2491.8785065931438</c:v>
                </c:pt>
                <c:pt idx="1787" formatCode="#,##0.00">
                  <c:v>2508.6096746252142</c:v>
                </c:pt>
                <c:pt idx="1788" formatCode="#,##0.00">
                  <c:v>2516.4814335586439</c:v>
                </c:pt>
                <c:pt idx="1789" formatCode="#,##0.00">
                  <c:v>2518.7520839420922</c:v>
                </c:pt>
                <c:pt idx="1790" formatCode="#,##0.00">
                  <c:v>2522.0414274273244</c:v>
                </c:pt>
                <c:pt idx="1791" formatCode="#,##0.00">
                  <c:v>2518.3557667065943</c:v>
                </c:pt>
                <c:pt idx="1792" formatCode="#,##0.00">
                  <c:v>2515.8101914832014</c:v>
                </c:pt>
                <c:pt idx="1793" formatCode="#,##0.00">
                  <c:v>2514.493451791654</c:v>
                </c:pt>
                <c:pt idx="1794" formatCode="#,##0.00">
                  <c:v>2509.4744646927697</c:v>
                </c:pt>
                <c:pt idx="1795" formatCode="#,##0.00">
                  <c:v>2496.7461123830508</c:v>
                </c:pt>
                <c:pt idx="1796" formatCode="#,##0.00">
                  <c:v>2489.4302600610818</c:v>
                </c:pt>
                <c:pt idx="1797" formatCode="#,##0.00">
                  <c:v>2476.8217034397439</c:v>
                </c:pt>
                <c:pt idx="1798" formatCode="#,##0.00">
                  <c:v>2469.1325027292705</c:v>
                </c:pt>
                <c:pt idx="1799" formatCode="#,##0.00">
                  <c:v>2463.8617172409731</c:v>
                </c:pt>
                <c:pt idx="1800" formatCode="#,##0.00">
                  <c:v>2455.1854383278364</c:v>
                </c:pt>
                <c:pt idx="1801" formatCode="#,##0.00">
                  <c:v>2448.2171480061916</c:v>
                </c:pt>
                <c:pt idx="1802" formatCode="#,##0.00">
                  <c:v>2438.2309598822249</c:v>
                </c:pt>
                <c:pt idx="1803" formatCode="#,##0.00">
                  <c:v>2431.9932500584746</c:v>
                </c:pt>
                <c:pt idx="1804" formatCode="#,##0.00">
                  <c:v>2426.976070488507</c:v>
                </c:pt>
                <c:pt idx="1805" formatCode="#,##0.00">
                  <c:v>2423.5259556416991</c:v>
                </c:pt>
                <c:pt idx="1806" formatCode="#,##0.00">
                  <c:v>2423.9263519162996</c:v>
                </c:pt>
                <c:pt idx="1807" formatCode="#,##0.00">
                  <c:v>2422.5090345614026</c:v>
                </c:pt>
                <c:pt idx="1808" formatCode="#,##0.00">
                  <c:v>2412.5760180732909</c:v>
                </c:pt>
                <c:pt idx="1809" formatCode="#,##0.00">
                  <c:v>2396.1876996020878</c:v>
                </c:pt>
                <c:pt idx="1810" formatCode="#,##0.00">
                  <c:v>2385.9545574392387</c:v>
                </c:pt>
                <c:pt idx="1811" formatCode="#,##0.00">
                  <c:v>2364.405091770795</c:v>
                </c:pt>
                <c:pt idx="1812" formatCode="#,##0.00">
                  <c:v>2356.4087412905733</c:v>
                </c:pt>
                <c:pt idx="1813" formatCode="#,##0.00">
                  <c:v>2350.7858530772351</c:v>
                </c:pt>
                <c:pt idx="1814" formatCode="#,##0.00">
                  <c:v>2340.5851437308875</c:v>
                </c:pt>
                <c:pt idx="1815" formatCode="#,##0.00">
                  <c:v>2327.9491595339887</c:v>
                </c:pt>
                <c:pt idx="1816" formatCode="#,##0.00">
                  <c:v>2320.6676559897091</c:v>
                </c:pt>
                <c:pt idx="1817" formatCode="#,##0.00">
                  <c:v>2313.852577294449</c:v>
                </c:pt>
                <c:pt idx="1818" formatCode="#,##0.00">
                  <c:v>2307.2218811700359</c:v>
                </c:pt>
                <c:pt idx="1819" formatCode="#,##0.00">
                  <c:v>2305.223352658048</c:v>
                </c:pt>
                <c:pt idx="1820" formatCode="#,##0.00">
                  <c:v>2306.0409889923721</c:v>
                </c:pt>
                <c:pt idx="1821" formatCode="#,##0.00">
                  <c:v>2309.6634258154122</c:v>
                </c:pt>
                <c:pt idx="1822" formatCode="#,##0.00">
                  <c:v>2309.9083395408647</c:v>
                </c:pt>
                <c:pt idx="1823" formatCode="#,##0.00">
                  <c:v>2310.6837475022612</c:v>
                </c:pt>
                <c:pt idx="1824" formatCode="#,##0.00">
                  <c:v>2312.7705907048144</c:v>
                </c:pt>
                <c:pt idx="1825" formatCode="#,##0.00">
                  <c:v>2312.9842114381854</c:v>
                </c:pt>
                <c:pt idx="1826" formatCode="#,##0.00">
                  <c:v>2315.0442061336607</c:v>
                </c:pt>
                <c:pt idx="1827" formatCode="#,##0.00">
                  <c:v>2322.2159065266287</c:v>
                </c:pt>
                <c:pt idx="1828" formatCode="#,##0.00">
                  <c:v>2330.9139663499545</c:v>
                </c:pt>
                <c:pt idx="1829" formatCode="#,##0.00">
                  <c:v>2348.8169716148709</c:v>
                </c:pt>
                <c:pt idx="1830" formatCode="#,##0.00">
                  <c:v>2367.3898144003761</c:v>
                </c:pt>
                <c:pt idx="1831" formatCode="#,##0.00">
                  <c:v>2404.3050977982657</c:v>
                </c:pt>
                <c:pt idx="1832" formatCode="#,##0.00">
                  <c:v>2418.4703542314733</c:v>
                </c:pt>
                <c:pt idx="1833" formatCode="#,##0.00">
                  <c:v>2429.883874837295</c:v>
                </c:pt>
                <c:pt idx="1834" formatCode="#,##0.00">
                  <c:v>2446.9129758368749</c:v>
                </c:pt>
                <c:pt idx="1835" formatCode="#,##0.00">
                  <c:v>2462.1239006268561</c:v>
                </c:pt>
                <c:pt idx="1836" formatCode="#,##0.00">
                  <c:v>2491.8755318799226</c:v>
                </c:pt>
                <c:pt idx="1837" formatCode="#,##0.00">
                  <c:v>2508.5820110894242</c:v>
                </c:pt>
                <c:pt idx="1838" formatCode="#,##0.00">
                  <c:v>2522.6738580679721</c:v>
                </c:pt>
                <c:pt idx="1839" formatCode="#,##0.00">
                  <c:v>2539.6584304858825</c:v>
                </c:pt>
                <c:pt idx="1840" formatCode="#,##0.00">
                  <c:v>2551.5642651929174</c:v>
                </c:pt>
                <c:pt idx="1841" formatCode="#,##0.00">
                  <c:v>2560.1708487106521</c:v>
                </c:pt>
                <c:pt idx="1842" formatCode="#,##0.00">
                  <c:v>2565.1855867902914</c:v>
                </c:pt>
                <c:pt idx="1843" formatCode="#,##0.00">
                  <c:v>2570.2192532736699</c:v>
                </c:pt>
                <c:pt idx="1844" formatCode="#,##0.00">
                  <c:v>2602.5071084697925</c:v>
                </c:pt>
                <c:pt idx="1845" formatCode="#,##0.00">
                  <c:v>2612.8849826752871</c:v>
                </c:pt>
                <c:pt idx="1846" formatCode="#,##0.00">
                  <c:v>2604.5120551694695</c:v>
                </c:pt>
                <c:pt idx="1847" formatCode="#,##0.00">
                  <c:v>2594.4350191081589</c:v>
                </c:pt>
                <c:pt idx="1848" formatCode="#,##0.00">
                  <c:v>2589.1034925460326</c:v>
                </c:pt>
                <c:pt idx="1849" formatCode="#,##0.00">
                  <c:v>2584.7322720180505</c:v>
                </c:pt>
                <c:pt idx="1850" formatCode="#,##0.00">
                  <c:v>2581.3751454151698</c:v>
                </c:pt>
                <c:pt idx="1851" formatCode="#,##0.00">
                  <c:v>2565.9901577243472</c:v>
                </c:pt>
                <c:pt idx="1852" formatCode="#,##0.00">
                  <c:v>2552.1916949046358</c:v>
                </c:pt>
                <c:pt idx="1853" formatCode="#,##0.00">
                  <c:v>2542.8509355618262</c:v>
                </c:pt>
                <c:pt idx="1854" formatCode="#,##0.00">
                  <c:v>2501.8512088034881</c:v>
                </c:pt>
                <c:pt idx="1855" formatCode="#,##0.00">
                  <c:v>2465.1341464146276</c:v>
                </c:pt>
                <c:pt idx="1856" formatCode="#,##0.00">
                  <c:v>2438.5157674877833</c:v>
                </c:pt>
                <c:pt idx="1857" formatCode="#,##0.00">
                  <c:v>2423.7192350266569</c:v>
                </c:pt>
                <c:pt idx="1858" formatCode="#,##0.00">
                  <c:v>2412.5964080170229</c:v>
                </c:pt>
                <c:pt idx="1859" formatCode="#,##0.00">
                  <c:v>2405.0878398542432</c:v>
                </c:pt>
                <c:pt idx="1860" formatCode="#,##0.00">
                  <c:v>2394.76579001748</c:v>
                </c:pt>
                <c:pt idx="1861" formatCode="#,##0.00">
                  <c:v>2387.1271912760376</c:v>
                </c:pt>
                <c:pt idx="1862" formatCode="#,##0.00">
                  <c:v>2383.4681054418047</c:v>
                </c:pt>
                <c:pt idx="1863" formatCode="#,##0.00">
                  <c:v>2379.0224096836146</c:v>
                </c:pt>
                <c:pt idx="1864" formatCode="#,##0.00">
                  <c:v>2374.3177677665435</c:v>
                </c:pt>
                <c:pt idx="1865" formatCode="#,##0.00">
                  <c:v>2369.6064688132997</c:v>
                </c:pt>
                <c:pt idx="1866" formatCode="#,##0.00">
                  <c:v>2354.0980916178037</c:v>
                </c:pt>
                <c:pt idx="1867" formatCode="#,##0.00">
                  <c:v>2354.7937230544439</c:v>
                </c:pt>
                <c:pt idx="1868" formatCode="#,##0.00">
                  <c:v>2380.7791127248497</c:v>
                </c:pt>
                <c:pt idx="1869" formatCode="#,##0.00">
                  <c:v>2395.2106891828121</c:v>
                </c:pt>
                <c:pt idx="1870" formatCode="#,##0.00">
                  <c:v>2411.9939180269012</c:v>
                </c:pt>
                <c:pt idx="1871" formatCode="#,##0.00">
                  <c:v>2414.1297696556335</c:v>
                </c:pt>
                <c:pt idx="1872" formatCode="#,##0.00">
                  <c:v>2415.9637858565602</c:v>
                </c:pt>
                <c:pt idx="1873" formatCode="#,##0.00">
                  <c:v>2418.7474280832521</c:v>
                </c:pt>
                <c:pt idx="1874" formatCode="#,##0.00">
                  <c:v>2424.4100779833375</c:v>
                </c:pt>
                <c:pt idx="1875" formatCode="#,##0.00">
                  <c:v>2428.3892362889942</c:v>
                </c:pt>
                <c:pt idx="1876" formatCode="#,##0.00">
                  <c:v>2436.5502970446632</c:v>
                </c:pt>
                <c:pt idx="1877" formatCode="#,##0.00">
                  <c:v>2444.1100258703509</c:v>
                </c:pt>
                <c:pt idx="1878" formatCode="#,##0.00">
                  <c:v>2451.705396060463</c:v>
                </c:pt>
                <c:pt idx="1879" formatCode="#,##0.00">
                  <c:v>2457.9657181446964</c:v>
                </c:pt>
                <c:pt idx="1880" formatCode="#,##0.00">
                  <c:v>2467.6056622824608</c:v>
                </c:pt>
                <c:pt idx="1881" formatCode="#,##0.00">
                  <c:v>2481.1122037490036</c:v>
                </c:pt>
                <c:pt idx="1882" formatCode="#,##0.00">
                  <c:v>2489.7288724211758</c:v>
                </c:pt>
                <c:pt idx="1883" formatCode="#,##0.00">
                  <c:v>2496.9593149500379</c:v>
                </c:pt>
                <c:pt idx="1884" formatCode="#,##0.00">
                  <c:v>2506.6303687538802</c:v>
                </c:pt>
                <c:pt idx="1885" formatCode="#,##0.00">
                  <c:v>2508.2950821022632</c:v>
                </c:pt>
                <c:pt idx="1886" formatCode="#,##0.00">
                  <c:v>2512.1094056951229</c:v>
                </c:pt>
                <c:pt idx="1887" formatCode="#,##0.00">
                  <c:v>2510.4901435620336</c:v>
                </c:pt>
                <c:pt idx="1888" formatCode="#,##0.00">
                  <c:v>2503.6837280272957</c:v>
                </c:pt>
                <c:pt idx="1889" formatCode="#,##0.00">
                  <c:v>2499.4564742725529</c:v>
                </c:pt>
                <c:pt idx="1890" formatCode="#,##0.00">
                  <c:v>2496.8867481605421</c:v>
                </c:pt>
                <c:pt idx="1891" formatCode="#,##0.00">
                  <c:v>2499.7717599059815</c:v>
                </c:pt>
                <c:pt idx="1892" formatCode="#,##0.00">
                  <c:v>2499.9318482475846</c:v>
                </c:pt>
                <c:pt idx="1893" formatCode="#,##0.00">
                  <c:v>2499.3997192990323</c:v>
                </c:pt>
                <c:pt idx="1894" formatCode="#,##0.00">
                  <c:v>2499.1248833948921</c:v>
                </c:pt>
                <c:pt idx="1895" formatCode="#,##0.00">
                  <c:v>2503.152055380674</c:v>
                </c:pt>
                <c:pt idx="1896" formatCode="#,##0.00">
                  <c:v>2505.312672802293</c:v>
                </c:pt>
                <c:pt idx="1897" formatCode="#,##0.00">
                  <c:v>2506.1061087412709</c:v>
                </c:pt>
                <c:pt idx="1898" formatCode="#,##0.00">
                  <c:v>2504.5919202508517</c:v>
                </c:pt>
                <c:pt idx="1899" formatCode="#,##0.00">
                  <c:v>2503.8654924645143</c:v>
                </c:pt>
                <c:pt idx="1900" formatCode="#,##0.00">
                  <c:v>2501.3202474936788</c:v>
                </c:pt>
                <c:pt idx="1901" formatCode="#,##0.00">
                  <c:v>2499.1253880716217</c:v>
                </c:pt>
                <c:pt idx="1902" formatCode="#,##0.00">
                  <c:v>2498.7788398255643</c:v>
                </c:pt>
                <c:pt idx="1903" formatCode="#,##0.00">
                  <c:v>2497.6522499890375</c:v>
                </c:pt>
                <c:pt idx="1904" formatCode="#,##0.00">
                  <c:v>2495.6634383822893</c:v>
                </c:pt>
                <c:pt idx="1905" formatCode="#,##0.00">
                  <c:v>2489.7133506751229</c:v>
                </c:pt>
                <c:pt idx="1906" formatCode="#,##0.00">
                  <c:v>2482.638743365193</c:v>
                </c:pt>
                <c:pt idx="1907" formatCode="#,##0.00">
                  <c:v>2478.5411704077655</c:v>
                </c:pt>
                <c:pt idx="1908" formatCode="#,##0.00">
                  <c:v>2475.7015689392606</c:v>
                </c:pt>
                <c:pt idx="1909" formatCode="#,##0.00">
                  <c:v>2471.8985652822239</c:v>
                </c:pt>
                <c:pt idx="1910" formatCode="#,##0.00">
                  <c:v>2469.1384316916092</c:v>
                </c:pt>
                <c:pt idx="1911" formatCode="#,##0.00">
                  <c:v>2469.6475258499331</c:v>
                </c:pt>
                <c:pt idx="1912" formatCode="#,##0.00">
                  <c:v>2472.0010715815097</c:v>
                </c:pt>
                <c:pt idx="1913" formatCode="#,##0.00">
                  <c:v>2470.6152324754958</c:v>
                </c:pt>
                <c:pt idx="1914" formatCode="#,##0.00">
                  <c:v>2478.9241081350247</c:v>
                </c:pt>
                <c:pt idx="1915" formatCode="#,##0.00">
                  <c:v>2482.6166770440714</c:v>
                </c:pt>
                <c:pt idx="1916" formatCode="#,##0.00">
                  <c:v>2484.8053871565162</c:v>
                </c:pt>
                <c:pt idx="1917" formatCode="#,##0.00">
                  <c:v>2488.3785217894629</c:v>
                </c:pt>
                <c:pt idx="1918" formatCode="#,##0.00">
                  <c:v>2494.965704047328</c:v>
                </c:pt>
                <c:pt idx="1919" formatCode="#,##0.00">
                  <c:v>2498.9515466820772</c:v>
                </c:pt>
                <c:pt idx="1920" formatCode="#,##0.00">
                  <c:v>2501.9734090834932</c:v>
                </c:pt>
                <c:pt idx="1921" formatCode="#,##0.00">
                  <c:v>2502.6433687488602</c:v>
                </c:pt>
                <c:pt idx="1922" formatCode="#,##0.00">
                  <c:v>2501.8687941658495</c:v>
                </c:pt>
                <c:pt idx="1923" formatCode="#,##0.00">
                  <c:v>2498.2039779968436</c:v>
                </c:pt>
                <c:pt idx="1924" formatCode="#,##0.00">
                  <c:v>2492.2061005401929</c:v>
                </c:pt>
                <c:pt idx="1925" formatCode="#,##0.00">
                  <c:v>2487.2025516599788</c:v>
                </c:pt>
                <c:pt idx="1926" formatCode="#,##0.00">
                  <c:v>2483.8635229712563</c:v>
                </c:pt>
                <c:pt idx="1927" formatCode="#,##0.00">
                  <c:v>2479.1365347377687</c:v>
                </c:pt>
                <c:pt idx="1928" formatCode="#,##0.00">
                  <c:v>2472.2708435243267</c:v>
                </c:pt>
                <c:pt idx="1929" formatCode="#,##0.00">
                  <c:v>2466.2265057984337</c:v>
                </c:pt>
                <c:pt idx="1930" formatCode="#,##0.00">
                  <c:v>2461.9559506976216</c:v>
                </c:pt>
                <c:pt idx="1931" formatCode="#,##0.00">
                  <c:v>2462.1865766743581</c:v>
                </c:pt>
                <c:pt idx="1932" formatCode="#,##0.00">
                  <c:v>2476.183018199014</c:v>
                </c:pt>
                <c:pt idx="1933" formatCode="#,##0.00">
                  <c:v>2491.4969663429429</c:v>
                </c:pt>
                <c:pt idx="1934" formatCode="#,##0.00">
                  <c:v>2500.5719094945111</c:v>
                </c:pt>
                <c:pt idx="1935" formatCode="#,##0.00">
                  <c:v>2512.5650251535944</c:v>
                </c:pt>
                <c:pt idx="1936" formatCode="#,##0.00">
                  <c:v>2522.9388018161917</c:v>
                </c:pt>
                <c:pt idx="1937" formatCode="#,##0.00">
                  <c:v>2531.1294952114372</c:v>
                </c:pt>
                <c:pt idx="1938" formatCode="#,##0.00">
                  <c:v>2542.7572748454927</c:v>
                </c:pt>
                <c:pt idx="1939" formatCode="#,##0.00">
                  <c:v>2554.1136817763318</c:v>
                </c:pt>
                <c:pt idx="1940" formatCode="#,##0.00">
                  <c:v>2561.3736870945872</c:v>
                </c:pt>
                <c:pt idx="1941" formatCode="#,##0.00">
                  <c:v>2563.7866834012048</c:v>
                </c:pt>
                <c:pt idx="1942" formatCode="#,##0.00">
                  <c:v>2572.1691261952692</c:v>
                </c:pt>
                <c:pt idx="1943" formatCode="#,##0.00">
                  <c:v>2577.3731071300158</c:v>
                </c:pt>
                <c:pt idx="1944" formatCode="#,##0.00">
                  <c:v>2582.3168049707283</c:v>
                </c:pt>
                <c:pt idx="1945" formatCode="#,##0.00">
                  <c:v>2582.023391513269</c:v>
                </c:pt>
                <c:pt idx="1946" formatCode="#,##0.00">
                  <c:v>2586.4862014855762</c:v>
                </c:pt>
                <c:pt idx="1947" formatCode="#,##0.00">
                  <c:v>2588.054702884674</c:v>
                </c:pt>
                <c:pt idx="1948" formatCode="#,##0.00">
                  <c:v>2594.1773867443876</c:v>
                </c:pt>
                <c:pt idx="1949" formatCode="#,##0.00">
                  <c:v>2615.9736640396231</c:v>
                </c:pt>
                <c:pt idx="1950" formatCode="#,##0.00">
                  <c:v>2629.788936120302</c:v>
                </c:pt>
                <c:pt idx="1951" formatCode="#,##0.00">
                  <c:v>2658.0520174122903</c:v>
                </c:pt>
                <c:pt idx="1952" formatCode="#,##0.00">
                  <c:v>2672.3806374770234</c:v>
                </c:pt>
                <c:pt idx="1953" formatCode="#,##0.00">
                  <c:v>2685.7075739909078</c:v>
                </c:pt>
                <c:pt idx="1954" formatCode="#,##0.00">
                  <c:v>2697.7624574111519</c:v>
                </c:pt>
                <c:pt idx="1955" formatCode="#,##0.00">
                  <c:v>2708.914115717746</c:v>
                </c:pt>
                <c:pt idx="1956" formatCode="#,##0.00">
                  <c:v>2716.1722183878151</c:v>
                </c:pt>
                <c:pt idx="1957" formatCode="#,##0.00">
                  <c:v>2719.4843558881862</c:v>
                </c:pt>
                <c:pt idx="1958" formatCode="#,##0.00">
                  <c:v>2723.6455913808363</c:v>
                </c:pt>
                <c:pt idx="1959" formatCode="#,##0.00">
                  <c:v>2721.4345437940524</c:v>
                </c:pt>
                <c:pt idx="1960" formatCode="#,##0.00">
                  <c:v>2717.1602541763291</c:v>
                </c:pt>
                <c:pt idx="1961" formatCode="#,##0.00">
                  <c:v>2714.6003836565933</c:v>
                </c:pt>
                <c:pt idx="1962" formatCode="#,##0.00">
                  <c:v>2711.9479871823391</c:v>
                </c:pt>
                <c:pt idx="1963" formatCode="#,##0.00">
                  <c:v>2706.7052455235162</c:v>
                </c:pt>
                <c:pt idx="1964" formatCode="#,##0.00">
                  <c:v>2704.122508334875</c:v>
                </c:pt>
                <c:pt idx="1965" formatCode="#,##0.00">
                  <c:v>2692.9722676059764</c:v>
                </c:pt>
                <c:pt idx="1966" formatCode="#,##0.00">
                  <c:v>2676.6204114379743</c:v>
                </c:pt>
                <c:pt idx="1967" formatCode="#,##0.00">
                  <c:v>2671.0295027288912</c:v>
                </c:pt>
                <c:pt idx="1968" formatCode="#,##0.00">
                  <c:v>2665.9168381755608</c:v>
                </c:pt>
                <c:pt idx="1969" formatCode="#,##0.00">
                  <c:v>2662.7440608503198</c:v>
                </c:pt>
                <c:pt idx="1970" formatCode="#,##0.00">
                  <c:v>2657.2272748827477</c:v>
                </c:pt>
                <c:pt idx="1971" formatCode="#,##0.00">
                  <c:v>2653.681782021597</c:v>
                </c:pt>
                <c:pt idx="1972" formatCode="#,##0.00">
                  <c:v>2645.4281701737086</c:v>
                </c:pt>
                <c:pt idx="1973" formatCode="#,##0.00">
                  <c:v>2641.1851821327659</c:v>
                </c:pt>
                <c:pt idx="1974" formatCode="#,##0.00">
                  <c:v>2637.0457420382145</c:v>
                </c:pt>
                <c:pt idx="1975" formatCode="#,##0.00">
                  <c:v>2632.9096131601227</c:v>
                </c:pt>
                <c:pt idx="1976" formatCode="#,##0.00">
                  <c:v>2613.5408881493836</c:v>
                </c:pt>
                <c:pt idx="1977" formatCode="#,##0.00">
                  <c:v>2604.5936789083107</c:v>
                </c:pt>
                <c:pt idx="1978" formatCode="#,##0.00">
                  <c:v>2597.973871470308</c:v>
                </c:pt>
                <c:pt idx="1979" formatCode="#,##0.00">
                  <c:v>2594.3211985273315</c:v>
                </c:pt>
                <c:pt idx="1980" formatCode="#,##0.00">
                  <c:v>2590.8586771110586</c:v>
                </c:pt>
                <c:pt idx="1981" formatCode="#,##0.00">
                  <c:v>2588.9818673232894</c:v>
                </c:pt>
                <c:pt idx="1982" formatCode="#,##0.00">
                  <c:v>2594.1970510558922</c:v>
                </c:pt>
                <c:pt idx="1983" formatCode="#,##0.00">
                  <c:v>2597.4152785146721</c:v>
                </c:pt>
                <c:pt idx="1984" formatCode="#,##0.00">
                  <c:v>2596.1068010262607</c:v>
                </c:pt>
                <c:pt idx="1985" formatCode="#,##0.00">
                  <c:v>2595.8416661789342</c:v>
                </c:pt>
                <c:pt idx="1986" formatCode="#,##0.00">
                  <c:v>2611.3784619102721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3-4028-8B5B-5E2507F4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07072"/>
        <c:axId val="173038896"/>
      </c:lineChart>
      <c:dateAx>
        <c:axId val="16970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38896"/>
        <c:crosses val="autoZero"/>
        <c:auto val="1"/>
        <c:lblOffset val="100"/>
        <c:baseTimeUnit val="days"/>
      </c:dateAx>
      <c:valAx>
        <c:axId val="1730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0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5DB9CF-38C2-4508-903D-13CFB6984F26}">
  <sheetPr>
    <tabColor rgb="FFFFFF00"/>
  </sheetPr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BC7D47-3866-CCB4-4952-183E16D4F8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A1:Y198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1.42578125" customWidth="1"/>
    <col min="7" max="7" width="14.140625" style="8" bestFit="1" customWidth="1"/>
    <col min="8" max="8" width="16.5703125" style="9" customWidth="1"/>
    <col min="9" max="9" width="27.85546875" style="4" bestFit="1" customWidth="1"/>
    <col min="10" max="10" width="31.5703125" bestFit="1" customWidth="1"/>
    <col min="11" max="11" width="9.140625" style="15"/>
    <col min="12" max="13" width="9.140625" style="4"/>
    <col min="14" max="14" width="12" style="4" bestFit="1" customWidth="1"/>
    <col min="15" max="15" width="12.28515625" style="4" customWidth="1"/>
    <col min="16" max="16" width="9.140625" style="4"/>
    <col min="18" max="18" width="18.28515625" customWidth="1"/>
    <col min="19" max="19" width="14.1406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8" t="s">
        <v>9</v>
      </c>
      <c r="H1" s="9" t="s">
        <v>10</v>
      </c>
      <c r="I1" s="4" t="s">
        <v>13</v>
      </c>
      <c r="J1" s="4" t="s">
        <v>14</v>
      </c>
      <c r="K1" s="22" t="s">
        <v>11</v>
      </c>
      <c r="L1" s="4" t="s">
        <v>6</v>
      </c>
      <c r="M1" s="4" t="s">
        <v>7</v>
      </c>
      <c r="N1" s="4" t="s">
        <v>17</v>
      </c>
      <c r="O1" s="4" t="s">
        <v>18</v>
      </c>
      <c r="P1" s="4" t="s">
        <v>19</v>
      </c>
      <c r="R1" s="18" t="s">
        <v>27</v>
      </c>
      <c r="S1" s="19"/>
    </row>
    <row r="2" spans="1:22" x14ac:dyDescent="0.25">
      <c r="A2" s="1">
        <v>41278</v>
      </c>
      <c r="B2">
        <v>754.8</v>
      </c>
      <c r="C2">
        <v>758.9</v>
      </c>
      <c r="D2">
        <v>749.05</v>
      </c>
      <c r="E2" s="7">
        <v>751.65</v>
      </c>
      <c r="F2">
        <v>981841</v>
      </c>
      <c r="G2" s="8">
        <f t="shared" ref="G2:G65" si="0">AVERAGE(C2:E2)</f>
        <v>753.19999999999993</v>
      </c>
      <c r="H2" s="9">
        <f>G2*F2</f>
        <v>739522641.19999993</v>
      </c>
      <c r="I2" s="5"/>
      <c r="J2" s="5"/>
      <c r="K2" s="16"/>
      <c r="R2" t="s">
        <v>20</v>
      </c>
      <c r="S2" s="14">
        <f>SUMIF(P:P,"&gt;0")</f>
        <v>3.7755394184219591</v>
      </c>
    </row>
    <row r="3" spans="1:22" x14ac:dyDescent="0.25">
      <c r="A3" s="1">
        <v>41281</v>
      </c>
      <c r="B3">
        <v>755</v>
      </c>
      <c r="C3">
        <v>759.55</v>
      </c>
      <c r="D3">
        <v>746.55</v>
      </c>
      <c r="E3" s="7">
        <v>751.85</v>
      </c>
      <c r="F3">
        <v>1007244</v>
      </c>
      <c r="G3" s="8">
        <f t="shared" si="0"/>
        <v>752.65</v>
      </c>
      <c r="H3" s="9">
        <f t="shared" ref="H3:H66" si="1">G3*F3</f>
        <v>758102196.60000002</v>
      </c>
      <c r="I3" s="5"/>
      <c r="J3" s="5"/>
      <c r="K3" s="16"/>
      <c r="R3" s="10" t="s">
        <v>21</v>
      </c>
      <c r="S3" s="14">
        <f>SUMIF(P:P,"&lt;0")</f>
        <v>-3.5544419912903815</v>
      </c>
    </row>
    <row r="4" spans="1:22" x14ac:dyDescent="0.25">
      <c r="A4" s="1">
        <v>41282</v>
      </c>
      <c r="B4">
        <v>751.85</v>
      </c>
      <c r="C4">
        <v>752.2</v>
      </c>
      <c r="D4">
        <v>733</v>
      </c>
      <c r="E4" s="7">
        <v>734.85</v>
      </c>
      <c r="F4">
        <v>1674588</v>
      </c>
      <c r="G4" s="8">
        <f t="shared" si="0"/>
        <v>740.01666666666677</v>
      </c>
      <c r="H4" s="9">
        <f t="shared" si="1"/>
        <v>1239223029.8000002</v>
      </c>
      <c r="I4" s="5"/>
      <c r="J4" s="5"/>
      <c r="K4" s="16"/>
      <c r="R4" t="s">
        <v>22</v>
      </c>
      <c r="S4">
        <f>COUNTIF(P:P,"&gt;0")</f>
        <v>107</v>
      </c>
    </row>
    <row r="5" spans="1:22" x14ac:dyDescent="0.25">
      <c r="A5" s="1">
        <v>41283</v>
      </c>
      <c r="B5">
        <v>735.5</v>
      </c>
      <c r="C5">
        <v>739.4</v>
      </c>
      <c r="D5">
        <v>711</v>
      </c>
      <c r="E5" s="7">
        <v>714.4</v>
      </c>
      <c r="F5">
        <v>3237446</v>
      </c>
      <c r="G5" s="8">
        <f t="shared" si="0"/>
        <v>721.6</v>
      </c>
      <c r="H5" s="9">
        <f t="shared" si="1"/>
        <v>2336141033.5999999</v>
      </c>
      <c r="I5" s="5"/>
      <c r="J5" s="5"/>
      <c r="K5" s="16"/>
      <c r="R5" s="10" t="s">
        <v>23</v>
      </c>
      <c r="S5">
        <f>COUNTIF(P:P,"&lt;0")</f>
        <v>214</v>
      </c>
    </row>
    <row r="6" spans="1:22" x14ac:dyDescent="0.25">
      <c r="A6" s="1">
        <v>41284</v>
      </c>
      <c r="B6">
        <v>716</v>
      </c>
      <c r="C6">
        <v>718.5</v>
      </c>
      <c r="D6">
        <v>696.5</v>
      </c>
      <c r="E6" s="7">
        <v>699.8</v>
      </c>
      <c r="F6">
        <v>3024089</v>
      </c>
      <c r="G6" s="8">
        <f t="shared" si="0"/>
        <v>704.93333333333339</v>
      </c>
      <c r="H6" s="9">
        <f t="shared" si="1"/>
        <v>2131781139.0666668</v>
      </c>
      <c r="I6" s="5"/>
      <c r="J6" s="5"/>
      <c r="K6" s="16"/>
      <c r="R6" t="s">
        <v>24</v>
      </c>
      <c r="S6" s="14">
        <f>S4/(S4+S5)</f>
        <v>0.33333333333333331</v>
      </c>
    </row>
    <row r="7" spans="1:22" x14ac:dyDescent="0.25">
      <c r="A7" s="1">
        <v>41285</v>
      </c>
      <c r="B7">
        <v>704</v>
      </c>
      <c r="C7">
        <v>720.1</v>
      </c>
      <c r="D7">
        <v>700.4</v>
      </c>
      <c r="E7" s="7">
        <v>714.2</v>
      </c>
      <c r="F7">
        <v>2159204</v>
      </c>
      <c r="G7" s="8">
        <f t="shared" si="0"/>
        <v>711.56666666666661</v>
      </c>
      <c r="H7" s="9">
        <f t="shared" si="1"/>
        <v>1536417592.9333332</v>
      </c>
      <c r="I7" s="5"/>
      <c r="J7" s="5"/>
      <c r="K7" s="16"/>
      <c r="R7" s="10" t="s">
        <v>25</v>
      </c>
      <c r="S7" s="17">
        <f>AVERAGE(P:P)</f>
        <v>1.1177827458623744E-4</v>
      </c>
    </row>
    <row r="8" spans="1:22" x14ac:dyDescent="0.25">
      <c r="A8" s="1">
        <v>41288</v>
      </c>
      <c r="B8">
        <v>732</v>
      </c>
      <c r="C8">
        <v>754</v>
      </c>
      <c r="D8">
        <v>727</v>
      </c>
      <c r="E8" s="7">
        <v>750.05</v>
      </c>
      <c r="F8">
        <v>4513845</v>
      </c>
      <c r="G8" s="8">
        <f t="shared" si="0"/>
        <v>743.68333333333339</v>
      </c>
      <c r="H8" s="9">
        <f t="shared" si="1"/>
        <v>3356871295.7500005</v>
      </c>
      <c r="I8" s="5"/>
      <c r="J8" s="5"/>
      <c r="K8" s="16"/>
      <c r="R8" s="10" t="s">
        <v>36</v>
      </c>
      <c r="S8" s="17">
        <f>SUM(P:P)</f>
        <v>0.22109742713157765</v>
      </c>
    </row>
    <row r="9" spans="1:22" x14ac:dyDescent="0.25">
      <c r="A9" s="1">
        <v>41289</v>
      </c>
      <c r="B9">
        <v>745</v>
      </c>
      <c r="C9">
        <v>796.4</v>
      </c>
      <c r="D9">
        <v>744.65</v>
      </c>
      <c r="E9" s="7">
        <v>788.55</v>
      </c>
      <c r="F9">
        <v>5455136</v>
      </c>
      <c r="G9" s="8">
        <f t="shared" si="0"/>
        <v>776.5333333333333</v>
      </c>
      <c r="H9" s="9">
        <f t="shared" si="1"/>
        <v>4236094941.8666663</v>
      </c>
      <c r="I9" s="5"/>
      <c r="J9" s="5"/>
      <c r="K9" s="16"/>
    </row>
    <row r="10" spans="1:22" x14ac:dyDescent="0.25">
      <c r="A10" s="1">
        <v>41290</v>
      </c>
      <c r="B10">
        <v>798.45</v>
      </c>
      <c r="C10">
        <v>798.45</v>
      </c>
      <c r="D10">
        <v>769.35</v>
      </c>
      <c r="E10" s="7">
        <v>779.85</v>
      </c>
      <c r="F10">
        <v>5163807</v>
      </c>
      <c r="G10" s="8">
        <f t="shared" si="0"/>
        <v>782.55000000000007</v>
      </c>
      <c r="H10" s="9">
        <f t="shared" si="1"/>
        <v>4040937167.8500004</v>
      </c>
      <c r="I10" s="5"/>
      <c r="J10" s="5"/>
      <c r="K10" s="16"/>
      <c r="N10" s="4">
        <v>0</v>
      </c>
      <c r="O10" s="8">
        <f>E10</f>
        <v>779.85</v>
      </c>
    </row>
    <row r="11" spans="1:22" x14ac:dyDescent="0.25">
      <c r="A11" s="1">
        <v>41291</v>
      </c>
      <c r="B11">
        <v>796</v>
      </c>
      <c r="C11">
        <v>799.6</v>
      </c>
      <c r="D11">
        <v>772.25</v>
      </c>
      <c r="E11" s="7">
        <v>791.4</v>
      </c>
      <c r="F11">
        <v>3972504</v>
      </c>
      <c r="G11" s="8">
        <f t="shared" si="0"/>
        <v>787.75</v>
      </c>
      <c r="H11" s="9">
        <f t="shared" si="1"/>
        <v>3129340026</v>
      </c>
      <c r="I11" s="9">
        <f>SUM(H2:H11)</f>
        <v>23504431064.666668</v>
      </c>
      <c r="J11" s="9">
        <f>SUM(F2:F11)</f>
        <v>31189704</v>
      </c>
      <c r="K11" s="21">
        <f>I11/J11</f>
        <v>753.59583613447137</v>
      </c>
      <c r="L11" s="4" t="str">
        <f t="shared" ref="L11:L74" si="2">IF(E11&gt;K11,"BUY",IF(E11&lt;K11,"SELL",0))</f>
        <v>BUY</v>
      </c>
      <c r="M11" s="4" t="str">
        <f>IF(L11&lt;&gt;L10,L11,0)</f>
        <v>BUY</v>
      </c>
      <c r="N11" s="4">
        <f t="shared" ref="N11:N74" si="3">IF(M11="BUY",1,IF(M11="SELL",-1,N10))</f>
        <v>1</v>
      </c>
      <c r="O11" s="4">
        <f>IF(M11&lt;&gt;0,E11,O10)</f>
        <v>791.4</v>
      </c>
      <c r="P11" s="20">
        <v>0</v>
      </c>
      <c r="R11" s="11" t="s">
        <v>8</v>
      </c>
    </row>
    <row r="12" spans="1:22" x14ac:dyDescent="0.25">
      <c r="A12" s="1">
        <v>41292</v>
      </c>
      <c r="B12">
        <v>800</v>
      </c>
      <c r="C12">
        <v>829</v>
      </c>
      <c r="D12">
        <v>793</v>
      </c>
      <c r="E12" s="7">
        <v>802.2</v>
      </c>
      <c r="F12">
        <v>3630542</v>
      </c>
      <c r="G12" s="8">
        <f t="shared" si="0"/>
        <v>808.06666666666661</v>
      </c>
      <c r="H12" s="9">
        <f t="shared" si="1"/>
        <v>2933719972.1333332</v>
      </c>
      <c r="I12" s="9">
        <f>SUM(H3:H12)</f>
        <v>25698628395.599998</v>
      </c>
      <c r="J12" s="9">
        <f t="shared" ref="J12:J75" si="4">SUM(F3:F12)</f>
        <v>33838405</v>
      </c>
      <c r="K12" s="21">
        <f t="shared" ref="K12:K75" si="5">I12/J12</f>
        <v>759.45152839207401</v>
      </c>
      <c r="L12" s="4" t="str">
        <f t="shared" si="2"/>
        <v>BUY</v>
      </c>
      <c r="M12" s="4">
        <f t="shared" ref="M12:M75" si="6">IF(L12&lt;&gt;L11,L12,0)</f>
        <v>0</v>
      </c>
      <c r="N12" s="4">
        <f t="shared" si="3"/>
        <v>1</v>
      </c>
      <c r="O12" s="4">
        <f t="shared" ref="O12:O75" si="7">IF(M12&lt;&gt;0,E12,O11)</f>
        <v>791.4</v>
      </c>
      <c r="P12" s="4">
        <f t="shared" ref="P12:P75" si="8">IF(M12="BUY",(O11-O12)/O11,IF(M12="SELL",(O12-O11)/O11,0))</f>
        <v>0</v>
      </c>
      <c r="R12" s="10" t="s">
        <v>16</v>
      </c>
    </row>
    <row r="13" spans="1:22" x14ac:dyDescent="0.25">
      <c r="A13" s="1">
        <v>41295</v>
      </c>
      <c r="B13">
        <v>802.2</v>
      </c>
      <c r="C13">
        <v>802.2</v>
      </c>
      <c r="D13">
        <v>778.65</v>
      </c>
      <c r="E13" s="7">
        <v>780.7</v>
      </c>
      <c r="F13">
        <v>2577425</v>
      </c>
      <c r="G13" s="8">
        <f t="shared" si="0"/>
        <v>787.18333333333339</v>
      </c>
      <c r="H13" s="9">
        <f t="shared" si="1"/>
        <v>2028906002.9166667</v>
      </c>
      <c r="I13" s="9">
        <f t="shared" ref="I13:I75" si="9">SUM(H4:H13)</f>
        <v>26969432201.916668</v>
      </c>
      <c r="J13" s="9">
        <f t="shared" si="4"/>
        <v>35408586</v>
      </c>
      <c r="K13" s="21">
        <f t="shared" si="5"/>
        <v>761.66363158124045</v>
      </c>
      <c r="L13" s="4" t="str">
        <f t="shared" si="2"/>
        <v>BUY</v>
      </c>
      <c r="M13" s="4">
        <f t="shared" si="6"/>
        <v>0</v>
      </c>
      <c r="N13" s="4">
        <f t="shared" si="3"/>
        <v>1</v>
      </c>
      <c r="O13" s="4">
        <f t="shared" si="7"/>
        <v>791.4</v>
      </c>
      <c r="P13" s="4">
        <f t="shared" si="8"/>
        <v>0</v>
      </c>
      <c r="R13" t="s">
        <v>15</v>
      </c>
    </row>
    <row r="14" spans="1:22" x14ac:dyDescent="0.25">
      <c r="A14" s="1">
        <v>41296</v>
      </c>
      <c r="B14">
        <v>792.2</v>
      </c>
      <c r="C14">
        <v>792.2</v>
      </c>
      <c r="D14">
        <v>770.9</v>
      </c>
      <c r="E14" s="7">
        <v>779.4</v>
      </c>
      <c r="F14">
        <v>2173527</v>
      </c>
      <c r="G14" s="8">
        <f t="shared" si="0"/>
        <v>780.83333333333337</v>
      </c>
      <c r="H14" s="9">
        <f t="shared" si="1"/>
        <v>1697162332.5</v>
      </c>
      <c r="I14" s="9">
        <f t="shared" si="9"/>
        <v>27427371504.616665</v>
      </c>
      <c r="J14" s="9">
        <f t="shared" si="4"/>
        <v>35907525</v>
      </c>
      <c r="K14" s="21">
        <f t="shared" si="5"/>
        <v>763.83352805899779</v>
      </c>
      <c r="L14" s="4" t="str">
        <f t="shared" si="2"/>
        <v>BUY</v>
      </c>
      <c r="M14" s="4">
        <f t="shared" si="6"/>
        <v>0</v>
      </c>
      <c r="N14" s="4">
        <f t="shared" si="3"/>
        <v>1</v>
      </c>
      <c r="O14" s="4">
        <f t="shared" si="7"/>
        <v>791.4</v>
      </c>
      <c r="P14" s="4">
        <f t="shared" si="8"/>
        <v>0</v>
      </c>
    </row>
    <row r="15" spans="1:22" x14ac:dyDescent="0.25">
      <c r="A15" s="1">
        <v>41297</v>
      </c>
      <c r="B15">
        <v>772.25</v>
      </c>
      <c r="C15">
        <v>791.95</v>
      </c>
      <c r="D15">
        <v>767.9</v>
      </c>
      <c r="E15" s="7">
        <v>770.65</v>
      </c>
      <c r="F15">
        <v>2544752</v>
      </c>
      <c r="G15" s="8">
        <f t="shared" si="0"/>
        <v>776.83333333333337</v>
      </c>
      <c r="H15" s="9">
        <f t="shared" si="1"/>
        <v>1976848178.6666667</v>
      </c>
      <c r="I15" s="9">
        <f t="shared" si="9"/>
        <v>27068078649.683334</v>
      </c>
      <c r="J15" s="9">
        <f t="shared" si="4"/>
        <v>35214831</v>
      </c>
      <c r="K15" s="21">
        <f t="shared" si="5"/>
        <v>768.65564539223078</v>
      </c>
      <c r="L15" s="4" t="str">
        <f t="shared" si="2"/>
        <v>BUY</v>
      </c>
      <c r="M15" s="4">
        <f t="shared" si="6"/>
        <v>0</v>
      </c>
      <c r="N15" s="4">
        <f t="shared" si="3"/>
        <v>1</v>
      </c>
      <c r="O15" s="4">
        <f t="shared" si="7"/>
        <v>791.4</v>
      </c>
      <c r="P15" s="4">
        <f t="shared" si="8"/>
        <v>0</v>
      </c>
      <c r="R15" s="6" t="s">
        <v>31</v>
      </c>
    </row>
    <row r="16" spans="1:22" x14ac:dyDescent="0.25">
      <c r="A16" s="1">
        <v>41298</v>
      </c>
      <c r="B16">
        <v>761</v>
      </c>
      <c r="C16">
        <v>765</v>
      </c>
      <c r="D16">
        <v>744.7</v>
      </c>
      <c r="E16" s="7">
        <v>757.85</v>
      </c>
      <c r="F16">
        <v>3787495</v>
      </c>
      <c r="G16" s="8">
        <f t="shared" si="0"/>
        <v>755.85</v>
      </c>
      <c r="H16" s="9">
        <f t="shared" si="1"/>
        <v>2862778095.75</v>
      </c>
      <c r="I16" s="9">
        <f t="shared" si="9"/>
        <v>27799075606.366669</v>
      </c>
      <c r="J16" s="9">
        <f t="shared" si="4"/>
        <v>35978237</v>
      </c>
      <c r="K16" s="21">
        <f t="shared" si="5"/>
        <v>772.66364125531413</v>
      </c>
      <c r="L16" s="4" t="str">
        <f t="shared" si="2"/>
        <v>SELL</v>
      </c>
      <c r="M16" s="4" t="str">
        <f t="shared" si="6"/>
        <v>SELL</v>
      </c>
      <c r="N16" s="4">
        <f t="shared" si="3"/>
        <v>-1</v>
      </c>
      <c r="O16" s="4">
        <f t="shared" si="7"/>
        <v>757.85</v>
      </c>
      <c r="P16" s="4">
        <f t="shared" si="8"/>
        <v>-4.2393227192317355E-2</v>
      </c>
      <c r="R16" s="23" t="s">
        <v>12</v>
      </c>
      <c r="S16" s="3"/>
      <c r="T16" s="3"/>
      <c r="U16" s="3"/>
      <c r="V16" s="3"/>
    </row>
    <row r="17" spans="1:25" x14ac:dyDescent="0.25">
      <c r="A17" s="1">
        <v>41299</v>
      </c>
      <c r="B17">
        <v>757.5</v>
      </c>
      <c r="C17">
        <v>765.5</v>
      </c>
      <c r="D17">
        <v>741.15</v>
      </c>
      <c r="E17" s="7">
        <v>756.2</v>
      </c>
      <c r="F17">
        <v>1504143</v>
      </c>
      <c r="G17" s="8">
        <f t="shared" si="0"/>
        <v>754.28333333333342</v>
      </c>
      <c r="H17" s="9">
        <f t="shared" si="1"/>
        <v>1134549995.8500001</v>
      </c>
      <c r="I17" s="9">
        <f t="shared" si="9"/>
        <v>27397208009.283333</v>
      </c>
      <c r="J17" s="9">
        <f t="shared" si="4"/>
        <v>35323176</v>
      </c>
      <c r="K17" s="21">
        <f t="shared" si="5"/>
        <v>775.61564705516093</v>
      </c>
      <c r="L17" s="4" t="str">
        <f t="shared" si="2"/>
        <v>SELL</v>
      </c>
      <c r="M17" s="4">
        <f t="shared" si="6"/>
        <v>0</v>
      </c>
      <c r="N17" s="4">
        <f t="shared" si="3"/>
        <v>-1</v>
      </c>
      <c r="O17" s="4">
        <f t="shared" si="7"/>
        <v>757.85</v>
      </c>
      <c r="P17" s="4">
        <f t="shared" si="8"/>
        <v>0</v>
      </c>
    </row>
    <row r="18" spans="1:25" x14ac:dyDescent="0.25">
      <c r="A18" s="1">
        <v>41302</v>
      </c>
      <c r="B18">
        <v>750</v>
      </c>
      <c r="C18">
        <v>759.7</v>
      </c>
      <c r="D18">
        <v>740.15</v>
      </c>
      <c r="E18" s="7">
        <v>743.3</v>
      </c>
      <c r="F18">
        <v>2422199</v>
      </c>
      <c r="G18" s="8">
        <f t="shared" si="0"/>
        <v>747.71666666666658</v>
      </c>
      <c r="H18" s="9">
        <f t="shared" si="1"/>
        <v>1811118562.2833331</v>
      </c>
      <c r="I18" s="9">
        <f t="shared" si="9"/>
        <v>25851455275.816666</v>
      </c>
      <c r="J18" s="9">
        <f t="shared" si="4"/>
        <v>33231530</v>
      </c>
      <c r="K18" s="21">
        <f t="shared" si="5"/>
        <v>777.91950222624916</v>
      </c>
      <c r="L18" s="4" t="str">
        <f t="shared" si="2"/>
        <v>SELL</v>
      </c>
      <c r="M18" s="4">
        <f t="shared" si="6"/>
        <v>0</v>
      </c>
      <c r="N18" s="4">
        <f t="shared" si="3"/>
        <v>-1</v>
      </c>
      <c r="O18" s="4">
        <f t="shared" si="7"/>
        <v>757.85</v>
      </c>
      <c r="P18" s="4">
        <f t="shared" si="8"/>
        <v>0</v>
      </c>
      <c r="R18" s="6" t="s">
        <v>26</v>
      </c>
    </row>
    <row r="19" spans="1:25" x14ac:dyDescent="0.25">
      <c r="A19" s="1">
        <v>41303</v>
      </c>
      <c r="B19">
        <v>749.5</v>
      </c>
      <c r="C19">
        <v>757.95</v>
      </c>
      <c r="D19">
        <v>727.7</v>
      </c>
      <c r="E19" s="7">
        <v>741.75</v>
      </c>
      <c r="F19">
        <v>3268598</v>
      </c>
      <c r="G19" s="8">
        <f t="shared" si="0"/>
        <v>742.4666666666667</v>
      </c>
      <c r="H19" s="9">
        <f t="shared" si="1"/>
        <v>2426825061.7333336</v>
      </c>
      <c r="I19" s="9">
        <f t="shared" si="9"/>
        <v>24042185395.683331</v>
      </c>
      <c r="J19" s="9">
        <f t="shared" si="4"/>
        <v>31044992</v>
      </c>
      <c r="K19" s="21">
        <f t="shared" si="5"/>
        <v>774.43039430267311</v>
      </c>
      <c r="L19" s="4" t="str">
        <f t="shared" si="2"/>
        <v>SELL</v>
      </c>
      <c r="M19" s="4">
        <f t="shared" si="6"/>
        <v>0</v>
      </c>
      <c r="N19" s="4">
        <f t="shared" si="3"/>
        <v>-1</v>
      </c>
      <c r="O19" s="4">
        <f t="shared" si="7"/>
        <v>757.85</v>
      </c>
      <c r="P19" s="4">
        <f t="shared" si="8"/>
        <v>0</v>
      </c>
      <c r="R19" s="3" t="s">
        <v>32</v>
      </c>
      <c r="S19" s="3"/>
      <c r="T19" s="3"/>
    </row>
    <row r="20" spans="1:25" x14ac:dyDescent="0.25">
      <c r="A20" s="1">
        <v>41304</v>
      </c>
      <c r="B20">
        <v>734</v>
      </c>
      <c r="C20">
        <v>739.8</v>
      </c>
      <c r="D20">
        <v>712.15</v>
      </c>
      <c r="E20" s="7">
        <v>736.2</v>
      </c>
      <c r="F20">
        <v>2736663</v>
      </c>
      <c r="G20" s="8">
        <f t="shared" si="0"/>
        <v>729.38333333333321</v>
      </c>
      <c r="H20" s="9">
        <f t="shared" si="1"/>
        <v>1996076381.1499996</v>
      </c>
      <c r="I20" s="9">
        <f t="shared" si="9"/>
        <v>21997324608.98333</v>
      </c>
      <c r="J20" s="9">
        <f t="shared" si="4"/>
        <v>28617848</v>
      </c>
      <c r="K20" s="21">
        <f t="shared" si="5"/>
        <v>768.65753878430451</v>
      </c>
      <c r="L20" s="4" t="str">
        <f t="shared" si="2"/>
        <v>SELL</v>
      </c>
      <c r="M20" s="4">
        <f t="shared" si="6"/>
        <v>0</v>
      </c>
      <c r="N20" s="4">
        <f t="shared" si="3"/>
        <v>-1</v>
      </c>
      <c r="O20" s="4">
        <f t="shared" si="7"/>
        <v>757.85</v>
      </c>
      <c r="P20" s="4">
        <f t="shared" si="8"/>
        <v>0</v>
      </c>
      <c r="R20" s="3" t="s">
        <v>33</v>
      </c>
      <c r="S20" s="3"/>
      <c r="T20" s="3"/>
    </row>
    <row r="21" spans="1:25" x14ac:dyDescent="0.25">
      <c r="A21" s="1">
        <v>41305</v>
      </c>
      <c r="B21">
        <v>734.35</v>
      </c>
      <c r="C21">
        <v>762.8</v>
      </c>
      <c r="D21">
        <v>720</v>
      </c>
      <c r="E21" s="7">
        <v>746.15</v>
      </c>
      <c r="F21">
        <v>1689006</v>
      </c>
      <c r="G21" s="8">
        <f t="shared" si="0"/>
        <v>742.98333333333323</v>
      </c>
      <c r="H21" s="9">
        <f t="shared" si="1"/>
        <v>1254903307.8999999</v>
      </c>
      <c r="I21" s="9">
        <f t="shared" si="9"/>
        <v>20122887890.883335</v>
      </c>
      <c r="J21" s="9">
        <f t="shared" si="4"/>
        <v>26334350</v>
      </c>
      <c r="K21" s="21">
        <f t="shared" si="5"/>
        <v>764.13079840145417</v>
      </c>
      <c r="L21" s="4" t="str">
        <f t="shared" si="2"/>
        <v>SELL</v>
      </c>
      <c r="M21" s="4">
        <f t="shared" si="6"/>
        <v>0</v>
      </c>
      <c r="N21" s="4">
        <f t="shared" si="3"/>
        <v>-1</v>
      </c>
      <c r="O21" s="4">
        <f t="shared" si="7"/>
        <v>757.85</v>
      </c>
      <c r="P21" s="4">
        <f t="shared" si="8"/>
        <v>0</v>
      </c>
    </row>
    <row r="22" spans="1:25" x14ac:dyDescent="0.25">
      <c r="A22" s="1">
        <v>41306</v>
      </c>
      <c r="B22">
        <v>755</v>
      </c>
      <c r="C22">
        <v>762.65</v>
      </c>
      <c r="D22">
        <v>735</v>
      </c>
      <c r="E22" s="7">
        <v>738.4</v>
      </c>
      <c r="F22">
        <v>2369594</v>
      </c>
      <c r="G22" s="8">
        <f t="shared" si="0"/>
        <v>745.35</v>
      </c>
      <c r="H22" s="9">
        <f t="shared" si="1"/>
        <v>1766176887.9000001</v>
      </c>
      <c r="I22" s="9">
        <f t="shared" si="9"/>
        <v>18955344806.650002</v>
      </c>
      <c r="J22" s="9">
        <f t="shared" si="4"/>
        <v>25073402</v>
      </c>
      <c r="K22" s="21">
        <f t="shared" si="5"/>
        <v>755.99413301194636</v>
      </c>
      <c r="L22" s="4" t="str">
        <f t="shared" si="2"/>
        <v>SELL</v>
      </c>
      <c r="M22" s="4">
        <f t="shared" si="6"/>
        <v>0</v>
      </c>
      <c r="N22" s="4">
        <f t="shared" si="3"/>
        <v>-1</v>
      </c>
      <c r="O22" s="4">
        <f t="shared" si="7"/>
        <v>757.85</v>
      </c>
      <c r="P22" s="4">
        <f t="shared" si="8"/>
        <v>0</v>
      </c>
      <c r="R22" s="12" t="s">
        <v>35</v>
      </c>
    </row>
    <row r="23" spans="1:25" x14ac:dyDescent="0.25">
      <c r="A23" s="1">
        <v>41309</v>
      </c>
      <c r="B23">
        <v>744</v>
      </c>
      <c r="C23">
        <v>756.9</v>
      </c>
      <c r="D23">
        <v>735.5</v>
      </c>
      <c r="E23" s="7">
        <v>752.95</v>
      </c>
      <c r="F23">
        <v>1488838</v>
      </c>
      <c r="G23" s="8">
        <f t="shared" si="0"/>
        <v>748.45000000000016</v>
      </c>
      <c r="H23" s="9">
        <f t="shared" si="1"/>
        <v>1114320801.1000001</v>
      </c>
      <c r="I23" s="9">
        <f t="shared" si="9"/>
        <v>18040759604.833332</v>
      </c>
      <c r="J23" s="9">
        <f t="shared" si="4"/>
        <v>23984815</v>
      </c>
      <c r="K23" s="21">
        <f t="shared" si="5"/>
        <v>752.17422376755178</v>
      </c>
      <c r="L23" s="4" t="str">
        <f t="shared" si="2"/>
        <v>BUY</v>
      </c>
      <c r="M23" s="4" t="str">
        <f t="shared" si="6"/>
        <v>BUY</v>
      </c>
      <c r="N23" s="4">
        <f t="shared" si="3"/>
        <v>1</v>
      </c>
      <c r="O23" s="4">
        <f t="shared" si="7"/>
        <v>752.95</v>
      </c>
      <c r="P23" s="4">
        <f t="shared" si="8"/>
        <v>6.4656594312858442E-3</v>
      </c>
      <c r="R23" s="2" t="s">
        <v>34</v>
      </c>
      <c r="S23" s="2"/>
      <c r="T23" s="2"/>
      <c r="U23" s="2"/>
      <c r="V23" s="2"/>
      <c r="W23" s="2"/>
    </row>
    <row r="24" spans="1:25" x14ac:dyDescent="0.25">
      <c r="A24" s="1">
        <v>41310</v>
      </c>
      <c r="B24">
        <v>752.95</v>
      </c>
      <c r="C24">
        <v>753.9</v>
      </c>
      <c r="D24">
        <v>732.5</v>
      </c>
      <c r="E24" s="7">
        <v>738.7</v>
      </c>
      <c r="F24">
        <v>1358306</v>
      </c>
      <c r="G24" s="8">
        <f t="shared" si="0"/>
        <v>741.70000000000016</v>
      </c>
      <c r="H24" s="9">
        <f t="shared" si="1"/>
        <v>1007455560.2000002</v>
      </c>
      <c r="I24" s="9">
        <f t="shared" si="9"/>
        <v>17351052832.533333</v>
      </c>
      <c r="J24" s="9">
        <f t="shared" si="4"/>
        <v>23169594</v>
      </c>
      <c r="K24" s="21">
        <f t="shared" si="5"/>
        <v>748.87168210773712</v>
      </c>
      <c r="L24" s="4" t="str">
        <f t="shared" si="2"/>
        <v>SELL</v>
      </c>
      <c r="M24" s="4" t="str">
        <f t="shared" si="6"/>
        <v>SELL</v>
      </c>
      <c r="N24" s="4">
        <f t="shared" si="3"/>
        <v>-1</v>
      </c>
      <c r="O24" s="4">
        <f t="shared" si="7"/>
        <v>738.7</v>
      </c>
      <c r="P24" s="4">
        <f t="shared" si="8"/>
        <v>-1.8925559466100004E-2</v>
      </c>
    </row>
    <row r="25" spans="1:25" x14ac:dyDescent="0.25">
      <c r="A25" s="1">
        <v>41311</v>
      </c>
      <c r="B25">
        <v>735</v>
      </c>
      <c r="C25">
        <v>735</v>
      </c>
      <c r="D25">
        <v>716.6</v>
      </c>
      <c r="E25" s="7">
        <v>723.5</v>
      </c>
      <c r="F25">
        <v>2303559</v>
      </c>
      <c r="G25" s="8">
        <f t="shared" si="0"/>
        <v>725.0333333333333</v>
      </c>
      <c r="H25" s="9">
        <f t="shared" si="1"/>
        <v>1670157060.3</v>
      </c>
      <c r="I25" s="9">
        <f t="shared" si="9"/>
        <v>17044361714.166666</v>
      </c>
      <c r="J25" s="9">
        <f t="shared" si="4"/>
        <v>22928401</v>
      </c>
      <c r="K25" s="21">
        <f t="shared" si="5"/>
        <v>743.37332612800458</v>
      </c>
      <c r="L25" s="4" t="str">
        <f t="shared" si="2"/>
        <v>SELL</v>
      </c>
      <c r="M25" s="4">
        <f t="shared" si="6"/>
        <v>0</v>
      </c>
      <c r="N25" s="4">
        <f t="shared" si="3"/>
        <v>-1</v>
      </c>
      <c r="O25" s="4">
        <f t="shared" si="7"/>
        <v>738.7</v>
      </c>
      <c r="P25" s="4">
        <f t="shared" si="8"/>
        <v>0</v>
      </c>
      <c r="R25" s="12" t="s">
        <v>29</v>
      </c>
    </row>
    <row r="26" spans="1:25" x14ac:dyDescent="0.25">
      <c r="A26" s="1">
        <v>41312</v>
      </c>
      <c r="B26">
        <v>728</v>
      </c>
      <c r="C26">
        <v>732.5</v>
      </c>
      <c r="D26">
        <v>721.15</v>
      </c>
      <c r="E26" s="7">
        <v>729.7</v>
      </c>
      <c r="F26">
        <v>79487</v>
      </c>
      <c r="G26" s="8">
        <f t="shared" si="0"/>
        <v>727.78333333333342</v>
      </c>
      <c r="H26" s="9">
        <f t="shared" si="1"/>
        <v>57849313.81666667</v>
      </c>
      <c r="I26" s="9">
        <f t="shared" si="9"/>
        <v>14239432932.233334</v>
      </c>
      <c r="J26" s="9">
        <f t="shared" si="4"/>
        <v>19220393</v>
      </c>
      <c r="K26" s="21">
        <f t="shared" si="5"/>
        <v>740.85024859966882</v>
      </c>
      <c r="L26" s="4" t="str">
        <f t="shared" si="2"/>
        <v>SELL</v>
      </c>
      <c r="M26" s="4">
        <f t="shared" si="6"/>
        <v>0</v>
      </c>
      <c r="N26" s="4">
        <f t="shared" si="3"/>
        <v>-1</v>
      </c>
      <c r="O26" s="4">
        <f t="shared" si="7"/>
        <v>738.7</v>
      </c>
      <c r="P26" s="4">
        <f t="shared" si="8"/>
        <v>0</v>
      </c>
      <c r="R26" s="2" t="s">
        <v>30</v>
      </c>
      <c r="S26" s="2"/>
      <c r="T26" s="2"/>
      <c r="U26" s="2"/>
      <c r="V26" s="2"/>
      <c r="W26" s="2"/>
      <c r="X26" s="2"/>
      <c r="Y26" s="2"/>
    </row>
    <row r="27" spans="1:25" x14ac:dyDescent="0.25">
      <c r="A27" s="1">
        <v>41313</v>
      </c>
      <c r="B27">
        <v>729</v>
      </c>
      <c r="C27">
        <v>734.75</v>
      </c>
      <c r="D27">
        <v>708.15</v>
      </c>
      <c r="E27" s="7">
        <v>724.15</v>
      </c>
      <c r="F27">
        <v>2085172</v>
      </c>
      <c r="G27" s="8">
        <f t="shared" si="0"/>
        <v>722.35</v>
      </c>
      <c r="H27" s="9">
        <f t="shared" si="1"/>
        <v>1506223994.2</v>
      </c>
      <c r="I27" s="9">
        <f t="shared" si="9"/>
        <v>14611106930.583334</v>
      </c>
      <c r="J27" s="9">
        <f t="shared" si="4"/>
        <v>19801422</v>
      </c>
      <c r="K27" s="21">
        <f t="shared" si="5"/>
        <v>737.88170014170362</v>
      </c>
      <c r="L27" s="4" t="str">
        <f t="shared" si="2"/>
        <v>SELL</v>
      </c>
      <c r="M27" s="4">
        <f t="shared" si="6"/>
        <v>0</v>
      </c>
      <c r="N27" s="4">
        <f t="shared" si="3"/>
        <v>-1</v>
      </c>
      <c r="O27" s="4">
        <f t="shared" si="7"/>
        <v>738.7</v>
      </c>
      <c r="P27" s="4">
        <f t="shared" si="8"/>
        <v>0</v>
      </c>
    </row>
    <row r="28" spans="1:25" x14ac:dyDescent="0.25">
      <c r="A28" s="1">
        <v>41316</v>
      </c>
      <c r="B28">
        <v>725</v>
      </c>
      <c r="C28">
        <v>741.95</v>
      </c>
      <c r="D28">
        <v>721.05</v>
      </c>
      <c r="E28" s="7">
        <v>735.15</v>
      </c>
      <c r="F28">
        <v>1502947</v>
      </c>
      <c r="G28" s="8">
        <f t="shared" si="0"/>
        <v>732.7166666666667</v>
      </c>
      <c r="H28" s="9">
        <f t="shared" si="1"/>
        <v>1101234316.0166667</v>
      </c>
      <c r="I28" s="9">
        <f t="shared" si="9"/>
        <v>13901222684.316668</v>
      </c>
      <c r="J28" s="9">
        <f t="shared" si="4"/>
        <v>18882170</v>
      </c>
      <c r="K28" s="21">
        <f t="shared" si="5"/>
        <v>736.20895714405003</v>
      </c>
      <c r="L28" s="4" t="str">
        <f t="shared" si="2"/>
        <v>SELL</v>
      </c>
      <c r="M28" s="4">
        <f t="shared" si="6"/>
        <v>0</v>
      </c>
      <c r="N28" s="4">
        <f t="shared" si="3"/>
        <v>-1</v>
      </c>
      <c r="O28" s="4">
        <f t="shared" si="7"/>
        <v>738.7</v>
      </c>
      <c r="P28" s="4">
        <f t="shared" si="8"/>
        <v>0</v>
      </c>
    </row>
    <row r="29" spans="1:25" x14ac:dyDescent="0.25">
      <c r="A29" s="1">
        <v>41317</v>
      </c>
      <c r="B29">
        <v>739.9</v>
      </c>
      <c r="C29">
        <v>743.7</v>
      </c>
      <c r="D29">
        <v>728.1</v>
      </c>
      <c r="E29" s="7">
        <v>732.3</v>
      </c>
      <c r="F29">
        <v>1168687</v>
      </c>
      <c r="G29" s="8">
        <f t="shared" si="0"/>
        <v>734.70000000000016</v>
      </c>
      <c r="H29" s="9">
        <f t="shared" si="1"/>
        <v>858634338.90000021</v>
      </c>
      <c r="I29" s="9">
        <f t="shared" si="9"/>
        <v>12333031961.483334</v>
      </c>
      <c r="J29" s="9">
        <f t="shared" si="4"/>
        <v>16782259</v>
      </c>
      <c r="K29" s="21">
        <f t="shared" si="5"/>
        <v>734.88509273294699</v>
      </c>
      <c r="L29" s="4" t="str">
        <f t="shared" si="2"/>
        <v>SELL</v>
      </c>
      <c r="M29" s="4">
        <f t="shared" si="6"/>
        <v>0</v>
      </c>
      <c r="N29" s="4">
        <f t="shared" si="3"/>
        <v>-1</v>
      </c>
      <c r="O29" s="4">
        <f t="shared" si="7"/>
        <v>738.7</v>
      </c>
      <c r="P29" s="4">
        <f t="shared" si="8"/>
        <v>0</v>
      </c>
    </row>
    <row r="30" spans="1:25" x14ac:dyDescent="0.25">
      <c r="A30" s="1">
        <v>41318</v>
      </c>
      <c r="B30">
        <v>737.95</v>
      </c>
      <c r="C30">
        <v>747.95</v>
      </c>
      <c r="D30">
        <v>735</v>
      </c>
      <c r="E30" s="7">
        <v>742.7</v>
      </c>
      <c r="F30">
        <v>1206578</v>
      </c>
      <c r="G30" s="8">
        <f t="shared" si="0"/>
        <v>741.88333333333333</v>
      </c>
      <c r="H30" s="9">
        <f t="shared" si="1"/>
        <v>895140108.5666666</v>
      </c>
      <c r="I30" s="9">
        <f t="shared" si="9"/>
        <v>11232095688.900002</v>
      </c>
      <c r="J30" s="9">
        <f t="shared" si="4"/>
        <v>15252174</v>
      </c>
      <c r="K30" s="21">
        <f t="shared" si="5"/>
        <v>736.42588190378638</v>
      </c>
      <c r="L30" s="4" t="str">
        <f t="shared" si="2"/>
        <v>BUY</v>
      </c>
      <c r="M30" s="4" t="str">
        <f t="shared" si="6"/>
        <v>BUY</v>
      </c>
      <c r="N30" s="4">
        <f t="shared" si="3"/>
        <v>1</v>
      </c>
      <c r="O30" s="4">
        <f t="shared" si="7"/>
        <v>742.7</v>
      </c>
      <c r="P30" s="4">
        <f t="shared" si="8"/>
        <v>-5.4149180993637467E-3</v>
      </c>
    </row>
    <row r="31" spans="1:25" x14ac:dyDescent="0.25">
      <c r="A31" s="1">
        <v>41319</v>
      </c>
      <c r="B31">
        <v>750</v>
      </c>
      <c r="C31">
        <v>750</v>
      </c>
      <c r="D31">
        <v>738.55</v>
      </c>
      <c r="E31" s="7">
        <v>746.15</v>
      </c>
      <c r="F31">
        <v>978241</v>
      </c>
      <c r="G31" s="8">
        <f t="shared" si="0"/>
        <v>744.9</v>
      </c>
      <c r="H31" s="9">
        <f t="shared" si="1"/>
        <v>728691720.89999998</v>
      </c>
      <c r="I31" s="9">
        <f t="shared" si="9"/>
        <v>10705884101.9</v>
      </c>
      <c r="J31" s="9">
        <f t="shared" si="4"/>
        <v>14541409</v>
      </c>
      <c r="K31" s="21">
        <f t="shared" si="5"/>
        <v>736.23430177226976</v>
      </c>
      <c r="L31" s="4" t="str">
        <f t="shared" si="2"/>
        <v>BUY</v>
      </c>
      <c r="M31" s="4">
        <f t="shared" si="6"/>
        <v>0</v>
      </c>
      <c r="N31" s="4">
        <f t="shared" si="3"/>
        <v>1</v>
      </c>
      <c r="O31" s="4">
        <f t="shared" si="7"/>
        <v>742.7</v>
      </c>
      <c r="P31" s="4">
        <f t="shared" si="8"/>
        <v>0</v>
      </c>
    </row>
    <row r="32" spans="1:25" x14ac:dyDescent="0.25">
      <c r="A32" s="1">
        <v>41320</v>
      </c>
      <c r="B32">
        <v>747.25</v>
      </c>
      <c r="C32">
        <v>764.95</v>
      </c>
      <c r="D32">
        <v>742.2</v>
      </c>
      <c r="E32" s="7">
        <v>758.15</v>
      </c>
      <c r="F32">
        <v>830245</v>
      </c>
      <c r="G32" s="8">
        <f t="shared" si="0"/>
        <v>755.1</v>
      </c>
      <c r="H32" s="9">
        <f t="shared" si="1"/>
        <v>626917999.5</v>
      </c>
      <c r="I32" s="9">
        <f t="shared" si="9"/>
        <v>9566625213.5</v>
      </c>
      <c r="J32" s="9">
        <f t="shared" si="4"/>
        <v>13002060</v>
      </c>
      <c r="K32" s="21">
        <f t="shared" si="5"/>
        <v>735.77765473317299</v>
      </c>
      <c r="L32" s="4" t="str">
        <f t="shared" si="2"/>
        <v>BUY</v>
      </c>
      <c r="M32" s="4">
        <f t="shared" si="6"/>
        <v>0</v>
      </c>
      <c r="N32" s="4">
        <f t="shared" si="3"/>
        <v>1</v>
      </c>
      <c r="O32" s="4">
        <f t="shared" si="7"/>
        <v>742.7</v>
      </c>
      <c r="P32" s="4">
        <f t="shared" si="8"/>
        <v>0</v>
      </c>
    </row>
    <row r="33" spans="1:16" x14ac:dyDescent="0.25">
      <c r="A33" s="1">
        <v>41323</v>
      </c>
      <c r="B33">
        <v>764.9</v>
      </c>
      <c r="C33">
        <v>767.95</v>
      </c>
      <c r="D33">
        <v>752.55</v>
      </c>
      <c r="E33" s="7">
        <v>758.65</v>
      </c>
      <c r="F33">
        <v>1264145</v>
      </c>
      <c r="G33" s="8">
        <f t="shared" si="0"/>
        <v>759.7166666666667</v>
      </c>
      <c r="H33" s="9">
        <f t="shared" si="1"/>
        <v>960392025.58333337</v>
      </c>
      <c r="I33" s="9">
        <f t="shared" si="9"/>
        <v>9412696437.9833336</v>
      </c>
      <c r="J33" s="9">
        <f t="shared" si="4"/>
        <v>12777367</v>
      </c>
      <c r="K33" s="21">
        <f t="shared" si="5"/>
        <v>736.66949051266454</v>
      </c>
      <c r="L33" s="4" t="str">
        <f t="shared" si="2"/>
        <v>BUY</v>
      </c>
      <c r="M33" s="4">
        <f t="shared" si="6"/>
        <v>0</v>
      </c>
      <c r="N33" s="4">
        <f t="shared" si="3"/>
        <v>1</v>
      </c>
      <c r="O33" s="4">
        <f t="shared" si="7"/>
        <v>742.7</v>
      </c>
      <c r="P33" s="4">
        <f t="shared" si="8"/>
        <v>0</v>
      </c>
    </row>
    <row r="34" spans="1:16" x14ac:dyDescent="0.25">
      <c r="A34" s="1">
        <v>41324</v>
      </c>
      <c r="B34">
        <v>760</v>
      </c>
      <c r="C34">
        <v>766.95</v>
      </c>
      <c r="D34">
        <v>755.5</v>
      </c>
      <c r="E34" s="7">
        <v>758.8</v>
      </c>
      <c r="F34">
        <v>907403</v>
      </c>
      <c r="G34" s="8">
        <f t="shared" si="0"/>
        <v>760.41666666666663</v>
      </c>
      <c r="H34" s="9">
        <f t="shared" si="1"/>
        <v>690004364.58333325</v>
      </c>
      <c r="I34" s="9">
        <f t="shared" si="9"/>
        <v>9095245242.3666668</v>
      </c>
      <c r="J34" s="9">
        <f t="shared" si="4"/>
        <v>12326464</v>
      </c>
      <c r="K34" s="21">
        <f t="shared" si="5"/>
        <v>737.86328685717706</v>
      </c>
      <c r="L34" s="4" t="str">
        <f t="shared" si="2"/>
        <v>BUY</v>
      </c>
      <c r="M34" s="4">
        <f t="shared" si="6"/>
        <v>0</v>
      </c>
      <c r="N34" s="4">
        <f t="shared" si="3"/>
        <v>1</v>
      </c>
      <c r="O34" s="4">
        <f t="shared" si="7"/>
        <v>742.7</v>
      </c>
      <c r="P34" s="4">
        <f t="shared" si="8"/>
        <v>0</v>
      </c>
    </row>
    <row r="35" spans="1:16" x14ac:dyDescent="0.25">
      <c r="A35" s="1">
        <v>41325</v>
      </c>
      <c r="B35">
        <v>754.9</v>
      </c>
      <c r="C35">
        <v>759.5</v>
      </c>
      <c r="D35">
        <v>745.8</v>
      </c>
      <c r="E35" s="7">
        <v>750.55</v>
      </c>
      <c r="F35">
        <v>1107940</v>
      </c>
      <c r="G35" s="8">
        <f t="shared" si="0"/>
        <v>751.94999999999993</v>
      </c>
      <c r="H35" s="9">
        <f t="shared" si="1"/>
        <v>833115482.99999988</v>
      </c>
      <c r="I35" s="9">
        <f t="shared" si="9"/>
        <v>8258203665.0666656</v>
      </c>
      <c r="J35" s="9">
        <f t="shared" si="4"/>
        <v>11130845</v>
      </c>
      <c r="K35" s="21">
        <f t="shared" si="5"/>
        <v>741.92064170030812</v>
      </c>
      <c r="L35" s="4" t="str">
        <f t="shared" si="2"/>
        <v>BUY</v>
      </c>
      <c r="M35" s="4">
        <f t="shared" si="6"/>
        <v>0</v>
      </c>
      <c r="N35" s="4">
        <f t="shared" si="3"/>
        <v>1</v>
      </c>
      <c r="O35" s="4">
        <f t="shared" si="7"/>
        <v>742.7</v>
      </c>
      <c r="P35" s="4">
        <f t="shared" si="8"/>
        <v>0</v>
      </c>
    </row>
    <row r="36" spans="1:16" x14ac:dyDescent="0.25">
      <c r="A36" s="1">
        <v>41326</v>
      </c>
      <c r="B36">
        <v>757</v>
      </c>
      <c r="C36">
        <v>763.7</v>
      </c>
      <c r="D36">
        <v>753.8</v>
      </c>
      <c r="E36" s="7">
        <v>757.25</v>
      </c>
      <c r="F36">
        <v>1071730</v>
      </c>
      <c r="G36" s="8">
        <f t="shared" si="0"/>
        <v>758.25</v>
      </c>
      <c r="H36" s="9">
        <f t="shared" si="1"/>
        <v>812639272.5</v>
      </c>
      <c r="I36" s="9">
        <f t="shared" si="9"/>
        <v>9012993623.75</v>
      </c>
      <c r="J36" s="9">
        <f t="shared" si="4"/>
        <v>12123088</v>
      </c>
      <c r="K36" s="21">
        <f t="shared" si="5"/>
        <v>743.45691656696715</v>
      </c>
      <c r="L36" s="4" t="str">
        <f t="shared" si="2"/>
        <v>BUY</v>
      </c>
      <c r="M36" s="4">
        <f t="shared" si="6"/>
        <v>0</v>
      </c>
      <c r="N36" s="4">
        <f t="shared" si="3"/>
        <v>1</v>
      </c>
      <c r="O36" s="4">
        <f t="shared" si="7"/>
        <v>742.7</v>
      </c>
      <c r="P36" s="4">
        <f t="shared" si="8"/>
        <v>0</v>
      </c>
    </row>
    <row r="37" spans="1:16" x14ac:dyDescent="0.25">
      <c r="A37" s="1">
        <v>41327</v>
      </c>
      <c r="B37">
        <v>759</v>
      </c>
      <c r="C37">
        <v>765</v>
      </c>
      <c r="D37">
        <v>751.25</v>
      </c>
      <c r="E37" s="7">
        <v>762.1</v>
      </c>
      <c r="F37">
        <v>926526</v>
      </c>
      <c r="G37" s="8">
        <f t="shared" si="0"/>
        <v>759.44999999999993</v>
      </c>
      <c r="H37" s="9">
        <f t="shared" si="1"/>
        <v>703650170.69999993</v>
      </c>
      <c r="I37" s="9">
        <f t="shared" si="9"/>
        <v>8210419800.25</v>
      </c>
      <c r="J37" s="9">
        <f t="shared" si="4"/>
        <v>10964442</v>
      </c>
      <c r="K37" s="21">
        <f t="shared" si="5"/>
        <v>748.82240247611321</v>
      </c>
      <c r="L37" s="4" t="str">
        <f t="shared" si="2"/>
        <v>BUY</v>
      </c>
      <c r="M37" s="4">
        <f t="shared" si="6"/>
        <v>0</v>
      </c>
      <c r="N37" s="4">
        <f t="shared" si="3"/>
        <v>1</v>
      </c>
      <c r="O37" s="4">
        <f t="shared" si="7"/>
        <v>742.7</v>
      </c>
      <c r="P37" s="4">
        <f t="shared" si="8"/>
        <v>0</v>
      </c>
    </row>
    <row r="38" spans="1:16" x14ac:dyDescent="0.25">
      <c r="A38" s="1">
        <v>41330</v>
      </c>
      <c r="B38">
        <v>756</v>
      </c>
      <c r="C38">
        <v>770.7</v>
      </c>
      <c r="D38">
        <v>752.1</v>
      </c>
      <c r="E38" s="7">
        <v>765.35</v>
      </c>
      <c r="F38">
        <v>2038029</v>
      </c>
      <c r="G38" s="8">
        <f t="shared" si="0"/>
        <v>762.7166666666667</v>
      </c>
      <c r="H38" s="9">
        <f t="shared" si="1"/>
        <v>1554438685.45</v>
      </c>
      <c r="I38" s="9">
        <f t="shared" si="9"/>
        <v>8663624169.6833344</v>
      </c>
      <c r="J38" s="9">
        <f t="shared" si="4"/>
        <v>11499524</v>
      </c>
      <c r="K38" s="21">
        <f t="shared" si="5"/>
        <v>753.38980723752866</v>
      </c>
      <c r="L38" s="4" t="str">
        <f t="shared" si="2"/>
        <v>BUY</v>
      </c>
      <c r="M38" s="4">
        <f t="shared" si="6"/>
        <v>0</v>
      </c>
      <c r="N38" s="4">
        <f t="shared" si="3"/>
        <v>1</v>
      </c>
      <c r="O38" s="4">
        <f t="shared" si="7"/>
        <v>742.7</v>
      </c>
      <c r="P38" s="4">
        <f t="shared" si="8"/>
        <v>0</v>
      </c>
    </row>
    <row r="39" spans="1:16" x14ac:dyDescent="0.25">
      <c r="A39" s="1">
        <v>41331</v>
      </c>
      <c r="B39">
        <v>769.8</v>
      </c>
      <c r="C39">
        <v>769.8</v>
      </c>
      <c r="D39">
        <v>761.25</v>
      </c>
      <c r="E39" s="7">
        <v>766.25</v>
      </c>
      <c r="F39">
        <v>1336492</v>
      </c>
      <c r="G39" s="8">
        <f t="shared" si="0"/>
        <v>765.76666666666677</v>
      </c>
      <c r="H39" s="9">
        <f t="shared" si="1"/>
        <v>1023441023.8666668</v>
      </c>
      <c r="I39" s="9">
        <f t="shared" si="9"/>
        <v>8828430854.6499996</v>
      </c>
      <c r="J39" s="9">
        <f t="shared" si="4"/>
        <v>11667329</v>
      </c>
      <c r="K39" s="21">
        <f t="shared" si="5"/>
        <v>756.67968689748955</v>
      </c>
      <c r="L39" s="4" t="str">
        <f t="shared" si="2"/>
        <v>BUY</v>
      </c>
      <c r="M39" s="4">
        <f t="shared" si="6"/>
        <v>0</v>
      </c>
      <c r="N39" s="4">
        <f t="shared" si="3"/>
        <v>1</v>
      </c>
      <c r="O39" s="4">
        <f t="shared" si="7"/>
        <v>742.7</v>
      </c>
      <c r="P39" s="4">
        <f t="shared" si="8"/>
        <v>0</v>
      </c>
    </row>
    <row r="40" spans="1:16" x14ac:dyDescent="0.25">
      <c r="A40" s="1">
        <v>41332</v>
      </c>
      <c r="B40">
        <v>767.1</v>
      </c>
      <c r="C40">
        <v>778.55</v>
      </c>
      <c r="D40">
        <v>746.15</v>
      </c>
      <c r="E40" s="7">
        <v>761.8</v>
      </c>
      <c r="F40">
        <v>1507967</v>
      </c>
      <c r="G40" s="8">
        <f t="shared" si="0"/>
        <v>762.16666666666663</v>
      </c>
      <c r="H40" s="9">
        <f t="shared" si="1"/>
        <v>1149322181.8333333</v>
      </c>
      <c r="I40" s="9">
        <f t="shared" si="9"/>
        <v>9082612927.916666</v>
      </c>
      <c r="J40" s="9">
        <f t="shared" si="4"/>
        <v>11968718</v>
      </c>
      <c r="K40" s="21">
        <f t="shared" si="5"/>
        <v>758.86263908270428</v>
      </c>
      <c r="L40" s="4" t="str">
        <f t="shared" si="2"/>
        <v>BUY</v>
      </c>
      <c r="M40" s="4">
        <f t="shared" si="6"/>
        <v>0</v>
      </c>
      <c r="N40" s="4">
        <f t="shared" si="3"/>
        <v>1</v>
      </c>
      <c r="O40" s="4">
        <f t="shared" si="7"/>
        <v>742.7</v>
      </c>
      <c r="P40" s="4">
        <f t="shared" si="8"/>
        <v>0</v>
      </c>
    </row>
    <row r="41" spans="1:16" x14ac:dyDescent="0.25">
      <c r="A41" s="1">
        <v>41333</v>
      </c>
      <c r="B41">
        <v>762</v>
      </c>
      <c r="C41">
        <v>769</v>
      </c>
      <c r="D41">
        <v>755</v>
      </c>
      <c r="E41" s="7">
        <v>763.2</v>
      </c>
      <c r="F41">
        <v>2026676</v>
      </c>
      <c r="G41" s="8">
        <f t="shared" si="0"/>
        <v>762.4</v>
      </c>
      <c r="H41" s="9">
        <f t="shared" si="1"/>
        <v>1545137782.3999999</v>
      </c>
      <c r="I41" s="9">
        <f t="shared" si="9"/>
        <v>9899058989.416666</v>
      </c>
      <c r="J41" s="9">
        <f t="shared" si="4"/>
        <v>13017153</v>
      </c>
      <c r="K41" s="21">
        <f t="shared" si="5"/>
        <v>760.46267485806356</v>
      </c>
      <c r="L41" s="4" t="str">
        <f t="shared" si="2"/>
        <v>BUY</v>
      </c>
      <c r="M41" s="4">
        <f t="shared" si="6"/>
        <v>0</v>
      </c>
      <c r="N41" s="4">
        <f t="shared" si="3"/>
        <v>1</v>
      </c>
      <c r="O41" s="4">
        <f t="shared" si="7"/>
        <v>742.7</v>
      </c>
      <c r="P41" s="4">
        <f t="shared" si="8"/>
        <v>0</v>
      </c>
    </row>
    <row r="42" spans="1:16" x14ac:dyDescent="0.25">
      <c r="A42" s="1">
        <v>41334</v>
      </c>
      <c r="B42">
        <v>769</v>
      </c>
      <c r="C42">
        <v>774</v>
      </c>
      <c r="D42">
        <v>764.15</v>
      </c>
      <c r="E42" s="7">
        <v>768.75</v>
      </c>
      <c r="F42">
        <v>1377371</v>
      </c>
      <c r="G42" s="8">
        <f t="shared" si="0"/>
        <v>768.9666666666667</v>
      </c>
      <c r="H42" s="9">
        <f t="shared" si="1"/>
        <v>1059152386.6333333</v>
      </c>
      <c r="I42" s="9">
        <f t="shared" si="9"/>
        <v>10331293376.549999</v>
      </c>
      <c r="J42" s="9">
        <f t="shared" si="4"/>
        <v>13564279</v>
      </c>
      <c r="K42" s="21">
        <f t="shared" si="5"/>
        <v>761.65444374522224</v>
      </c>
      <c r="L42" s="4" t="str">
        <f t="shared" si="2"/>
        <v>BUY</v>
      </c>
      <c r="M42" s="4">
        <f t="shared" si="6"/>
        <v>0</v>
      </c>
      <c r="N42" s="4">
        <f t="shared" si="3"/>
        <v>1</v>
      </c>
      <c r="O42" s="4">
        <f t="shared" si="7"/>
        <v>742.7</v>
      </c>
      <c r="P42" s="4">
        <f t="shared" si="8"/>
        <v>0</v>
      </c>
    </row>
    <row r="43" spans="1:16" x14ac:dyDescent="0.25">
      <c r="A43" s="1">
        <v>41337</v>
      </c>
      <c r="B43">
        <v>768</v>
      </c>
      <c r="C43">
        <v>770</v>
      </c>
      <c r="D43">
        <v>757</v>
      </c>
      <c r="E43" s="7">
        <v>763.9</v>
      </c>
      <c r="F43">
        <v>1026803</v>
      </c>
      <c r="G43" s="8">
        <f t="shared" si="0"/>
        <v>763.63333333333333</v>
      </c>
      <c r="H43" s="9">
        <f t="shared" si="1"/>
        <v>784100997.5666666</v>
      </c>
      <c r="I43" s="9">
        <f t="shared" si="9"/>
        <v>10155002348.533333</v>
      </c>
      <c r="J43" s="9">
        <f t="shared" si="4"/>
        <v>13326937</v>
      </c>
      <c r="K43" s="21">
        <f t="shared" si="5"/>
        <v>761.99072213917816</v>
      </c>
      <c r="L43" s="4" t="str">
        <f t="shared" si="2"/>
        <v>BUY</v>
      </c>
      <c r="M43" s="4">
        <f t="shared" si="6"/>
        <v>0</v>
      </c>
      <c r="N43" s="4">
        <f t="shared" si="3"/>
        <v>1</v>
      </c>
      <c r="O43" s="4">
        <f t="shared" si="7"/>
        <v>742.7</v>
      </c>
      <c r="P43" s="4">
        <f t="shared" si="8"/>
        <v>0</v>
      </c>
    </row>
    <row r="44" spans="1:16" x14ac:dyDescent="0.25">
      <c r="A44" s="1">
        <v>41338</v>
      </c>
      <c r="B44">
        <v>765</v>
      </c>
      <c r="C44">
        <v>766.95</v>
      </c>
      <c r="D44">
        <v>760.15</v>
      </c>
      <c r="E44" s="7">
        <v>762.6</v>
      </c>
      <c r="F44">
        <v>643656</v>
      </c>
      <c r="G44" s="8">
        <f t="shared" si="0"/>
        <v>763.23333333333323</v>
      </c>
      <c r="H44" s="9">
        <f t="shared" si="1"/>
        <v>491259714.39999992</v>
      </c>
      <c r="I44" s="9">
        <f t="shared" si="9"/>
        <v>9956257698.3500004</v>
      </c>
      <c r="J44" s="9">
        <f t="shared" si="4"/>
        <v>13063190</v>
      </c>
      <c r="K44" s="21">
        <f t="shared" si="5"/>
        <v>762.16128666504892</v>
      </c>
      <c r="L44" s="4" t="str">
        <f t="shared" si="2"/>
        <v>BUY</v>
      </c>
      <c r="M44" s="4">
        <f t="shared" si="6"/>
        <v>0</v>
      </c>
      <c r="N44" s="4">
        <f t="shared" si="3"/>
        <v>1</v>
      </c>
      <c r="O44" s="4">
        <f t="shared" si="7"/>
        <v>742.7</v>
      </c>
      <c r="P44" s="4">
        <f t="shared" si="8"/>
        <v>0</v>
      </c>
    </row>
    <row r="45" spans="1:16" x14ac:dyDescent="0.25">
      <c r="A45" s="1">
        <v>41339</v>
      </c>
      <c r="B45">
        <v>767.6</v>
      </c>
      <c r="C45">
        <v>770</v>
      </c>
      <c r="D45">
        <v>760.3</v>
      </c>
      <c r="E45" s="7">
        <v>762.7</v>
      </c>
      <c r="F45">
        <v>1507870</v>
      </c>
      <c r="G45" s="8">
        <f t="shared" si="0"/>
        <v>764.33333333333337</v>
      </c>
      <c r="H45" s="9">
        <f t="shared" si="1"/>
        <v>1152515303.3333335</v>
      </c>
      <c r="I45" s="9">
        <f t="shared" si="9"/>
        <v>10275657518.683332</v>
      </c>
      <c r="J45" s="9">
        <f t="shared" si="4"/>
        <v>13463120</v>
      </c>
      <c r="K45" s="21">
        <f t="shared" si="5"/>
        <v>763.24488815990151</v>
      </c>
      <c r="L45" s="4" t="str">
        <f t="shared" si="2"/>
        <v>SELL</v>
      </c>
      <c r="M45" s="4" t="str">
        <f t="shared" si="6"/>
        <v>SELL</v>
      </c>
      <c r="N45" s="4">
        <f t="shared" si="3"/>
        <v>-1</v>
      </c>
      <c r="O45" s="4">
        <f t="shared" si="7"/>
        <v>762.7</v>
      </c>
      <c r="P45" s="4">
        <f t="shared" si="8"/>
        <v>2.6928773394371885E-2</v>
      </c>
    </row>
    <row r="46" spans="1:16" x14ac:dyDescent="0.25">
      <c r="A46" s="1">
        <v>41340</v>
      </c>
      <c r="B46">
        <v>763</v>
      </c>
      <c r="C46">
        <v>778.5</v>
      </c>
      <c r="D46">
        <v>763</v>
      </c>
      <c r="E46" s="7">
        <v>768.7</v>
      </c>
      <c r="F46">
        <v>1728866</v>
      </c>
      <c r="G46" s="8">
        <f t="shared" si="0"/>
        <v>770.06666666666661</v>
      </c>
      <c r="H46" s="9">
        <f t="shared" si="1"/>
        <v>1331342077.7333331</v>
      </c>
      <c r="I46" s="9">
        <f t="shared" si="9"/>
        <v>10794360323.916666</v>
      </c>
      <c r="J46" s="9">
        <f t="shared" si="4"/>
        <v>14120256</v>
      </c>
      <c r="K46" s="21">
        <f t="shared" si="5"/>
        <v>764.45925087453554</v>
      </c>
      <c r="L46" s="4" t="str">
        <f t="shared" si="2"/>
        <v>BUY</v>
      </c>
      <c r="M46" s="4" t="str">
        <f t="shared" si="6"/>
        <v>BUY</v>
      </c>
      <c r="N46" s="4">
        <f t="shared" si="3"/>
        <v>1</v>
      </c>
      <c r="O46" s="4">
        <f t="shared" si="7"/>
        <v>768.7</v>
      </c>
      <c r="P46" s="4">
        <f t="shared" si="8"/>
        <v>-7.866789038940605E-3</v>
      </c>
    </row>
    <row r="47" spans="1:16" x14ac:dyDescent="0.25">
      <c r="A47" s="1">
        <v>41341</v>
      </c>
      <c r="B47">
        <v>763.7</v>
      </c>
      <c r="C47">
        <v>784.45</v>
      </c>
      <c r="D47">
        <v>760</v>
      </c>
      <c r="E47" s="7">
        <v>780.05</v>
      </c>
      <c r="F47">
        <v>2293937</v>
      </c>
      <c r="G47" s="8">
        <f t="shared" si="0"/>
        <v>774.83333333333337</v>
      </c>
      <c r="H47" s="9">
        <f t="shared" si="1"/>
        <v>1777418852.1666667</v>
      </c>
      <c r="I47" s="9">
        <f t="shared" si="9"/>
        <v>11868129005.383331</v>
      </c>
      <c r="J47" s="9">
        <f t="shared" si="4"/>
        <v>15487667</v>
      </c>
      <c r="K47" s="21">
        <f t="shared" si="5"/>
        <v>766.29546628187006</v>
      </c>
      <c r="L47" s="4" t="str">
        <f t="shared" si="2"/>
        <v>BUY</v>
      </c>
      <c r="M47" s="4">
        <f t="shared" si="6"/>
        <v>0</v>
      </c>
      <c r="N47" s="4">
        <f t="shared" si="3"/>
        <v>1</v>
      </c>
      <c r="O47" s="4">
        <f t="shared" si="7"/>
        <v>768.7</v>
      </c>
      <c r="P47" s="4">
        <f t="shared" si="8"/>
        <v>0</v>
      </c>
    </row>
    <row r="48" spans="1:16" x14ac:dyDescent="0.25">
      <c r="A48" s="1">
        <v>41344</v>
      </c>
      <c r="B48">
        <v>780.05</v>
      </c>
      <c r="C48">
        <v>794.9</v>
      </c>
      <c r="D48">
        <v>771.95</v>
      </c>
      <c r="E48" s="7">
        <v>791.6</v>
      </c>
      <c r="F48">
        <v>1607015</v>
      </c>
      <c r="G48" s="8">
        <f t="shared" si="0"/>
        <v>786.15</v>
      </c>
      <c r="H48" s="9">
        <f t="shared" si="1"/>
        <v>1263354842.25</v>
      </c>
      <c r="I48" s="9">
        <f t="shared" si="9"/>
        <v>11577045162.183332</v>
      </c>
      <c r="J48" s="9">
        <f t="shared" si="4"/>
        <v>15056653</v>
      </c>
      <c r="K48" s="21">
        <f t="shared" si="5"/>
        <v>768.89898187753499</v>
      </c>
      <c r="L48" s="4" t="str">
        <f t="shared" si="2"/>
        <v>BUY</v>
      </c>
      <c r="M48" s="4">
        <f t="shared" si="6"/>
        <v>0</v>
      </c>
      <c r="N48" s="4">
        <f t="shared" si="3"/>
        <v>1</v>
      </c>
      <c r="O48" s="4">
        <f t="shared" si="7"/>
        <v>768.7</v>
      </c>
      <c r="P48" s="4">
        <f t="shared" si="8"/>
        <v>0</v>
      </c>
    </row>
    <row r="49" spans="1:16" x14ac:dyDescent="0.25">
      <c r="A49" s="1">
        <v>41345</v>
      </c>
      <c r="B49">
        <v>800</v>
      </c>
      <c r="C49">
        <v>800</v>
      </c>
      <c r="D49">
        <v>792</v>
      </c>
      <c r="E49" s="7">
        <v>796.95</v>
      </c>
      <c r="F49">
        <v>1255488</v>
      </c>
      <c r="G49" s="8">
        <f t="shared" si="0"/>
        <v>796.31666666666661</v>
      </c>
      <c r="H49" s="9">
        <f t="shared" si="1"/>
        <v>999766019.19999993</v>
      </c>
      <c r="I49" s="9">
        <f t="shared" si="9"/>
        <v>11553370157.516666</v>
      </c>
      <c r="J49" s="9">
        <f t="shared" si="4"/>
        <v>14975649</v>
      </c>
      <c r="K49" s="21">
        <f t="shared" si="5"/>
        <v>771.47709308068499</v>
      </c>
      <c r="L49" s="4" t="str">
        <f t="shared" si="2"/>
        <v>BUY</v>
      </c>
      <c r="M49" s="4">
        <f t="shared" si="6"/>
        <v>0</v>
      </c>
      <c r="N49" s="4">
        <f t="shared" si="3"/>
        <v>1</v>
      </c>
      <c r="O49" s="4">
        <f t="shared" si="7"/>
        <v>768.7</v>
      </c>
      <c r="P49" s="4">
        <f t="shared" si="8"/>
        <v>0</v>
      </c>
    </row>
    <row r="50" spans="1:16" x14ac:dyDescent="0.25">
      <c r="A50" s="1">
        <v>41346</v>
      </c>
      <c r="B50">
        <v>796.95</v>
      </c>
      <c r="C50">
        <v>820</v>
      </c>
      <c r="D50">
        <v>791.15</v>
      </c>
      <c r="E50" s="7">
        <v>818</v>
      </c>
      <c r="F50">
        <v>3027217</v>
      </c>
      <c r="G50" s="8">
        <f t="shared" si="0"/>
        <v>809.7166666666667</v>
      </c>
      <c r="H50" s="9">
        <f t="shared" si="1"/>
        <v>2451188058.5166669</v>
      </c>
      <c r="I50" s="9">
        <f t="shared" si="9"/>
        <v>12855236034.200001</v>
      </c>
      <c r="J50" s="9">
        <f t="shared" si="4"/>
        <v>16494899</v>
      </c>
      <c r="K50" s="21">
        <f t="shared" si="5"/>
        <v>779.34615023711274</v>
      </c>
      <c r="L50" s="4" t="str">
        <f t="shared" si="2"/>
        <v>BUY</v>
      </c>
      <c r="M50" s="4">
        <f t="shared" si="6"/>
        <v>0</v>
      </c>
      <c r="N50" s="4">
        <f t="shared" si="3"/>
        <v>1</v>
      </c>
      <c r="O50" s="4">
        <f t="shared" si="7"/>
        <v>768.7</v>
      </c>
      <c r="P50" s="4">
        <f t="shared" si="8"/>
        <v>0</v>
      </c>
    </row>
    <row r="51" spans="1:16" x14ac:dyDescent="0.25">
      <c r="A51" s="1">
        <v>41347</v>
      </c>
      <c r="B51">
        <v>821.5</v>
      </c>
      <c r="C51">
        <v>831.95</v>
      </c>
      <c r="D51">
        <v>815.8</v>
      </c>
      <c r="E51" s="7">
        <v>829</v>
      </c>
      <c r="F51">
        <v>1544428</v>
      </c>
      <c r="G51" s="8">
        <f t="shared" si="0"/>
        <v>825.58333333333337</v>
      </c>
      <c r="H51" s="9">
        <f t="shared" si="1"/>
        <v>1275054016.3333335</v>
      </c>
      <c r="I51" s="9">
        <f t="shared" si="9"/>
        <v>12585152268.133333</v>
      </c>
      <c r="J51" s="9">
        <f t="shared" si="4"/>
        <v>16012651</v>
      </c>
      <c r="K51" s="21">
        <f t="shared" si="5"/>
        <v>785.9505754626972</v>
      </c>
      <c r="L51" s="4" t="str">
        <f t="shared" si="2"/>
        <v>BUY</v>
      </c>
      <c r="M51" s="4">
        <f t="shared" si="6"/>
        <v>0</v>
      </c>
      <c r="N51" s="4">
        <f t="shared" si="3"/>
        <v>1</v>
      </c>
      <c r="O51" s="4">
        <f t="shared" si="7"/>
        <v>768.7</v>
      </c>
      <c r="P51" s="4">
        <f t="shared" si="8"/>
        <v>0</v>
      </c>
    </row>
    <row r="52" spans="1:16" x14ac:dyDescent="0.25">
      <c r="A52" s="1">
        <v>41348</v>
      </c>
      <c r="B52">
        <v>834</v>
      </c>
      <c r="C52">
        <v>845.9</v>
      </c>
      <c r="D52">
        <v>830</v>
      </c>
      <c r="E52" s="7">
        <v>840.7</v>
      </c>
      <c r="F52">
        <v>2087397</v>
      </c>
      <c r="G52" s="8">
        <f t="shared" si="0"/>
        <v>838.86666666666679</v>
      </c>
      <c r="H52" s="9">
        <f t="shared" si="1"/>
        <v>1751047763.4000003</v>
      </c>
      <c r="I52" s="9">
        <f t="shared" si="9"/>
        <v>13277047644.9</v>
      </c>
      <c r="J52" s="9">
        <f t="shared" si="4"/>
        <v>16722677</v>
      </c>
      <c r="K52" s="21">
        <f t="shared" si="5"/>
        <v>793.95467872159463</v>
      </c>
      <c r="L52" s="4" t="str">
        <f t="shared" si="2"/>
        <v>BUY</v>
      </c>
      <c r="M52" s="4">
        <f t="shared" si="6"/>
        <v>0</v>
      </c>
      <c r="N52" s="4">
        <f t="shared" si="3"/>
        <v>1</v>
      </c>
      <c r="O52" s="4">
        <f t="shared" si="7"/>
        <v>768.7</v>
      </c>
      <c r="P52" s="4">
        <f t="shared" si="8"/>
        <v>0</v>
      </c>
    </row>
    <row r="53" spans="1:16" x14ac:dyDescent="0.25">
      <c r="A53" s="1">
        <v>41351</v>
      </c>
      <c r="B53">
        <v>845</v>
      </c>
      <c r="C53">
        <v>845</v>
      </c>
      <c r="D53">
        <v>820.5</v>
      </c>
      <c r="E53" s="7">
        <v>825.85</v>
      </c>
      <c r="F53">
        <v>1862277</v>
      </c>
      <c r="G53" s="8">
        <f t="shared" si="0"/>
        <v>830.44999999999993</v>
      </c>
      <c r="H53" s="9">
        <f t="shared" si="1"/>
        <v>1546527934.6499999</v>
      </c>
      <c r="I53" s="9">
        <f t="shared" si="9"/>
        <v>14039474581.983334</v>
      </c>
      <c r="J53" s="9">
        <f t="shared" si="4"/>
        <v>17558151</v>
      </c>
      <c r="K53" s="21">
        <f t="shared" si="5"/>
        <v>799.59869248096413</v>
      </c>
      <c r="L53" s="4" t="str">
        <f t="shared" si="2"/>
        <v>BUY</v>
      </c>
      <c r="M53" s="4">
        <f t="shared" si="6"/>
        <v>0</v>
      </c>
      <c r="N53" s="4">
        <f t="shared" si="3"/>
        <v>1</v>
      </c>
      <c r="O53" s="4">
        <f t="shared" si="7"/>
        <v>768.7</v>
      </c>
      <c r="P53" s="4">
        <f t="shared" si="8"/>
        <v>0</v>
      </c>
    </row>
    <row r="54" spans="1:16" x14ac:dyDescent="0.25">
      <c r="A54" s="1">
        <v>41352</v>
      </c>
      <c r="B54">
        <v>805.25</v>
      </c>
      <c r="C54">
        <v>834.45</v>
      </c>
      <c r="D54">
        <v>805.25</v>
      </c>
      <c r="E54" s="7">
        <v>820.9</v>
      </c>
      <c r="F54">
        <v>2358312</v>
      </c>
      <c r="G54" s="8">
        <f t="shared" si="0"/>
        <v>820.19999999999993</v>
      </c>
      <c r="H54" s="9">
        <f t="shared" si="1"/>
        <v>1934287502.3999999</v>
      </c>
      <c r="I54" s="9">
        <f t="shared" si="9"/>
        <v>15482502369.983334</v>
      </c>
      <c r="J54" s="9">
        <f t="shared" si="4"/>
        <v>19272807</v>
      </c>
      <c r="K54" s="21">
        <f t="shared" si="5"/>
        <v>803.33406389548406</v>
      </c>
      <c r="L54" s="4" t="str">
        <f t="shared" si="2"/>
        <v>BUY</v>
      </c>
      <c r="M54" s="4">
        <f t="shared" si="6"/>
        <v>0</v>
      </c>
      <c r="N54" s="4">
        <f t="shared" si="3"/>
        <v>1</v>
      </c>
      <c r="O54" s="4">
        <f t="shared" si="7"/>
        <v>768.7</v>
      </c>
      <c r="P54" s="4">
        <f t="shared" si="8"/>
        <v>0</v>
      </c>
    </row>
    <row r="55" spans="1:16" x14ac:dyDescent="0.25">
      <c r="A55" s="1">
        <v>41353</v>
      </c>
      <c r="B55">
        <v>814.9</v>
      </c>
      <c r="C55">
        <v>833.8</v>
      </c>
      <c r="D55">
        <v>806.15</v>
      </c>
      <c r="E55" s="7">
        <v>827.6</v>
      </c>
      <c r="F55">
        <v>1655055</v>
      </c>
      <c r="G55" s="8">
        <f t="shared" si="0"/>
        <v>822.51666666666654</v>
      </c>
      <c r="H55" s="9">
        <f t="shared" si="1"/>
        <v>1361310321.7499998</v>
      </c>
      <c r="I55" s="9">
        <f t="shared" si="9"/>
        <v>15691297388.4</v>
      </c>
      <c r="J55" s="9">
        <f t="shared" si="4"/>
        <v>19419992</v>
      </c>
      <c r="K55" s="21">
        <f t="shared" si="5"/>
        <v>807.99710877326822</v>
      </c>
      <c r="L55" s="4" t="str">
        <f t="shared" si="2"/>
        <v>BUY</v>
      </c>
      <c r="M55" s="4">
        <f t="shared" si="6"/>
        <v>0</v>
      </c>
      <c r="N55" s="4">
        <f t="shared" si="3"/>
        <v>1</v>
      </c>
      <c r="O55" s="4">
        <f t="shared" si="7"/>
        <v>768.7</v>
      </c>
      <c r="P55" s="4">
        <f t="shared" si="8"/>
        <v>0</v>
      </c>
    </row>
    <row r="56" spans="1:16" x14ac:dyDescent="0.25">
      <c r="A56" s="1">
        <v>41354</v>
      </c>
      <c r="B56">
        <v>830</v>
      </c>
      <c r="C56">
        <v>833</v>
      </c>
      <c r="D56">
        <v>822.1</v>
      </c>
      <c r="E56" s="7">
        <v>828.65</v>
      </c>
      <c r="F56">
        <v>847482</v>
      </c>
      <c r="G56" s="8">
        <f t="shared" si="0"/>
        <v>827.91666666666663</v>
      </c>
      <c r="H56" s="9">
        <f t="shared" si="1"/>
        <v>701644472.5</v>
      </c>
      <c r="I56" s="9">
        <f t="shared" si="9"/>
        <v>15061599783.166666</v>
      </c>
      <c r="J56" s="9">
        <f t="shared" si="4"/>
        <v>18538608</v>
      </c>
      <c r="K56" s="21">
        <f t="shared" si="5"/>
        <v>812.44502193296637</v>
      </c>
      <c r="L56" s="4" t="str">
        <f t="shared" si="2"/>
        <v>BUY</v>
      </c>
      <c r="M56" s="4">
        <f t="shared" si="6"/>
        <v>0</v>
      </c>
      <c r="N56" s="4">
        <f t="shared" si="3"/>
        <v>1</v>
      </c>
      <c r="O56" s="4">
        <f t="shared" si="7"/>
        <v>768.7</v>
      </c>
      <c r="P56" s="4">
        <f t="shared" si="8"/>
        <v>0</v>
      </c>
    </row>
    <row r="57" spans="1:16" x14ac:dyDescent="0.25">
      <c r="A57" s="1">
        <v>41355</v>
      </c>
      <c r="B57">
        <v>824.1</v>
      </c>
      <c r="C57">
        <v>836.8</v>
      </c>
      <c r="D57">
        <v>818</v>
      </c>
      <c r="E57" s="7">
        <v>829.8</v>
      </c>
      <c r="F57">
        <v>2758791</v>
      </c>
      <c r="G57" s="8">
        <f t="shared" si="0"/>
        <v>828.19999999999993</v>
      </c>
      <c r="H57" s="9">
        <f t="shared" si="1"/>
        <v>2284830706.1999998</v>
      </c>
      <c r="I57" s="9">
        <f t="shared" si="9"/>
        <v>15569011637.200001</v>
      </c>
      <c r="J57" s="9">
        <f t="shared" si="4"/>
        <v>19003462</v>
      </c>
      <c r="K57" s="21">
        <f t="shared" si="5"/>
        <v>819.27238506331116</v>
      </c>
      <c r="L57" s="4" t="str">
        <f t="shared" si="2"/>
        <v>BUY</v>
      </c>
      <c r="M57" s="4">
        <f t="shared" si="6"/>
        <v>0</v>
      </c>
      <c r="N57" s="4">
        <f t="shared" si="3"/>
        <v>1</v>
      </c>
      <c r="O57" s="4">
        <f t="shared" si="7"/>
        <v>768.7</v>
      </c>
      <c r="P57" s="4">
        <f t="shared" si="8"/>
        <v>0</v>
      </c>
    </row>
    <row r="58" spans="1:16" x14ac:dyDescent="0.25">
      <c r="A58" s="1">
        <v>41358</v>
      </c>
      <c r="B58">
        <v>830</v>
      </c>
      <c r="C58">
        <v>836</v>
      </c>
      <c r="D58">
        <v>822.3</v>
      </c>
      <c r="E58" s="7">
        <v>825.05</v>
      </c>
      <c r="F58">
        <v>998903</v>
      </c>
      <c r="G58" s="8">
        <f t="shared" si="0"/>
        <v>827.7833333333333</v>
      </c>
      <c r="H58" s="9">
        <f t="shared" si="1"/>
        <v>826875255.01666665</v>
      </c>
      <c r="I58" s="9">
        <f t="shared" si="9"/>
        <v>15132532049.966667</v>
      </c>
      <c r="J58" s="9">
        <f t="shared" si="4"/>
        <v>18395350</v>
      </c>
      <c r="K58" s="21">
        <f t="shared" si="5"/>
        <v>822.62811253749817</v>
      </c>
      <c r="L58" s="4" t="str">
        <f t="shared" si="2"/>
        <v>BUY</v>
      </c>
      <c r="M58" s="4">
        <f t="shared" si="6"/>
        <v>0</v>
      </c>
      <c r="N58" s="4">
        <f t="shared" si="3"/>
        <v>1</v>
      </c>
      <c r="O58" s="4">
        <f t="shared" si="7"/>
        <v>768.7</v>
      </c>
      <c r="P58" s="4">
        <f t="shared" si="8"/>
        <v>0</v>
      </c>
    </row>
    <row r="59" spans="1:16" x14ac:dyDescent="0.25">
      <c r="A59" s="1">
        <v>41359</v>
      </c>
      <c r="B59">
        <v>824</v>
      </c>
      <c r="C59">
        <v>829.3</v>
      </c>
      <c r="D59">
        <v>808.55</v>
      </c>
      <c r="E59" s="7">
        <v>811.95</v>
      </c>
      <c r="F59">
        <v>1721633</v>
      </c>
      <c r="G59" s="8">
        <f t="shared" si="0"/>
        <v>816.6</v>
      </c>
      <c r="H59" s="9">
        <f t="shared" si="1"/>
        <v>1405885507.8</v>
      </c>
      <c r="I59" s="9">
        <f t="shared" si="9"/>
        <v>15538651538.566666</v>
      </c>
      <c r="J59" s="9">
        <f t="shared" si="4"/>
        <v>18861495</v>
      </c>
      <c r="K59" s="21">
        <f t="shared" si="5"/>
        <v>823.82926372308589</v>
      </c>
      <c r="L59" s="4" t="str">
        <f t="shared" si="2"/>
        <v>SELL</v>
      </c>
      <c r="M59" s="4" t="str">
        <f t="shared" si="6"/>
        <v>SELL</v>
      </c>
      <c r="N59" s="4">
        <f t="shared" si="3"/>
        <v>-1</v>
      </c>
      <c r="O59" s="4">
        <f t="shared" si="7"/>
        <v>811.95</v>
      </c>
      <c r="P59" s="4">
        <f t="shared" si="8"/>
        <v>5.6263822037205667E-2</v>
      </c>
    </row>
    <row r="60" spans="1:16" x14ac:dyDescent="0.25">
      <c r="A60" s="1">
        <v>41360</v>
      </c>
      <c r="B60">
        <v>808.6</v>
      </c>
      <c r="C60">
        <v>816.1</v>
      </c>
      <c r="D60">
        <v>797.15</v>
      </c>
      <c r="E60" s="7">
        <v>800</v>
      </c>
      <c r="F60">
        <v>1548580</v>
      </c>
      <c r="G60" s="8">
        <f t="shared" si="0"/>
        <v>804.41666666666663</v>
      </c>
      <c r="H60" s="9">
        <f t="shared" si="1"/>
        <v>1245703561.6666665</v>
      </c>
      <c r="I60" s="9">
        <f t="shared" si="9"/>
        <v>14333167041.716665</v>
      </c>
      <c r="J60" s="9">
        <f t="shared" si="4"/>
        <v>17382858</v>
      </c>
      <c r="K60" s="21">
        <f t="shared" si="5"/>
        <v>824.55756364785725</v>
      </c>
      <c r="L60" s="4" t="str">
        <f t="shared" si="2"/>
        <v>SELL</v>
      </c>
      <c r="M60" s="4">
        <f t="shared" si="6"/>
        <v>0</v>
      </c>
      <c r="N60" s="4">
        <f t="shared" si="3"/>
        <v>-1</v>
      </c>
      <c r="O60" s="4">
        <f t="shared" si="7"/>
        <v>811.95</v>
      </c>
      <c r="P60" s="4">
        <f t="shared" si="8"/>
        <v>0</v>
      </c>
    </row>
    <row r="61" spans="1:16" x14ac:dyDescent="0.25">
      <c r="A61" s="1">
        <v>41361</v>
      </c>
      <c r="B61">
        <v>800</v>
      </c>
      <c r="C61">
        <v>807.25</v>
      </c>
      <c r="D61">
        <v>777.3</v>
      </c>
      <c r="E61" s="7">
        <v>780.65</v>
      </c>
      <c r="F61">
        <v>3541523</v>
      </c>
      <c r="G61" s="8">
        <f t="shared" si="0"/>
        <v>788.4</v>
      </c>
      <c r="H61" s="9">
        <f t="shared" si="1"/>
        <v>2792136733.1999998</v>
      </c>
      <c r="I61" s="9">
        <f t="shared" si="9"/>
        <v>15850249758.583332</v>
      </c>
      <c r="J61" s="9">
        <f t="shared" si="4"/>
        <v>19379953</v>
      </c>
      <c r="K61" s="21">
        <f t="shared" si="5"/>
        <v>817.86832809054454</v>
      </c>
      <c r="L61" s="4" t="str">
        <f t="shared" si="2"/>
        <v>SELL</v>
      </c>
      <c r="M61" s="4">
        <f t="shared" si="6"/>
        <v>0</v>
      </c>
      <c r="N61" s="4">
        <f t="shared" si="3"/>
        <v>-1</v>
      </c>
      <c r="O61" s="4">
        <f t="shared" si="7"/>
        <v>811.95</v>
      </c>
      <c r="P61" s="4">
        <f t="shared" si="8"/>
        <v>0</v>
      </c>
    </row>
    <row r="62" spans="1:16" x14ac:dyDescent="0.25">
      <c r="A62" s="1">
        <v>41362</v>
      </c>
      <c r="B62">
        <v>786.35</v>
      </c>
      <c r="C62">
        <v>809.8</v>
      </c>
      <c r="D62">
        <v>782.1</v>
      </c>
      <c r="E62" s="7">
        <v>807.8</v>
      </c>
      <c r="F62">
        <v>2890716</v>
      </c>
      <c r="G62" s="8">
        <f t="shared" si="0"/>
        <v>799.9</v>
      </c>
      <c r="H62" s="9">
        <f t="shared" si="1"/>
        <v>2312283728.4000001</v>
      </c>
      <c r="I62" s="9">
        <f t="shared" si="9"/>
        <v>16411485723.58333</v>
      </c>
      <c r="J62" s="9">
        <f t="shared" si="4"/>
        <v>20183272</v>
      </c>
      <c r="K62" s="21">
        <f t="shared" si="5"/>
        <v>813.12315087381921</v>
      </c>
      <c r="L62" s="4" t="str">
        <f t="shared" si="2"/>
        <v>SELL</v>
      </c>
      <c r="M62" s="4">
        <f t="shared" si="6"/>
        <v>0</v>
      </c>
      <c r="N62" s="4">
        <f t="shared" si="3"/>
        <v>-1</v>
      </c>
      <c r="O62" s="4">
        <f t="shared" si="7"/>
        <v>811.95</v>
      </c>
      <c r="P62" s="4">
        <f t="shared" si="8"/>
        <v>0</v>
      </c>
    </row>
    <row r="63" spans="1:16" x14ac:dyDescent="0.25">
      <c r="A63" s="1">
        <v>41365</v>
      </c>
      <c r="B63">
        <v>817</v>
      </c>
      <c r="C63">
        <v>817</v>
      </c>
      <c r="D63">
        <v>799.25</v>
      </c>
      <c r="E63" s="7">
        <v>803.35</v>
      </c>
      <c r="F63">
        <v>1500918</v>
      </c>
      <c r="G63" s="8">
        <f t="shared" si="0"/>
        <v>806.5333333333333</v>
      </c>
      <c r="H63" s="9">
        <f t="shared" si="1"/>
        <v>1210540397.5999999</v>
      </c>
      <c r="I63" s="9">
        <f t="shared" si="9"/>
        <v>16075498186.533333</v>
      </c>
      <c r="J63" s="9">
        <f t="shared" si="4"/>
        <v>19821913</v>
      </c>
      <c r="K63" s="21">
        <f t="shared" si="5"/>
        <v>810.99630426858062</v>
      </c>
      <c r="L63" s="4" t="str">
        <f t="shared" si="2"/>
        <v>SELL</v>
      </c>
      <c r="M63" s="4">
        <f t="shared" si="6"/>
        <v>0</v>
      </c>
      <c r="N63" s="4">
        <f t="shared" si="3"/>
        <v>-1</v>
      </c>
      <c r="O63" s="4">
        <f t="shared" si="7"/>
        <v>811.95</v>
      </c>
      <c r="P63" s="4">
        <f t="shared" si="8"/>
        <v>0</v>
      </c>
    </row>
    <row r="64" spans="1:16" x14ac:dyDescent="0.25">
      <c r="A64" s="1">
        <v>41366</v>
      </c>
      <c r="B64">
        <v>808.9</v>
      </c>
      <c r="C64">
        <v>808.9</v>
      </c>
      <c r="D64">
        <v>792.15</v>
      </c>
      <c r="E64" s="7">
        <v>796.05</v>
      </c>
      <c r="F64">
        <v>1851183</v>
      </c>
      <c r="G64" s="8">
        <f t="shared" si="0"/>
        <v>799.0333333333333</v>
      </c>
      <c r="H64" s="9">
        <f t="shared" si="1"/>
        <v>1479156923.0999999</v>
      </c>
      <c r="I64" s="9">
        <f t="shared" si="9"/>
        <v>15620367607.233332</v>
      </c>
      <c r="J64" s="9">
        <f t="shared" si="4"/>
        <v>19314784</v>
      </c>
      <c r="K64" s="21">
        <f t="shared" si="5"/>
        <v>808.7259793965768</v>
      </c>
      <c r="L64" s="4" t="str">
        <f t="shared" si="2"/>
        <v>SELL</v>
      </c>
      <c r="M64" s="4">
        <f t="shared" si="6"/>
        <v>0</v>
      </c>
      <c r="N64" s="4">
        <f t="shared" si="3"/>
        <v>-1</v>
      </c>
      <c r="O64" s="4">
        <f t="shared" si="7"/>
        <v>811.95</v>
      </c>
      <c r="P64" s="4">
        <f t="shared" si="8"/>
        <v>0</v>
      </c>
    </row>
    <row r="65" spans="1:16" x14ac:dyDescent="0.25">
      <c r="A65" s="1">
        <v>41367</v>
      </c>
      <c r="B65">
        <v>790</v>
      </c>
      <c r="C65">
        <v>809</v>
      </c>
      <c r="D65">
        <v>781.15</v>
      </c>
      <c r="E65" s="7">
        <v>798.05</v>
      </c>
      <c r="F65">
        <v>1512279</v>
      </c>
      <c r="G65" s="8">
        <f t="shared" si="0"/>
        <v>796.06666666666661</v>
      </c>
      <c r="H65" s="9">
        <f t="shared" si="1"/>
        <v>1203874902.5999999</v>
      </c>
      <c r="I65" s="9">
        <f t="shared" si="9"/>
        <v>15462932188.083332</v>
      </c>
      <c r="J65" s="9">
        <f t="shared" si="4"/>
        <v>19172008</v>
      </c>
      <c r="K65" s="21">
        <f t="shared" si="5"/>
        <v>806.53691507344104</v>
      </c>
      <c r="L65" s="4" t="str">
        <f t="shared" si="2"/>
        <v>SELL</v>
      </c>
      <c r="M65" s="4">
        <f t="shared" si="6"/>
        <v>0</v>
      </c>
      <c r="N65" s="4">
        <f t="shared" si="3"/>
        <v>-1</v>
      </c>
      <c r="O65" s="4">
        <f t="shared" si="7"/>
        <v>811.95</v>
      </c>
      <c r="P65" s="4">
        <f t="shared" si="8"/>
        <v>0</v>
      </c>
    </row>
    <row r="66" spans="1:16" x14ac:dyDescent="0.25">
      <c r="A66" s="1">
        <v>41368</v>
      </c>
      <c r="B66">
        <v>796</v>
      </c>
      <c r="C66">
        <v>807.5</v>
      </c>
      <c r="D66">
        <v>790</v>
      </c>
      <c r="E66" s="7">
        <v>799.45</v>
      </c>
      <c r="F66">
        <v>2247219</v>
      </c>
      <c r="G66" s="8">
        <f t="shared" ref="G66:G129" si="10">AVERAGE(C66:E66)</f>
        <v>798.98333333333323</v>
      </c>
      <c r="H66" s="9">
        <f t="shared" si="1"/>
        <v>1795490527.3499997</v>
      </c>
      <c r="I66" s="9">
        <f t="shared" si="9"/>
        <v>16556778242.933334</v>
      </c>
      <c r="J66" s="9">
        <f t="shared" si="4"/>
        <v>20571745</v>
      </c>
      <c r="K66" s="21">
        <f t="shared" si="5"/>
        <v>804.83100694342329</v>
      </c>
      <c r="L66" s="4" t="str">
        <f t="shared" si="2"/>
        <v>SELL</v>
      </c>
      <c r="M66" s="4">
        <f t="shared" si="6"/>
        <v>0</v>
      </c>
      <c r="N66" s="4">
        <f t="shared" si="3"/>
        <v>-1</v>
      </c>
      <c r="O66" s="4">
        <f t="shared" si="7"/>
        <v>811.95</v>
      </c>
      <c r="P66" s="4">
        <f t="shared" si="8"/>
        <v>0</v>
      </c>
    </row>
    <row r="67" spans="1:16" x14ac:dyDescent="0.25">
      <c r="A67" s="1">
        <v>41369</v>
      </c>
      <c r="B67">
        <v>802</v>
      </c>
      <c r="C67">
        <v>807.9</v>
      </c>
      <c r="D67">
        <v>788.25</v>
      </c>
      <c r="E67" s="7">
        <v>791.6</v>
      </c>
      <c r="F67">
        <v>1509006</v>
      </c>
      <c r="G67" s="8">
        <f t="shared" si="10"/>
        <v>795.91666666666663</v>
      </c>
      <c r="H67" s="9">
        <f t="shared" ref="H67:H130" si="11">G67*F67</f>
        <v>1201043025.5</v>
      </c>
      <c r="I67" s="9">
        <f t="shared" si="9"/>
        <v>15472990562.233334</v>
      </c>
      <c r="J67" s="9">
        <f t="shared" si="4"/>
        <v>19321960</v>
      </c>
      <c r="K67" s="21">
        <f t="shared" si="5"/>
        <v>800.79818829111196</v>
      </c>
      <c r="L67" s="4" t="str">
        <f t="shared" si="2"/>
        <v>SELL</v>
      </c>
      <c r="M67" s="4">
        <f t="shared" si="6"/>
        <v>0</v>
      </c>
      <c r="N67" s="4">
        <f t="shared" si="3"/>
        <v>-1</v>
      </c>
      <c r="O67" s="4">
        <f t="shared" si="7"/>
        <v>811.95</v>
      </c>
      <c r="P67" s="4">
        <f t="shared" si="8"/>
        <v>0</v>
      </c>
    </row>
    <row r="68" spans="1:16" x14ac:dyDescent="0.25">
      <c r="A68" s="1">
        <v>41372</v>
      </c>
      <c r="B68">
        <v>791</v>
      </c>
      <c r="C68">
        <v>800</v>
      </c>
      <c r="D68">
        <v>790.1</v>
      </c>
      <c r="E68" s="7">
        <v>798.1</v>
      </c>
      <c r="F68">
        <v>1434941</v>
      </c>
      <c r="G68" s="8">
        <f t="shared" si="10"/>
        <v>796.06666666666661</v>
      </c>
      <c r="H68" s="9">
        <f t="shared" si="11"/>
        <v>1142308698.7333333</v>
      </c>
      <c r="I68" s="9">
        <f t="shared" si="9"/>
        <v>15788424005.950001</v>
      </c>
      <c r="J68" s="9">
        <f t="shared" si="4"/>
        <v>19757998</v>
      </c>
      <c r="K68" s="21">
        <f t="shared" si="5"/>
        <v>799.0902725038236</v>
      </c>
      <c r="L68" s="4" t="str">
        <f t="shared" si="2"/>
        <v>SELL</v>
      </c>
      <c r="M68" s="4">
        <f t="shared" si="6"/>
        <v>0</v>
      </c>
      <c r="N68" s="4">
        <f t="shared" si="3"/>
        <v>-1</v>
      </c>
      <c r="O68" s="4">
        <f t="shared" si="7"/>
        <v>811.95</v>
      </c>
      <c r="P68" s="4">
        <f t="shared" si="8"/>
        <v>0</v>
      </c>
    </row>
    <row r="69" spans="1:16" x14ac:dyDescent="0.25">
      <c r="A69" s="1">
        <v>41373</v>
      </c>
      <c r="B69">
        <v>800</v>
      </c>
      <c r="C69">
        <v>823.8</v>
      </c>
      <c r="D69">
        <v>787.25</v>
      </c>
      <c r="E69" s="7">
        <v>820.85</v>
      </c>
      <c r="F69">
        <v>4202458</v>
      </c>
      <c r="G69" s="8">
        <f t="shared" si="10"/>
        <v>810.63333333333333</v>
      </c>
      <c r="H69" s="9">
        <f t="shared" si="11"/>
        <v>3406652536.7333331</v>
      </c>
      <c r="I69" s="9">
        <f t="shared" si="9"/>
        <v>17789191034.883335</v>
      </c>
      <c r="J69" s="9">
        <f t="shared" si="4"/>
        <v>22238823</v>
      </c>
      <c r="K69" s="21">
        <f t="shared" si="5"/>
        <v>799.91603129730993</v>
      </c>
      <c r="L69" s="4" t="str">
        <f t="shared" si="2"/>
        <v>BUY</v>
      </c>
      <c r="M69" s="4" t="str">
        <f t="shared" si="6"/>
        <v>BUY</v>
      </c>
      <c r="N69" s="4">
        <f t="shared" si="3"/>
        <v>1</v>
      </c>
      <c r="O69" s="4">
        <f t="shared" si="7"/>
        <v>820.85</v>
      </c>
      <c r="P69" s="4">
        <f t="shared" si="8"/>
        <v>-1.0961266087813261E-2</v>
      </c>
    </row>
    <row r="70" spans="1:16" x14ac:dyDescent="0.25">
      <c r="A70" s="1">
        <v>41374</v>
      </c>
      <c r="B70">
        <v>822</v>
      </c>
      <c r="C70">
        <v>834.9</v>
      </c>
      <c r="D70">
        <v>819.05</v>
      </c>
      <c r="E70" s="7">
        <v>821.7</v>
      </c>
      <c r="F70">
        <v>2145476</v>
      </c>
      <c r="G70" s="8">
        <f t="shared" si="10"/>
        <v>825.21666666666658</v>
      </c>
      <c r="H70" s="9">
        <f t="shared" si="11"/>
        <v>1770482553.1333332</v>
      </c>
      <c r="I70" s="9">
        <f t="shared" si="9"/>
        <v>18313970026.350002</v>
      </c>
      <c r="J70" s="9">
        <f t="shared" si="4"/>
        <v>22835719</v>
      </c>
      <c r="K70" s="21">
        <f t="shared" si="5"/>
        <v>801.98788688676723</v>
      </c>
      <c r="L70" s="4" t="str">
        <f t="shared" si="2"/>
        <v>BUY</v>
      </c>
      <c r="M70" s="4">
        <f t="shared" si="6"/>
        <v>0</v>
      </c>
      <c r="N70" s="4">
        <f t="shared" si="3"/>
        <v>1</v>
      </c>
      <c r="O70" s="4">
        <f t="shared" si="7"/>
        <v>820.85</v>
      </c>
      <c r="P70" s="4">
        <f t="shared" si="8"/>
        <v>0</v>
      </c>
    </row>
    <row r="71" spans="1:16" x14ac:dyDescent="0.25">
      <c r="A71" s="1">
        <v>41375</v>
      </c>
      <c r="B71">
        <v>819</v>
      </c>
      <c r="C71">
        <v>828</v>
      </c>
      <c r="D71">
        <v>811.85</v>
      </c>
      <c r="E71" s="7">
        <v>815.1</v>
      </c>
      <c r="F71">
        <v>1905479</v>
      </c>
      <c r="G71" s="8">
        <f t="shared" si="10"/>
        <v>818.31666666666661</v>
      </c>
      <c r="H71" s="9">
        <f t="shared" si="11"/>
        <v>1559285223.6833332</v>
      </c>
      <c r="I71" s="9">
        <f t="shared" si="9"/>
        <v>17081118516.833332</v>
      </c>
      <c r="J71" s="9">
        <f t="shared" si="4"/>
        <v>21199675</v>
      </c>
      <c r="K71" s="21">
        <f t="shared" si="5"/>
        <v>805.72548951025578</v>
      </c>
      <c r="L71" s="4" t="str">
        <f t="shared" si="2"/>
        <v>BUY</v>
      </c>
      <c r="M71" s="4">
        <f t="shared" si="6"/>
        <v>0</v>
      </c>
      <c r="N71" s="4">
        <f t="shared" si="3"/>
        <v>1</v>
      </c>
      <c r="O71" s="4">
        <f t="shared" si="7"/>
        <v>820.85</v>
      </c>
      <c r="P71" s="4">
        <f t="shared" si="8"/>
        <v>0</v>
      </c>
    </row>
    <row r="72" spans="1:16" x14ac:dyDescent="0.25">
      <c r="A72" s="1">
        <v>41376</v>
      </c>
      <c r="B72">
        <v>810</v>
      </c>
      <c r="C72">
        <v>825</v>
      </c>
      <c r="D72">
        <v>800.75</v>
      </c>
      <c r="E72" s="7">
        <v>811.95</v>
      </c>
      <c r="F72">
        <v>3473852</v>
      </c>
      <c r="G72" s="8">
        <f t="shared" si="10"/>
        <v>812.56666666666661</v>
      </c>
      <c r="H72" s="9">
        <f t="shared" si="11"/>
        <v>2822736340.1333332</v>
      </c>
      <c r="I72" s="9">
        <f t="shared" si="9"/>
        <v>17591571128.566666</v>
      </c>
      <c r="J72" s="9">
        <f t="shared" si="4"/>
        <v>21782811</v>
      </c>
      <c r="K72" s="21">
        <f t="shared" si="5"/>
        <v>807.58957733079842</v>
      </c>
      <c r="L72" s="4" t="str">
        <f t="shared" si="2"/>
        <v>BUY</v>
      </c>
      <c r="M72" s="4">
        <f t="shared" si="6"/>
        <v>0</v>
      </c>
      <c r="N72" s="4">
        <f t="shared" si="3"/>
        <v>1</v>
      </c>
      <c r="O72" s="4">
        <f t="shared" si="7"/>
        <v>820.85</v>
      </c>
      <c r="P72" s="4">
        <f t="shared" si="8"/>
        <v>0</v>
      </c>
    </row>
    <row r="73" spans="1:16" x14ac:dyDescent="0.25">
      <c r="A73" s="1">
        <v>41379</v>
      </c>
      <c r="B73">
        <v>825</v>
      </c>
      <c r="C73">
        <v>832.65</v>
      </c>
      <c r="D73">
        <v>787</v>
      </c>
      <c r="E73" s="7">
        <v>789.5</v>
      </c>
      <c r="F73">
        <v>6008493</v>
      </c>
      <c r="G73" s="8">
        <f t="shared" si="10"/>
        <v>803.05000000000007</v>
      </c>
      <c r="H73" s="9">
        <f t="shared" si="11"/>
        <v>4825120303.6500006</v>
      </c>
      <c r="I73" s="9">
        <f t="shared" si="9"/>
        <v>21206151034.616665</v>
      </c>
      <c r="J73" s="9">
        <f t="shared" si="4"/>
        <v>26290386</v>
      </c>
      <c r="K73" s="21">
        <f t="shared" si="5"/>
        <v>806.61238806522908</v>
      </c>
      <c r="L73" s="4" t="str">
        <f t="shared" si="2"/>
        <v>SELL</v>
      </c>
      <c r="M73" s="4" t="str">
        <f t="shared" si="6"/>
        <v>SELL</v>
      </c>
      <c r="N73" s="4">
        <f t="shared" si="3"/>
        <v>-1</v>
      </c>
      <c r="O73" s="4">
        <f t="shared" si="7"/>
        <v>789.5</v>
      </c>
      <c r="P73" s="4">
        <f t="shared" si="8"/>
        <v>-3.8192117926539593E-2</v>
      </c>
    </row>
    <row r="74" spans="1:16" x14ac:dyDescent="0.25">
      <c r="A74" s="1">
        <v>41380</v>
      </c>
      <c r="B74">
        <v>795</v>
      </c>
      <c r="C74">
        <v>799</v>
      </c>
      <c r="D74">
        <v>780.25</v>
      </c>
      <c r="E74" s="7">
        <v>785</v>
      </c>
      <c r="F74">
        <v>3553745</v>
      </c>
      <c r="G74" s="8">
        <f t="shared" si="10"/>
        <v>788.08333333333337</v>
      </c>
      <c r="H74" s="9">
        <f t="shared" si="11"/>
        <v>2800647205.416667</v>
      </c>
      <c r="I74" s="9">
        <f t="shared" si="9"/>
        <v>22527641316.933334</v>
      </c>
      <c r="J74" s="9">
        <f t="shared" si="4"/>
        <v>27992948</v>
      </c>
      <c r="K74" s="21">
        <f t="shared" si="5"/>
        <v>804.76130334444713</v>
      </c>
      <c r="L74" s="4" t="str">
        <f t="shared" si="2"/>
        <v>SELL</v>
      </c>
      <c r="M74" s="4">
        <f t="shared" si="6"/>
        <v>0</v>
      </c>
      <c r="N74" s="4">
        <f t="shared" si="3"/>
        <v>-1</v>
      </c>
      <c r="O74" s="4">
        <f t="shared" si="7"/>
        <v>789.5</v>
      </c>
      <c r="P74" s="4">
        <f t="shared" si="8"/>
        <v>0</v>
      </c>
    </row>
    <row r="75" spans="1:16" x14ac:dyDescent="0.25">
      <c r="A75" s="1">
        <v>41381</v>
      </c>
      <c r="B75">
        <v>789.1</v>
      </c>
      <c r="C75">
        <v>793.65</v>
      </c>
      <c r="D75">
        <v>781</v>
      </c>
      <c r="E75" s="7">
        <v>785.95</v>
      </c>
      <c r="F75">
        <v>2375558</v>
      </c>
      <c r="G75" s="8">
        <f t="shared" si="10"/>
        <v>786.86666666666679</v>
      </c>
      <c r="H75" s="9">
        <f t="shared" si="11"/>
        <v>1869247404.9333336</v>
      </c>
      <c r="I75" s="9">
        <f t="shared" si="9"/>
        <v>23193013819.266666</v>
      </c>
      <c r="J75" s="9">
        <f t="shared" si="4"/>
        <v>28856227</v>
      </c>
      <c r="K75" s="21">
        <f t="shared" si="5"/>
        <v>803.74380958628672</v>
      </c>
      <c r="L75" s="4" t="str">
        <f t="shared" ref="L75:L138" si="12">IF(E75&gt;K75,"BUY",IF(E75&lt;K75,"SELL",0))</f>
        <v>SELL</v>
      </c>
      <c r="M75" s="4">
        <f t="shared" si="6"/>
        <v>0</v>
      </c>
      <c r="N75" s="4">
        <f t="shared" ref="N75:N138" si="13">IF(M75="BUY",1,IF(M75="SELL",-1,N74))</f>
        <v>-1</v>
      </c>
      <c r="O75" s="4">
        <f t="shared" si="7"/>
        <v>789.5</v>
      </c>
      <c r="P75" s="4">
        <f t="shared" si="8"/>
        <v>0</v>
      </c>
    </row>
    <row r="76" spans="1:16" x14ac:dyDescent="0.25">
      <c r="A76" s="1">
        <v>41382</v>
      </c>
      <c r="B76">
        <v>788.05</v>
      </c>
      <c r="C76">
        <v>792</v>
      </c>
      <c r="D76">
        <v>777.5</v>
      </c>
      <c r="E76" s="7">
        <v>780.2</v>
      </c>
      <c r="F76">
        <v>2153034</v>
      </c>
      <c r="G76" s="8">
        <f t="shared" si="10"/>
        <v>783.23333333333323</v>
      </c>
      <c r="H76" s="9">
        <f t="shared" si="11"/>
        <v>1686327996.5999999</v>
      </c>
      <c r="I76" s="9">
        <f t="shared" ref="I76:I139" si="14">SUM(H67:H76)</f>
        <v>23083851288.516666</v>
      </c>
      <c r="J76" s="9">
        <f t="shared" ref="J76:J139" si="15">SUM(F67:F76)</f>
        <v>28762042</v>
      </c>
      <c r="K76" s="21">
        <f t="shared" ref="K76:K139" si="16">I76/J76</f>
        <v>802.58040401014182</v>
      </c>
      <c r="L76" s="4" t="str">
        <f t="shared" si="12"/>
        <v>SELL</v>
      </c>
      <c r="M76" s="4">
        <f t="shared" ref="M76:M139" si="17">IF(L76&lt;&gt;L75,L76,0)</f>
        <v>0</v>
      </c>
      <c r="N76" s="4">
        <f t="shared" si="13"/>
        <v>-1</v>
      </c>
      <c r="O76" s="4">
        <f t="shared" ref="O76:O139" si="18">IF(M76&lt;&gt;0,E76,O75)</f>
        <v>789.5</v>
      </c>
      <c r="P76" s="4">
        <f t="shared" ref="P76:P139" si="19">IF(M76="BUY",(O75-O76)/O75,IF(M76="SELL",(O76-O75)/O75,0))</f>
        <v>0</v>
      </c>
    </row>
    <row r="77" spans="1:16" x14ac:dyDescent="0.25">
      <c r="A77" s="1">
        <v>41383</v>
      </c>
      <c r="B77">
        <v>786</v>
      </c>
      <c r="C77">
        <v>791</v>
      </c>
      <c r="D77">
        <v>780.2</v>
      </c>
      <c r="E77" s="7">
        <v>785.1</v>
      </c>
      <c r="F77">
        <v>1256274</v>
      </c>
      <c r="G77" s="8">
        <f t="shared" si="10"/>
        <v>785.43333333333339</v>
      </c>
      <c r="H77" s="9">
        <f t="shared" si="11"/>
        <v>986719475.4000001</v>
      </c>
      <c r="I77" s="9">
        <f t="shared" si="14"/>
        <v>22869527738.416668</v>
      </c>
      <c r="J77" s="9">
        <f t="shared" si="15"/>
        <v>28509310</v>
      </c>
      <c r="K77" s="21">
        <f t="shared" si="16"/>
        <v>802.177525110803</v>
      </c>
      <c r="L77" s="4" t="str">
        <f t="shared" si="12"/>
        <v>SELL</v>
      </c>
      <c r="M77" s="4">
        <f t="shared" si="17"/>
        <v>0</v>
      </c>
      <c r="N77" s="4">
        <f t="shared" si="13"/>
        <v>-1</v>
      </c>
      <c r="O77" s="4">
        <f t="shared" si="18"/>
        <v>789.5</v>
      </c>
      <c r="P77" s="4">
        <f t="shared" si="19"/>
        <v>0</v>
      </c>
    </row>
    <row r="78" spans="1:16" x14ac:dyDescent="0.25">
      <c r="A78" s="1">
        <v>41386</v>
      </c>
      <c r="B78">
        <v>785.95</v>
      </c>
      <c r="C78">
        <v>789.9</v>
      </c>
      <c r="D78">
        <v>781.05</v>
      </c>
      <c r="E78" s="7">
        <v>787.3</v>
      </c>
      <c r="F78">
        <v>1310617</v>
      </c>
      <c r="G78" s="8">
        <f t="shared" si="10"/>
        <v>786.08333333333337</v>
      </c>
      <c r="H78" s="9">
        <f t="shared" si="11"/>
        <v>1030254180.0833334</v>
      </c>
      <c r="I78" s="9">
        <f t="shared" si="14"/>
        <v>22757473219.76667</v>
      </c>
      <c r="J78" s="9">
        <f t="shared" si="15"/>
        <v>28384986</v>
      </c>
      <c r="K78" s="21">
        <f t="shared" si="16"/>
        <v>801.74333077940116</v>
      </c>
      <c r="L78" s="4" t="str">
        <f t="shared" si="12"/>
        <v>SELL</v>
      </c>
      <c r="M78" s="4">
        <f t="shared" si="17"/>
        <v>0</v>
      </c>
      <c r="N78" s="4">
        <f t="shared" si="13"/>
        <v>-1</v>
      </c>
      <c r="O78" s="4">
        <f t="shared" si="18"/>
        <v>789.5</v>
      </c>
      <c r="P78" s="4">
        <f t="shared" si="19"/>
        <v>0</v>
      </c>
    </row>
    <row r="79" spans="1:16" x14ac:dyDescent="0.25">
      <c r="A79" s="1">
        <v>41387</v>
      </c>
      <c r="B79">
        <v>780</v>
      </c>
      <c r="C79">
        <v>783.95</v>
      </c>
      <c r="D79">
        <v>765</v>
      </c>
      <c r="E79" s="7">
        <v>770.3</v>
      </c>
      <c r="F79">
        <v>1200191</v>
      </c>
      <c r="G79" s="8">
        <f t="shared" si="10"/>
        <v>773.08333333333337</v>
      </c>
      <c r="H79" s="9">
        <f t="shared" si="11"/>
        <v>927847658.91666675</v>
      </c>
      <c r="I79" s="9">
        <f t="shared" si="14"/>
        <v>20278668341.950001</v>
      </c>
      <c r="J79" s="9">
        <f t="shared" si="15"/>
        <v>25382719</v>
      </c>
      <c r="K79" s="21">
        <f t="shared" si="16"/>
        <v>798.91631554326398</v>
      </c>
      <c r="L79" s="4" t="str">
        <f t="shared" si="12"/>
        <v>SELL</v>
      </c>
      <c r="M79" s="4">
        <f t="shared" si="17"/>
        <v>0</v>
      </c>
      <c r="N79" s="4">
        <f t="shared" si="13"/>
        <v>-1</v>
      </c>
      <c r="O79" s="4">
        <f t="shared" si="18"/>
        <v>789.5</v>
      </c>
      <c r="P79" s="4">
        <f t="shared" si="19"/>
        <v>0</v>
      </c>
    </row>
    <row r="80" spans="1:16" x14ac:dyDescent="0.25">
      <c r="A80" s="1">
        <v>41388</v>
      </c>
      <c r="B80">
        <v>775.1</v>
      </c>
      <c r="C80">
        <v>775.25</v>
      </c>
      <c r="D80">
        <v>755.6</v>
      </c>
      <c r="E80" s="7">
        <v>759.75</v>
      </c>
      <c r="F80">
        <v>2311482</v>
      </c>
      <c r="G80" s="8">
        <f t="shared" si="10"/>
        <v>763.5333333333333</v>
      </c>
      <c r="H80" s="9">
        <f t="shared" si="11"/>
        <v>1764893556.3999999</v>
      </c>
      <c r="I80" s="9">
        <f t="shared" si="14"/>
        <v>20273079345.216671</v>
      </c>
      <c r="J80" s="9">
        <f t="shared" si="15"/>
        <v>25548725</v>
      </c>
      <c r="K80" s="21">
        <f t="shared" si="16"/>
        <v>793.50649964789523</v>
      </c>
      <c r="L80" s="4" t="str">
        <f t="shared" si="12"/>
        <v>SELL</v>
      </c>
      <c r="M80" s="4">
        <f t="shared" si="17"/>
        <v>0</v>
      </c>
      <c r="N80" s="4">
        <f t="shared" si="13"/>
        <v>-1</v>
      </c>
      <c r="O80" s="4">
        <f t="shared" si="18"/>
        <v>789.5</v>
      </c>
      <c r="P80" s="4">
        <f t="shared" si="19"/>
        <v>0</v>
      </c>
    </row>
    <row r="81" spans="1:16" x14ac:dyDescent="0.25">
      <c r="A81" s="1">
        <v>41389</v>
      </c>
      <c r="B81">
        <v>765</v>
      </c>
      <c r="C81">
        <v>772.8</v>
      </c>
      <c r="D81">
        <v>762.55</v>
      </c>
      <c r="E81" s="7">
        <v>765.4</v>
      </c>
      <c r="F81">
        <v>1845112</v>
      </c>
      <c r="G81" s="8">
        <f t="shared" si="10"/>
        <v>766.91666666666663</v>
      </c>
      <c r="H81" s="9">
        <f t="shared" si="11"/>
        <v>1415047144.6666665</v>
      </c>
      <c r="I81" s="9">
        <f t="shared" si="14"/>
        <v>20128841266.200005</v>
      </c>
      <c r="J81" s="9">
        <f t="shared" si="15"/>
        <v>25488358</v>
      </c>
      <c r="K81" s="21">
        <f t="shared" si="16"/>
        <v>789.72687319442093</v>
      </c>
      <c r="L81" s="4" t="str">
        <f t="shared" si="12"/>
        <v>SELL</v>
      </c>
      <c r="M81" s="4">
        <f t="shared" si="17"/>
        <v>0</v>
      </c>
      <c r="N81" s="4">
        <f t="shared" si="13"/>
        <v>-1</v>
      </c>
      <c r="O81" s="4">
        <f t="shared" si="18"/>
        <v>789.5</v>
      </c>
      <c r="P81" s="4">
        <f t="shared" si="19"/>
        <v>0</v>
      </c>
    </row>
    <row r="82" spans="1:16" x14ac:dyDescent="0.25">
      <c r="A82" s="1">
        <v>41390</v>
      </c>
      <c r="B82">
        <v>761.25</v>
      </c>
      <c r="C82">
        <v>771.4</v>
      </c>
      <c r="D82">
        <v>754.1</v>
      </c>
      <c r="E82" s="7">
        <v>766.8</v>
      </c>
      <c r="F82">
        <v>1208280</v>
      </c>
      <c r="G82" s="8">
        <f t="shared" si="10"/>
        <v>764.1</v>
      </c>
      <c r="H82" s="9">
        <f t="shared" si="11"/>
        <v>923246748</v>
      </c>
      <c r="I82" s="9">
        <f t="shared" si="14"/>
        <v>18229351674.066669</v>
      </c>
      <c r="J82" s="9">
        <f t="shared" si="15"/>
        <v>23222786</v>
      </c>
      <c r="K82" s="21">
        <f t="shared" si="16"/>
        <v>784.97694781610915</v>
      </c>
      <c r="L82" s="4" t="str">
        <f t="shared" si="12"/>
        <v>SELL</v>
      </c>
      <c r="M82" s="4">
        <f t="shared" si="17"/>
        <v>0</v>
      </c>
      <c r="N82" s="4">
        <f t="shared" si="13"/>
        <v>-1</v>
      </c>
      <c r="O82" s="4">
        <f t="shared" si="18"/>
        <v>789.5</v>
      </c>
      <c r="P82" s="4">
        <f t="shared" si="19"/>
        <v>0</v>
      </c>
    </row>
    <row r="83" spans="1:16" x14ac:dyDescent="0.25">
      <c r="A83" s="1">
        <v>41393</v>
      </c>
      <c r="B83">
        <v>774.85</v>
      </c>
      <c r="C83">
        <v>774.85</v>
      </c>
      <c r="D83">
        <v>756.8</v>
      </c>
      <c r="E83" s="7">
        <v>761</v>
      </c>
      <c r="F83">
        <v>1448014</v>
      </c>
      <c r="G83" s="8">
        <f t="shared" si="10"/>
        <v>764.2166666666667</v>
      </c>
      <c r="H83" s="9">
        <f t="shared" si="11"/>
        <v>1106596432.3666668</v>
      </c>
      <c r="I83" s="9">
        <f t="shared" si="14"/>
        <v>14510827802.783333</v>
      </c>
      <c r="J83" s="9">
        <f t="shared" si="15"/>
        <v>18662307</v>
      </c>
      <c r="K83" s="21">
        <f t="shared" si="16"/>
        <v>777.54737411528663</v>
      </c>
      <c r="L83" s="4" t="str">
        <f t="shared" si="12"/>
        <v>SELL</v>
      </c>
      <c r="M83" s="4">
        <f t="shared" si="17"/>
        <v>0</v>
      </c>
      <c r="N83" s="4">
        <f t="shared" si="13"/>
        <v>-1</v>
      </c>
      <c r="O83" s="4">
        <f t="shared" si="18"/>
        <v>789.5</v>
      </c>
      <c r="P83" s="4">
        <f t="shared" si="19"/>
        <v>0</v>
      </c>
    </row>
    <row r="84" spans="1:16" x14ac:dyDescent="0.25">
      <c r="A84" s="1">
        <v>41394</v>
      </c>
      <c r="B84">
        <v>750</v>
      </c>
      <c r="C84">
        <v>768</v>
      </c>
      <c r="D84">
        <v>740.15</v>
      </c>
      <c r="E84" s="7">
        <v>765.75</v>
      </c>
      <c r="F84">
        <v>2185615</v>
      </c>
      <c r="G84" s="8">
        <f t="shared" si="10"/>
        <v>757.9666666666667</v>
      </c>
      <c r="H84" s="9">
        <f t="shared" si="11"/>
        <v>1656623316.1666667</v>
      </c>
      <c r="I84" s="9">
        <f t="shared" si="14"/>
        <v>13366803913.533333</v>
      </c>
      <c r="J84" s="9">
        <f t="shared" si="15"/>
        <v>17294177</v>
      </c>
      <c r="K84" s="21">
        <f t="shared" si="16"/>
        <v>772.90777777591461</v>
      </c>
      <c r="L84" s="4" t="str">
        <f t="shared" si="12"/>
        <v>SELL</v>
      </c>
      <c r="M84" s="4">
        <f t="shared" si="17"/>
        <v>0</v>
      </c>
      <c r="N84" s="4">
        <f t="shared" si="13"/>
        <v>-1</v>
      </c>
      <c r="O84" s="4">
        <f t="shared" si="18"/>
        <v>789.5</v>
      </c>
      <c r="P84" s="4">
        <f t="shared" si="19"/>
        <v>0</v>
      </c>
    </row>
    <row r="85" spans="1:16" x14ac:dyDescent="0.25">
      <c r="A85" s="1">
        <v>41395</v>
      </c>
      <c r="B85">
        <v>767.95</v>
      </c>
      <c r="C85">
        <v>770.9</v>
      </c>
      <c r="D85">
        <v>759.2</v>
      </c>
      <c r="E85" s="7">
        <v>767.1</v>
      </c>
      <c r="F85">
        <v>1290436</v>
      </c>
      <c r="G85" s="8">
        <f t="shared" si="10"/>
        <v>765.73333333333323</v>
      </c>
      <c r="H85" s="9">
        <f t="shared" si="11"/>
        <v>988129859.73333323</v>
      </c>
      <c r="I85" s="9">
        <f t="shared" si="14"/>
        <v>12485686368.333332</v>
      </c>
      <c r="J85" s="9">
        <f t="shared" si="15"/>
        <v>16209055</v>
      </c>
      <c r="K85" s="21">
        <f t="shared" si="16"/>
        <v>770.29082622850819</v>
      </c>
      <c r="L85" s="4" t="str">
        <f t="shared" si="12"/>
        <v>SELL</v>
      </c>
      <c r="M85" s="4">
        <f t="shared" si="17"/>
        <v>0</v>
      </c>
      <c r="N85" s="4">
        <f t="shared" si="13"/>
        <v>-1</v>
      </c>
      <c r="O85" s="4">
        <f t="shared" si="18"/>
        <v>789.5</v>
      </c>
      <c r="P85" s="4">
        <f t="shared" si="19"/>
        <v>0</v>
      </c>
    </row>
    <row r="86" spans="1:16" x14ac:dyDescent="0.25">
      <c r="A86" s="1">
        <v>41396</v>
      </c>
      <c r="B86">
        <v>757</v>
      </c>
      <c r="C86">
        <v>762.6</v>
      </c>
      <c r="D86">
        <v>735</v>
      </c>
      <c r="E86" s="7">
        <v>741.4</v>
      </c>
      <c r="F86">
        <v>2133576</v>
      </c>
      <c r="G86" s="8">
        <f t="shared" si="10"/>
        <v>746.33333333333337</v>
      </c>
      <c r="H86" s="9">
        <f t="shared" si="11"/>
        <v>1592358888</v>
      </c>
      <c r="I86" s="9">
        <f t="shared" si="14"/>
        <v>12391717259.733334</v>
      </c>
      <c r="J86" s="9">
        <f t="shared" si="15"/>
        <v>16189597</v>
      </c>
      <c r="K86" s="21">
        <f t="shared" si="16"/>
        <v>765.41233606576702</v>
      </c>
      <c r="L86" s="4" t="str">
        <f t="shared" si="12"/>
        <v>SELL</v>
      </c>
      <c r="M86" s="4">
        <f t="shared" si="17"/>
        <v>0</v>
      </c>
      <c r="N86" s="4">
        <f t="shared" si="13"/>
        <v>-1</v>
      </c>
      <c r="O86" s="4">
        <f t="shared" si="18"/>
        <v>789.5</v>
      </c>
      <c r="P86" s="4">
        <f t="shared" si="19"/>
        <v>0</v>
      </c>
    </row>
    <row r="87" spans="1:16" x14ac:dyDescent="0.25">
      <c r="A87" s="1">
        <v>41397</v>
      </c>
      <c r="B87">
        <v>760</v>
      </c>
      <c r="C87">
        <v>843</v>
      </c>
      <c r="D87">
        <v>745</v>
      </c>
      <c r="E87" s="7">
        <v>770.25</v>
      </c>
      <c r="F87">
        <v>1163907</v>
      </c>
      <c r="G87" s="8">
        <f t="shared" si="10"/>
        <v>786.08333333333337</v>
      </c>
      <c r="H87" s="9">
        <f t="shared" si="11"/>
        <v>914927894.25</v>
      </c>
      <c r="I87" s="9">
        <f t="shared" si="14"/>
        <v>12319925678.583332</v>
      </c>
      <c r="J87" s="9">
        <f t="shared" si="15"/>
        <v>16097230</v>
      </c>
      <c r="K87" s="21">
        <f t="shared" si="16"/>
        <v>765.34445234262864</v>
      </c>
      <c r="L87" s="4" t="str">
        <f t="shared" si="12"/>
        <v>BUY</v>
      </c>
      <c r="M87" s="4" t="str">
        <f t="shared" si="17"/>
        <v>BUY</v>
      </c>
      <c r="N87" s="4">
        <f t="shared" si="13"/>
        <v>1</v>
      </c>
      <c r="O87" s="4">
        <f t="shared" si="18"/>
        <v>770.25</v>
      </c>
      <c r="P87" s="4">
        <f t="shared" si="19"/>
        <v>2.4382520582647244E-2</v>
      </c>
    </row>
    <row r="88" spans="1:16" x14ac:dyDescent="0.25">
      <c r="A88" s="1">
        <v>41400</v>
      </c>
      <c r="B88">
        <v>775</v>
      </c>
      <c r="C88">
        <v>779</v>
      </c>
      <c r="D88">
        <v>753.9</v>
      </c>
      <c r="E88" s="7">
        <v>756.3</v>
      </c>
      <c r="F88">
        <v>675644</v>
      </c>
      <c r="G88" s="8">
        <f t="shared" si="10"/>
        <v>763.06666666666661</v>
      </c>
      <c r="H88" s="9">
        <f t="shared" si="11"/>
        <v>515561414.93333328</v>
      </c>
      <c r="I88" s="9">
        <f t="shared" si="14"/>
        <v>11805232913.433332</v>
      </c>
      <c r="J88" s="9">
        <f t="shared" si="15"/>
        <v>15462257</v>
      </c>
      <c r="K88" s="21">
        <f t="shared" si="16"/>
        <v>763.4870454832909</v>
      </c>
      <c r="L88" s="4" t="str">
        <f t="shared" si="12"/>
        <v>SELL</v>
      </c>
      <c r="M88" s="4" t="str">
        <f t="shared" si="17"/>
        <v>SELL</v>
      </c>
      <c r="N88" s="4">
        <f t="shared" si="13"/>
        <v>-1</v>
      </c>
      <c r="O88" s="4">
        <f t="shared" si="18"/>
        <v>756.3</v>
      </c>
      <c r="P88" s="4">
        <f t="shared" si="19"/>
        <v>-1.8111002921129563E-2</v>
      </c>
    </row>
    <row r="89" spans="1:16" x14ac:dyDescent="0.25">
      <c r="A89" s="1">
        <v>41401</v>
      </c>
      <c r="B89">
        <v>757</v>
      </c>
      <c r="C89">
        <v>767.95</v>
      </c>
      <c r="D89">
        <v>751.1</v>
      </c>
      <c r="E89" s="7">
        <v>759.45</v>
      </c>
      <c r="F89">
        <v>1370038</v>
      </c>
      <c r="G89" s="8">
        <f t="shared" si="10"/>
        <v>759.5</v>
      </c>
      <c r="H89" s="9">
        <f t="shared" si="11"/>
        <v>1040543861</v>
      </c>
      <c r="I89" s="9">
        <f t="shared" si="14"/>
        <v>11917929115.516666</v>
      </c>
      <c r="J89" s="9">
        <f t="shared" si="15"/>
        <v>15632104</v>
      </c>
      <c r="K89" s="21">
        <f t="shared" si="16"/>
        <v>762.40083327981097</v>
      </c>
      <c r="L89" s="4" t="str">
        <f t="shared" si="12"/>
        <v>SELL</v>
      </c>
      <c r="M89" s="4">
        <f t="shared" si="17"/>
        <v>0</v>
      </c>
      <c r="N89" s="4">
        <f t="shared" si="13"/>
        <v>-1</v>
      </c>
      <c r="O89" s="4">
        <f t="shared" si="18"/>
        <v>756.3</v>
      </c>
      <c r="P89" s="4">
        <f t="shared" si="19"/>
        <v>0</v>
      </c>
    </row>
    <row r="90" spans="1:16" x14ac:dyDescent="0.25">
      <c r="A90" s="1">
        <v>41402</v>
      </c>
      <c r="B90">
        <v>765.1</v>
      </c>
      <c r="C90">
        <v>773.2</v>
      </c>
      <c r="D90">
        <v>761.45</v>
      </c>
      <c r="E90" s="7">
        <v>765.6</v>
      </c>
      <c r="F90">
        <v>660726</v>
      </c>
      <c r="G90" s="8">
        <f t="shared" si="10"/>
        <v>766.75</v>
      </c>
      <c r="H90" s="9">
        <f t="shared" si="11"/>
        <v>506611660.5</v>
      </c>
      <c r="I90" s="9">
        <f t="shared" si="14"/>
        <v>10659647219.616667</v>
      </c>
      <c r="J90" s="9">
        <f t="shared" si="15"/>
        <v>13981348</v>
      </c>
      <c r="K90" s="21">
        <f t="shared" si="16"/>
        <v>762.41913294888786</v>
      </c>
      <c r="L90" s="4" t="str">
        <f t="shared" si="12"/>
        <v>BUY</v>
      </c>
      <c r="M90" s="4" t="str">
        <f t="shared" si="17"/>
        <v>BUY</v>
      </c>
      <c r="N90" s="4">
        <f t="shared" si="13"/>
        <v>1</v>
      </c>
      <c r="O90" s="4">
        <f t="shared" si="18"/>
        <v>765.6</v>
      </c>
      <c r="P90" s="4">
        <f t="shared" si="19"/>
        <v>-1.2296707655692277E-2</v>
      </c>
    </row>
    <row r="91" spans="1:16" x14ac:dyDescent="0.25">
      <c r="A91" s="1">
        <v>41403</v>
      </c>
      <c r="B91">
        <v>766</v>
      </c>
      <c r="C91">
        <v>777</v>
      </c>
      <c r="D91">
        <v>755</v>
      </c>
      <c r="E91" s="7">
        <v>763.85</v>
      </c>
      <c r="F91">
        <v>1013498</v>
      </c>
      <c r="G91" s="8">
        <f t="shared" si="10"/>
        <v>765.2833333333333</v>
      </c>
      <c r="H91" s="9">
        <f t="shared" si="11"/>
        <v>775613127.76666665</v>
      </c>
      <c r="I91" s="9">
        <f t="shared" si="14"/>
        <v>10020213202.716667</v>
      </c>
      <c r="J91" s="9">
        <f t="shared" si="15"/>
        <v>13149734</v>
      </c>
      <c r="K91" s="21">
        <f t="shared" si="16"/>
        <v>762.00881346471851</v>
      </c>
      <c r="L91" s="4" t="str">
        <f t="shared" si="12"/>
        <v>BUY</v>
      </c>
      <c r="M91" s="4">
        <f t="shared" si="17"/>
        <v>0</v>
      </c>
      <c r="N91" s="4">
        <f t="shared" si="13"/>
        <v>1</v>
      </c>
      <c r="O91" s="4">
        <f t="shared" si="18"/>
        <v>765.6</v>
      </c>
      <c r="P91" s="4">
        <f t="shared" si="19"/>
        <v>0</v>
      </c>
    </row>
    <row r="92" spans="1:16" x14ac:dyDescent="0.25">
      <c r="A92" s="1">
        <v>41404</v>
      </c>
      <c r="B92">
        <v>774.95</v>
      </c>
      <c r="C92">
        <v>774.95</v>
      </c>
      <c r="D92">
        <v>734.1</v>
      </c>
      <c r="E92" s="7">
        <v>745.75</v>
      </c>
      <c r="F92">
        <v>1861025</v>
      </c>
      <c r="G92" s="8">
        <f t="shared" si="10"/>
        <v>751.6</v>
      </c>
      <c r="H92" s="9">
        <f t="shared" si="11"/>
        <v>1398746390</v>
      </c>
      <c r="I92" s="9">
        <f t="shared" si="14"/>
        <v>10495712844.716667</v>
      </c>
      <c r="J92" s="9">
        <f t="shared" si="15"/>
        <v>13802479</v>
      </c>
      <c r="K92" s="21">
        <f t="shared" si="16"/>
        <v>760.42230129215682</v>
      </c>
      <c r="L92" s="4" t="str">
        <f t="shared" si="12"/>
        <v>SELL</v>
      </c>
      <c r="M92" s="4" t="str">
        <f t="shared" si="17"/>
        <v>SELL</v>
      </c>
      <c r="N92" s="4">
        <f t="shared" si="13"/>
        <v>-1</v>
      </c>
      <c r="O92" s="4">
        <f t="shared" si="18"/>
        <v>745.75</v>
      </c>
      <c r="P92" s="4">
        <f t="shared" si="19"/>
        <v>-2.5927377220480698E-2</v>
      </c>
    </row>
    <row r="93" spans="1:16" x14ac:dyDescent="0.25">
      <c r="A93" s="1">
        <v>41407</v>
      </c>
      <c r="B93">
        <v>746</v>
      </c>
      <c r="C93">
        <v>746</v>
      </c>
      <c r="D93">
        <v>726.3</v>
      </c>
      <c r="E93" s="7">
        <v>735.1</v>
      </c>
      <c r="F93">
        <v>1599590</v>
      </c>
      <c r="G93" s="8">
        <f t="shared" si="10"/>
        <v>735.80000000000007</v>
      </c>
      <c r="H93" s="9">
        <f t="shared" si="11"/>
        <v>1176978322</v>
      </c>
      <c r="I93" s="9">
        <f t="shared" si="14"/>
        <v>10566094734.349998</v>
      </c>
      <c r="J93" s="9">
        <f t="shared" si="15"/>
        <v>13954055</v>
      </c>
      <c r="K93" s="21">
        <f t="shared" si="16"/>
        <v>757.20604041979186</v>
      </c>
      <c r="L93" s="4" t="str">
        <f t="shared" si="12"/>
        <v>SELL</v>
      </c>
      <c r="M93" s="4">
        <f t="shared" si="17"/>
        <v>0</v>
      </c>
      <c r="N93" s="4">
        <f t="shared" si="13"/>
        <v>-1</v>
      </c>
      <c r="O93" s="4">
        <f t="shared" si="18"/>
        <v>745.75</v>
      </c>
      <c r="P93" s="4">
        <f t="shared" si="19"/>
        <v>0</v>
      </c>
    </row>
    <row r="94" spans="1:16" x14ac:dyDescent="0.25">
      <c r="A94" s="1">
        <v>41408</v>
      </c>
      <c r="B94">
        <v>730</v>
      </c>
      <c r="C94">
        <v>733</v>
      </c>
      <c r="D94">
        <v>716.3</v>
      </c>
      <c r="E94" s="7">
        <v>721.5</v>
      </c>
      <c r="F94">
        <v>1964633</v>
      </c>
      <c r="G94" s="8">
        <f t="shared" si="10"/>
        <v>723.6</v>
      </c>
      <c r="H94" s="9">
        <f t="shared" si="11"/>
        <v>1421608438.8</v>
      </c>
      <c r="I94" s="9">
        <f t="shared" si="14"/>
        <v>10331079856.983332</v>
      </c>
      <c r="J94" s="9">
        <f t="shared" si="15"/>
        <v>13733073</v>
      </c>
      <c r="K94" s="21">
        <f t="shared" si="16"/>
        <v>752.27735678557394</v>
      </c>
      <c r="L94" s="4" t="str">
        <f t="shared" si="12"/>
        <v>SELL</v>
      </c>
      <c r="M94" s="4">
        <f t="shared" si="17"/>
        <v>0</v>
      </c>
      <c r="N94" s="4">
        <f t="shared" si="13"/>
        <v>-1</v>
      </c>
      <c r="O94" s="4">
        <f t="shared" si="18"/>
        <v>745.75</v>
      </c>
      <c r="P94" s="4">
        <f t="shared" si="19"/>
        <v>0</v>
      </c>
    </row>
    <row r="95" spans="1:16" x14ac:dyDescent="0.25">
      <c r="A95" s="1">
        <v>41409</v>
      </c>
      <c r="B95">
        <v>729</v>
      </c>
      <c r="C95">
        <v>732.3</v>
      </c>
      <c r="D95">
        <v>716.15</v>
      </c>
      <c r="E95" s="7">
        <v>730</v>
      </c>
      <c r="F95">
        <v>1199046</v>
      </c>
      <c r="G95" s="8">
        <f t="shared" si="10"/>
        <v>726.15</v>
      </c>
      <c r="H95" s="9">
        <f t="shared" si="11"/>
        <v>870687252.89999998</v>
      </c>
      <c r="I95" s="9">
        <f t="shared" si="14"/>
        <v>10213637250.15</v>
      </c>
      <c r="J95" s="9">
        <f t="shared" si="15"/>
        <v>13641683</v>
      </c>
      <c r="K95" s="21">
        <f t="shared" si="16"/>
        <v>748.70800400141241</v>
      </c>
      <c r="L95" s="4" t="str">
        <f t="shared" si="12"/>
        <v>SELL</v>
      </c>
      <c r="M95" s="4">
        <f t="shared" si="17"/>
        <v>0</v>
      </c>
      <c r="N95" s="4">
        <f t="shared" si="13"/>
        <v>-1</v>
      </c>
      <c r="O95" s="4">
        <f t="shared" si="18"/>
        <v>745.75</v>
      </c>
      <c r="P95" s="4">
        <f t="shared" si="19"/>
        <v>0</v>
      </c>
    </row>
    <row r="96" spans="1:16" x14ac:dyDescent="0.25">
      <c r="A96" s="1">
        <v>41410</v>
      </c>
      <c r="B96">
        <v>710</v>
      </c>
      <c r="C96">
        <v>725.9</v>
      </c>
      <c r="D96">
        <v>685.25</v>
      </c>
      <c r="E96" s="7">
        <v>718.7</v>
      </c>
      <c r="F96">
        <v>1337546</v>
      </c>
      <c r="G96" s="8">
        <f t="shared" si="10"/>
        <v>709.95000000000016</v>
      </c>
      <c r="H96" s="9">
        <f t="shared" si="11"/>
        <v>949590782.70000017</v>
      </c>
      <c r="I96" s="9">
        <f t="shared" si="14"/>
        <v>9570869144.8500004</v>
      </c>
      <c r="J96" s="9">
        <f t="shared" si="15"/>
        <v>12845653</v>
      </c>
      <c r="K96" s="21">
        <f t="shared" si="16"/>
        <v>745.06676654351475</v>
      </c>
      <c r="L96" s="4" t="str">
        <f t="shared" si="12"/>
        <v>SELL</v>
      </c>
      <c r="M96" s="4">
        <f t="shared" si="17"/>
        <v>0</v>
      </c>
      <c r="N96" s="4">
        <f t="shared" si="13"/>
        <v>-1</v>
      </c>
      <c r="O96" s="4">
        <f t="shared" si="18"/>
        <v>745.75</v>
      </c>
      <c r="P96" s="4">
        <f t="shared" si="19"/>
        <v>0</v>
      </c>
    </row>
    <row r="97" spans="1:16" x14ac:dyDescent="0.25">
      <c r="A97" s="1">
        <v>41411</v>
      </c>
      <c r="B97">
        <v>725</v>
      </c>
      <c r="C97">
        <v>730</v>
      </c>
      <c r="D97">
        <v>712.7</v>
      </c>
      <c r="E97" s="7">
        <v>717.6</v>
      </c>
      <c r="F97">
        <v>1442714</v>
      </c>
      <c r="G97" s="8">
        <f t="shared" si="10"/>
        <v>720.1</v>
      </c>
      <c r="H97" s="9">
        <f t="shared" si="11"/>
        <v>1038898351.4</v>
      </c>
      <c r="I97" s="9">
        <f t="shared" si="14"/>
        <v>9694839602</v>
      </c>
      <c r="J97" s="9">
        <f t="shared" si="15"/>
        <v>13124460</v>
      </c>
      <c r="K97" s="21">
        <f t="shared" si="16"/>
        <v>738.6848374714084</v>
      </c>
      <c r="L97" s="4" t="str">
        <f t="shared" si="12"/>
        <v>SELL</v>
      </c>
      <c r="M97" s="4">
        <f t="shared" si="17"/>
        <v>0</v>
      </c>
      <c r="N97" s="4">
        <f t="shared" si="13"/>
        <v>-1</v>
      </c>
      <c r="O97" s="4">
        <f t="shared" si="18"/>
        <v>745.75</v>
      </c>
      <c r="P97" s="4">
        <f t="shared" si="19"/>
        <v>0</v>
      </c>
    </row>
    <row r="98" spans="1:16" x14ac:dyDescent="0.25">
      <c r="A98" s="1">
        <v>41414</v>
      </c>
      <c r="B98">
        <v>708</v>
      </c>
      <c r="C98">
        <v>714</v>
      </c>
      <c r="D98">
        <v>691.55</v>
      </c>
      <c r="E98" s="7">
        <v>699.55</v>
      </c>
      <c r="F98">
        <v>1148683</v>
      </c>
      <c r="G98" s="8">
        <f t="shared" si="10"/>
        <v>701.69999999999993</v>
      </c>
      <c r="H98" s="9">
        <f t="shared" si="11"/>
        <v>806030861.0999999</v>
      </c>
      <c r="I98" s="9">
        <f t="shared" si="14"/>
        <v>9985309048.166666</v>
      </c>
      <c r="J98" s="9">
        <f t="shared" si="15"/>
        <v>13597499</v>
      </c>
      <c r="K98" s="21">
        <f t="shared" si="16"/>
        <v>734.34894521166473</v>
      </c>
      <c r="L98" s="4" t="str">
        <f t="shared" si="12"/>
        <v>SELL</v>
      </c>
      <c r="M98" s="4">
        <f t="shared" si="17"/>
        <v>0</v>
      </c>
      <c r="N98" s="4">
        <f t="shared" si="13"/>
        <v>-1</v>
      </c>
      <c r="O98" s="4">
        <f t="shared" si="18"/>
        <v>745.75</v>
      </c>
      <c r="P98" s="4">
        <f t="shared" si="19"/>
        <v>0</v>
      </c>
    </row>
    <row r="99" spans="1:16" x14ac:dyDescent="0.25">
      <c r="A99" s="1">
        <v>41415</v>
      </c>
      <c r="B99">
        <v>708</v>
      </c>
      <c r="C99">
        <v>744.8</v>
      </c>
      <c r="D99">
        <v>704.1</v>
      </c>
      <c r="E99" s="7">
        <v>738</v>
      </c>
      <c r="F99">
        <v>1844732</v>
      </c>
      <c r="G99" s="8">
        <f t="shared" si="10"/>
        <v>728.9666666666667</v>
      </c>
      <c r="H99" s="9">
        <f t="shared" si="11"/>
        <v>1344748136.9333334</v>
      </c>
      <c r="I99" s="9">
        <f t="shared" si="14"/>
        <v>10289513324.099998</v>
      </c>
      <c r="J99" s="9">
        <f t="shared" si="15"/>
        <v>14072193</v>
      </c>
      <c r="K99" s="21">
        <f t="shared" si="16"/>
        <v>731.19472736765329</v>
      </c>
      <c r="L99" s="4" t="str">
        <f t="shared" si="12"/>
        <v>BUY</v>
      </c>
      <c r="M99" s="4" t="str">
        <f t="shared" si="17"/>
        <v>BUY</v>
      </c>
      <c r="N99" s="4">
        <f t="shared" si="13"/>
        <v>1</v>
      </c>
      <c r="O99" s="4">
        <f t="shared" si="18"/>
        <v>738</v>
      </c>
      <c r="P99" s="4">
        <f t="shared" si="19"/>
        <v>1.0392222594703319E-2</v>
      </c>
    </row>
    <row r="100" spans="1:16" x14ac:dyDescent="0.25">
      <c r="A100" s="1">
        <v>41416</v>
      </c>
      <c r="B100">
        <v>735</v>
      </c>
      <c r="C100">
        <v>749.95</v>
      </c>
      <c r="D100">
        <v>727.2</v>
      </c>
      <c r="E100" s="7">
        <v>741.85</v>
      </c>
      <c r="F100">
        <v>3441936</v>
      </c>
      <c r="G100" s="8">
        <f t="shared" si="10"/>
        <v>739.66666666666663</v>
      </c>
      <c r="H100" s="9">
        <f t="shared" si="11"/>
        <v>2545885328</v>
      </c>
      <c r="I100" s="9">
        <f t="shared" si="14"/>
        <v>12328786991.599998</v>
      </c>
      <c r="J100" s="9">
        <f t="shared" si="15"/>
        <v>16853403</v>
      </c>
      <c r="K100" s="21">
        <f t="shared" si="16"/>
        <v>731.531014335799</v>
      </c>
      <c r="L100" s="4" t="str">
        <f t="shared" si="12"/>
        <v>BUY</v>
      </c>
      <c r="M100" s="4">
        <f t="shared" si="17"/>
        <v>0</v>
      </c>
      <c r="N100" s="4">
        <f t="shared" si="13"/>
        <v>1</v>
      </c>
      <c r="O100" s="4">
        <f t="shared" si="18"/>
        <v>738</v>
      </c>
      <c r="P100" s="4">
        <f t="shared" si="19"/>
        <v>0</v>
      </c>
    </row>
    <row r="101" spans="1:16" x14ac:dyDescent="0.25">
      <c r="A101" s="1">
        <v>41417</v>
      </c>
      <c r="B101">
        <v>749.8</v>
      </c>
      <c r="C101">
        <v>753.5</v>
      </c>
      <c r="D101">
        <v>735.5</v>
      </c>
      <c r="E101" s="7">
        <v>750.8</v>
      </c>
      <c r="F101">
        <v>1239687</v>
      </c>
      <c r="G101" s="8">
        <f t="shared" si="10"/>
        <v>746.6</v>
      </c>
      <c r="H101" s="9">
        <f t="shared" si="11"/>
        <v>925550314.20000005</v>
      </c>
      <c r="I101" s="9">
        <f t="shared" si="14"/>
        <v>12478724178.033333</v>
      </c>
      <c r="J101" s="9">
        <f t="shared" si="15"/>
        <v>17079592</v>
      </c>
      <c r="K101" s="21">
        <f t="shared" si="16"/>
        <v>730.62191286731752</v>
      </c>
      <c r="L101" s="4" t="str">
        <f t="shared" si="12"/>
        <v>BUY</v>
      </c>
      <c r="M101" s="4">
        <f t="shared" si="17"/>
        <v>0</v>
      </c>
      <c r="N101" s="4">
        <f t="shared" si="13"/>
        <v>1</v>
      </c>
      <c r="O101" s="4">
        <f t="shared" si="18"/>
        <v>738</v>
      </c>
      <c r="P101" s="4">
        <f t="shared" si="19"/>
        <v>0</v>
      </c>
    </row>
    <row r="102" spans="1:16" x14ac:dyDescent="0.25">
      <c r="A102" s="1">
        <v>41418</v>
      </c>
      <c r="B102">
        <v>748.5</v>
      </c>
      <c r="C102">
        <v>752.9</v>
      </c>
      <c r="D102">
        <v>738</v>
      </c>
      <c r="E102" s="7">
        <v>743.05</v>
      </c>
      <c r="F102">
        <v>1663830</v>
      </c>
      <c r="G102" s="8">
        <f t="shared" si="10"/>
        <v>744.65</v>
      </c>
      <c r="H102" s="9">
        <f t="shared" si="11"/>
        <v>1238971009.5</v>
      </c>
      <c r="I102" s="9">
        <f t="shared" si="14"/>
        <v>12318948797.533333</v>
      </c>
      <c r="J102" s="9">
        <f t="shared" si="15"/>
        <v>16882397</v>
      </c>
      <c r="K102" s="21">
        <f t="shared" si="16"/>
        <v>729.69192689482031</v>
      </c>
      <c r="L102" s="4" t="str">
        <f t="shared" si="12"/>
        <v>BUY</v>
      </c>
      <c r="M102" s="4">
        <f t="shared" si="17"/>
        <v>0</v>
      </c>
      <c r="N102" s="4">
        <f t="shared" si="13"/>
        <v>1</v>
      </c>
      <c r="O102" s="4">
        <f t="shared" si="18"/>
        <v>738</v>
      </c>
      <c r="P102" s="4">
        <f t="shared" si="19"/>
        <v>0</v>
      </c>
    </row>
    <row r="103" spans="1:16" x14ac:dyDescent="0.25">
      <c r="A103" s="1">
        <v>41421</v>
      </c>
      <c r="B103">
        <v>743.05</v>
      </c>
      <c r="C103">
        <v>751.95</v>
      </c>
      <c r="D103">
        <v>734.7</v>
      </c>
      <c r="E103" s="7">
        <v>739.2</v>
      </c>
      <c r="F103">
        <v>1568456</v>
      </c>
      <c r="G103" s="8">
        <f t="shared" si="10"/>
        <v>741.95000000000016</v>
      </c>
      <c r="H103" s="9">
        <f t="shared" si="11"/>
        <v>1163715929.2000003</v>
      </c>
      <c r="I103" s="9">
        <f t="shared" si="14"/>
        <v>12305686404.733334</v>
      </c>
      <c r="J103" s="9">
        <f t="shared" si="15"/>
        <v>16851263</v>
      </c>
      <c r="K103" s="21">
        <f t="shared" si="16"/>
        <v>730.25306202468823</v>
      </c>
      <c r="L103" s="4" t="str">
        <f t="shared" si="12"/>
        <v>BUY</v>
      </c>
      <c r="M103" s="4">
        <f t="shared" si="17"/>
        <v>0</v>
      </c>
      <c r="N103" s="4">
        <f t="shared" si="13"/>
        <v>1</v>
      </c>
      <c r="O103" s="4">
        <f t="shared" si="18"/>
        <v>738</v>
      </c>
      <c r="P103" s="4">
        <f t="shared" si="19"/>
        <v>0</v>
      </c>
    </row>
    <row r="104" spans="1:16" x14ac:dyDescent="0.25">
      <c r="A104" s="1">
        <v>41422</v>
      </c>
      <c r="B104">
        <v>737.8</v>
      </c>
      <c r="C104">
        <v>759.5</v>
      </c>
      <c r="D104">
        <v>736.3</v>
      </c>
      <c r="E104" s="7">
        <v>754.25</v>
      </c>
      <c r="F104">
        <v>1384665</v>
      </c>
      <c r="G104" s="8">
        <f t="shared" si="10"/>
        <v>750.01666666666677</v>
      </c>
      <c r="H104" s="9">
        <f t="shared" si="11"/>
        <v>1038521827.7500001</v>
      </c>
      <c r="I104" s="9">
        <f t="shared" si="14"/>
        <v>11922599793.683334</v>
      </c>
      <c r="J104" s="9">
        <f t="shared" si="15"/>
        <v>16271295</v>
      </c>
      <c r="K104" s="21">
        <f t="shared" si="16"/>
        <v>732.73822358228608</v>
      </c>
      <c r="L104" s="4" t="str">
        <f t="shared" si="12"/>
        <v>BUY</v>
      </c>
      <c r="M104" s="4">
        <f t="shared" si="17"/>
        <v>0</v>
      </c>
      <c r="N104" s="4">
        <f t="shared" si="13"/>
        <v>1</v>
      </c>
      <c r="O104" s="4">
        <f t="shared" si="18"/>
        <v>738</v>
      </c>
      <c r="P104" s="4">
        <f t="shared" si="19"/>
        <v>0</v>
      </c>
    </row>
    <row r="105" spans="1:16" x14ac:dyDescent="0.25">
      <c r="A105" s="1">
        <v>41423</v>
      </c>
      <c r="B105">
        <v>760</v>
      </c>
      <c r="C105">
        <v>769</v>
      </c>
      <c r="D105">
        <v>745.1</v>
      </c>
      <c r="E105" s="7">
        <v>765.45</v>
      </c>
      <c r="F105">
        <v>842217</v>
      </c>
      <c r="G105" s="8">
        <f t="shared" si="10"/>
        <v>759.85</v>
      </c>
      <c r="H105" s="9">
        <f t="shared" si="11"/>
        <v>639958587.45000005</v>
      </c>
      <c r="I105" s="9">
        <f t="shared" si="14"/>
        <v>11691871128.233334</v>
      </c>
      <c r="J105" s="9">
        <f t="shared" si="15"/>
        <v>15914466</v>
      </c>
      <c r="K105" s="21">
        <f t="shared" si="16"/>
        <v>734.66939627338638</v>
      </c>
      <c r="L105" s="4" t="str">
        <f t="shared" si="12"/>
        <v>BUY</v>
      </c>
      <c r="M105" s="4">
        <f t="shared" si="17"/>
        <v>0</v>
      </c>
      <c r="N105" s="4">
        <f t="shared" si="13"/>
        <v>1</v>
      </c>
      <c r="O105" s="4">
        <f t="shared" si="18"/>
        <v>738</v>
      </c>
      <c r="P105" s="4">
        <f t="shared" si="19"/>
        <v>0</v>
      </c>
    </row>
    <row r="106" spans="1:16" x14ac:dyDescent="0.25">
      <c r="A106" s="1">
        <v>41424</v>
      </c>
      <c r="B106">
        <v>765.45</v>
      </c>
      <c r="C106">
        <v>769.7</v>
      </c>
      <c r="D106">
        <v>755.2</v>
      </c>
      <c r="E106" s="7">
        <v>765.35</v>
      </c>
      <c r="F106">
        <v>684105</v>
      </c>
      <c r="G106" s="8">
        <f t="shared" si="10"/>
        <v>763.41666666666663</v>
      </c>
      <c r="H106" s="9">
        <f t="shared" si="11"/>
        <v>522257158.75</v>
      </c>
      <c r="I106" s="9">
        <f t="shared" si="14"/>
        <v>11264537504.283335</v>
      </c>
      <c r="J106" s="9">
        <f t="shared" si="15"/>
        <v>15261025</v>
      </c>
      <c r="K106" s="21">
        <f t="shared" si="16"/>
        <v>738.12456923983382</v>
      </c>
      <c r="L106" s="4" t="str">
        <f t="shared" si="12"/>
        <v>BUY</v>
      </c>
      <c r="M106" s="4">
        <f t="shared" si="17"/>
        <v>0</v>
      </c>
      <c r="N106" s="4">
        <f t="shared" si="13"/>
        <v>1</v>
      </c>
      <c r="O106" s="4">
        <f t="shared" si="18"/>
        <v>738</v>
      </c>
      <c r="P106" s="4">
        <f t="shared" si="19"/>
        <v>0</v>
      </c>
    </row>
    <row r="107" spans="1:16" x14ac:dyDescent="0.25">
      <c r="A107" s="1">
        <v>41425</v>
      </c>
      <c r="B107">
        <v>749.9</v>
      </c>
      <c r="C107">
        <v>757.8</v>
      </c>
      <c r="D107">
        <v>736</v>
      </c>
      <c r="E107" s="7">
        <v>753.25</v>
      </c>
      <c r="F107">
        <v>867461</v>
      </c>
      <c r="G107" s="8">
        <f t="shared" si="10"/>
        <v>749.01666666666677</v>
      </c>
      <c r="H107" s="9">
        <f t="shared" si="11"/>
        <v>649742746.6833334</v>
      </c>
      <c r="I107" s="9">
        <f t="shared" si="14"/>
        <v>10875381899.566666</v>
      </c>
      <c r="J107" s="9">
        <f t="shared" si="15"/>
        <v>14685772</v>
      </c>
      <c r="K107" s="21">
        <f t="shared" si="16"/>
        <v>740.53865874852647</v>
      </c>
      <c r="L107" s="4" t="str">
        <f t="shared" si="12"/>
        <v>BUY</v>
      </c>
      <c r="M107" s="4">
        <f t="shared" si="17"/>
        <v>0</v>
      </c>
      <c r="N107" s="4">
        <f t="shared" si="13"/>
        <v>1</v>
      </c>
      <c r="O107" s="4">
        <f t="shared" si="18"/>
        <v>738</v>
      </c>
      <c r="P107" s="4">
        <f t="shared" si="19"/>
        <v>0</v>
      </c>
    </row>
    <row r="108" spans="1:16" x14ac:dyDescent="0.25">
      <c r="A108" s="1">
        <v>41428</v>
      </c>
      <c r="B108">
        <v>754</v>
      </c>
      <c r="C108">
        <v>762</v>
      </c>
      <c r="D108">
        <v>747</v>
      </c>
      <c r="E108" s="7">
        <v>750.2</v>
      </c>
      <c r="F108">
        <v>1121111</v>
      </c>
      <c r="G108" s="8">
        <f t="shared" si="10"/>
        <v>753.06666666666661</v>
      </c>
      <c r="H108" s="9">
        <f t="shared" si="11"/>
        <v>844271323.73333323</v>
      </c>
      <c r="I108" s="9">
        <f t="shared" si="14"/>
        <v>10913622362.200001</v>
      </c>
      <c r="J108" s="9">
        <f t="shared" si="15"/>
        <v>14658200</v>
      </c>
      <c r="K108" s="21">
        <f t="shared" si="16"/>
        <v>744.54041848248767</v>
      </c>
      <c r="L108" s="4" t="str">
        <f t="shared" si="12"/>
        <v>BUY</v>
      </c>
      <c r="M108" s="4">
        <f t="shared" si="17"/>
        <v>0</v>
      </c>
      <c r="N108" s="4">
        <f t="shared" si="13"/>
        <v>1</v>
      </c>
      <c r="O108" s="4">
        <f t="shared" si="18"/>
        <v>738</v>
      </c>
      <c r="P108" s="4">
        <f t="shared" si="19"/>
        <v>0</v>
      </c>
    </row>
    <row r="109" spans="1:16" x14ac:dyDescent="0.25">
      <c r="A109" s="1">
        <v>41429</v>
      </c>
      <c r="B109">
        <v>752</v>
      </c>
      <c r="C109">
        <v>758.55</v>
      </c>
      <c r="D109">
        <v>731</v>
      </c>
      <c r="E109" s="7">
        <v>733.05</v>
      </c>
      <c r="F109">
        <v>2433700</v>
      </c>
      <c r="G109" s="8">
        <f t="shared" si="10"/>
        <v>740.86666666666667</v>
      </c>
      <c r="H109" s="9">
        <f t="shared" si="11"/>
        <v>1803047206.6666667</v>
      </c>
      <c r="I109" s="9">
        <f t="shared" si="14"/>
        <v>11371921431.933332</v>
      </c>
      <c r="J109" s="9">
        <f t="shared" si="15"/>
        <v>15247168</v>
      </c>
      <c r="K109" s="21">
        <f t="shared" si="16"/>
        <v>745.83827186355734</v>
      </c>
      <c r="L109" s="4" t="str">
        <f t="shared" si="12"/>
        <v>SELL</v>
      </c>
      <c r="M109" s="4" t="str">
        <f t="shared" si="17"/>
        <v>SELL</v>
      </c>
      <c r="N109" s="4">
        <f t="shared" si="13"/>
        <v>-1</v>
      </c>
      <c r="O109" s="4">
        <f t="shared" si="18"/>
        <v>733.05</v>
      </c>
      <c r="P109" s="4">
        <f t="shared" si="19"/>
        <v>-6.7073170731707932E-3</v>
      </c>
    </row>
    <row r="110" spans="1:16" x14ac:dyDescent="0.25">
      <c r="A110" s="1">
        <v>41430</v>
      </c>
      <c r="B110">
        <v>730</v>
      </c>
      <c r="C110">
        <v>753</v>
      </c>
      <c r="D110">
        <v>730</v>
      </c>
      <c r="E110" s="7">
        <v>750.5</v>
      </c>
      <c r="F110">
        <v>898018</v>
      </c>
      <c r="G110" s="8">
        <f t="shared" si="10"/>
        <v>744.5</v>
      </c>
      <c r="H110" s="9">
        <f t="shared" si="11"/>
        <v>668574401</v>
      </c>
      <c r="I110" s="9">
        <f t="shared" si="14"/>
        <v>9494610504.9333344</v>
      </c>
      <c r="J110" s="9">
        <f t="shared" si="15"/>
        <v>12703250</v>
      </c>
      <c r="K110" s="21">
        <f t="shared" si="16"/>
        <v>747.41585853488948</v>
      </c>
      <c r="L110" s="4" t="str">
        <f t="shared" si="12"/>
        <v>BUY</v>
      </c>
      <c r="M110" s="4" t="str">
        <f t="shared" si="17"/>
        <v>BUY</v>
      </c>
      <c r="N110" s="4">
        <f t="shared" si="13"/>
        <v>1</v>
      </c>
      <c r="O110" s="4">
        <f t="shared" si="18"/>
        <v>750.5</v>
      </c>
      <c r="P110" s="4">
        <f t="shared" si="19"/>
        <v>-2.380465179728538E-2</v>
      </c>
    </row>
    <row r="111" spans="1:16" x14ac:dyDescent="0.25">
      <c r="A111" s="1">
        <v>41431</v>
      </c>
      <c r="B111">
        <v>761.8</v>
      </c>
      <c r="C111">
        <v>763.3</v>
      </c>
      <c r="D111">
        <v>751</v>
      </c>
      <c r="E111" s="7">
        <v>759.1</v>
      </c>
      <c r="F111">
        <v>1618512</v>
      </c>
      <c r="G111" s="8">
        <f t="shared" si="10"/>
        <v>757.80000000000007</v>
      </c>
      <c r="H111" s="9">
        <f t="shared" si="11"/>
        <v>1226508393.6000001</v>
      </c>
      <c r="I111" s="9">
        <f t="shared" si="14"/>
        <v>9795568584.333334</v>
      </c>
      <c r="J111" s="9">
        <f t="shared" si="15"/>
        <v>13082075</v>
      </c>
      <c r="K111" s="21">
        <f t="shared" si="16"/>
        <v>748.77789527527807</v>
      </c>
      <c r="L111" s="4" t="str">
        <f t="shared" si="12"/>
        <v>BUY</v>
      </c>
      <c r="M111" s="4">
        <f t="shared" si="17"/>
        <v>0</v>
      </c>
      <c r="N111" s="4">
        <f t="shared" si="13"/>
        <v>1</v>
      </c>
      <c r="O111" s="4">
        <f t="shared" si="18"/>
        <v>750.5</v>
      </c>
      <c r="P111" s="4">
        <f t="shared" si="19"/>
        <v>0</v>
      </c>
    </row>
    <row r="112" spans="1:16" x14ac:dyDescent="0.25">
      <c r="A112" s="1">
        <v>41432</v>
      </c>
      <c r="B112">
        <v>763.35</v>
      </c>
      <c r="C112">
        <v>787.1</v>
      </c>
      <c r="D112">
        <v>758</v>
      </c>
      <c r="E112" s="7">
        <v>781</v>
      </c>
      <c r="F112">
        <v>1775246</v>
      </c>
      <c r="G112" s="8">
        <f t="shared" si="10"/>
        <v>775.36666666666667</v>
      </c>
      <c r="H112" s="9">
        <f t="shared" si="11"/>
        <v>1376466573.5333333</v>
      </c>
      <c r="I112" s="9">
        <f t="shared" si="14"/>
        <v>9933064148.3666687</v>
      </c>
      <c r="J112" s="9">
        <f t="shared" si="15"/>
        <v>13193491</v>
      </c>
      <c r="K112" s="21">
        <f t="shared" si="16"/>
        <v>752.87610749623957</v>
      </c>
      <c r="L112" s="4" t="str">
        <f t="shared" si="12"/>
        <v>BUY</v>
      </c>
      <c r="M112" s="4">
        <f t="shared" si="17"/>
        <v>0</v>
      </c>
      <c r="N112" s="4">
        <f t="shared" si="13"/>
        <v>1</v>
      </c>
      <c r="O112" s="4">
        <f t="shared" si="18"/>
        <v>750.5</v>
      </c>
      <c r="P112" s="4">
        <f t="shared" si="19"/>
        <v>0</v>
      </c>
    </row>
    <row r="113" spans="1:16" x14ac:dyDescent="0.25">
      <c r="A113" s="1">
        <v>41435</v>
      </c>
      <c r="B113">
        <v>756.65</v>
      </c>
      <c r="C113">
        <v>777.7</v>
      </c>
      <c r="D113">
        <v>756.65</v>
      </c>
      <c r="E113" s="7">
        <v>766.1</v>
      </c>
      <c r="F113">
        <v>1321488</v>
      </c>
      <c r="G113" s="8">
        <f t="shared" si="10"/>
        <v>766.81666666666661</v>
      </c>
      <c r="H113" s="9">
        <f t="shared" si="11"/>
        <v>1013339023.1999999</v>
      </c>
      <c r="I113" s="9">
        <f t="shared" si="14"/>
        <v>9782687242.3666687</v>
      </c>
      <c r="J113" s="9">
        <f t="shared" si="15"/>
        <v>12946523</v>
      </c>
      <c r="K113" s="21">
        <f t="shared" si="16"/>
        <v>755.62274460615163</v>
      </c>
      <c r="L113" s="4" t="str">
        <f t="shared" si="12"/>
        <v>BUY</v>
      </c>
      <c r="M113" s="4">
        <f t="shared" si="17"/>
        <v>0</v>
      </c>
      <c r="N113" s="4">
        <f t="shared" si="13"/>
        <v>1</v>
      </c>
      <c r="O113" s="4">
        <f t="shared" si="18"/>
        <v>750.5</v>
      </c>
      <c r="P113" s="4">
        <f t="shared" si="19"/>
        <v>0</v>
      </c>
    </row>
    <row r="114" spans="1:16" x14ac:dyDescent="0.25">
      <c r="A114" s="1">
        <v>41436</v>
      </c>
      <c r="B114">
        <v>777.1</v>
      </c>
      <c r="C114">
        <v>779.95</v>
      </c>
      <c r="D114">
        <v>767.3</v>
      </c>
      <c r="E114" s="7">
        <v>774.8</v>
      </c>
      <c r="F114">
        <v>1164408</v>
      </c>
      <c r="G114" s="8">
        <f t="shared" si="10"/>
        <v>774.01666666666677</v>
      </c>
      <c r="H114" s="9">
        <f t="shared" si="11"/>
        <v>901271198.80000007</v>
      </c>
      <c r="I114" s="9">
        <f t="shared" si="14"/>
        <v>9645436613.4166679</v>
      </c>
      <c r="J114" s="9">
        <f t="shared" si="15"/>
        <v>12726266</v>
      </c>
      <c r="K114" s="21">
        <f t="shared" si="16"/>
        <v>757.91568504199643</v>
      </c>
      <c r="L114" s="4" t="str">
        <f t="shared" si="12"/>
        <v>BUY</v>
      </c>
      <c r="M114" s="4">
        <f t="shared" si="17"/>
        <v>0</v>
      </c>
      <c r="N114" s="4">
        <f t="shared" si="13"/>
        <v>1</v>
      </c>
      <c r="O114" s="4">
        <f t="shared" si="18"/>
        <v>750.5</v>
      </c>
      <c r="P114" s="4">
        <f t="shared" si="19"/>
        <v>0</v>
      </c>
    </row>
    <row r="115" spans="1:16" x14ac:dyDescent="0.25">
      <c r="A115" s="1">
        <v>41437</v>
      </c>
      <c r="B115">
        <v>777</v>
      </c>
      <c r="C115">
        <v>784.8</v>
      </c>
      <c r="D115">
        <v>763.7</v>
      </c>
      <c r="E115" s="7">
        <v>775.3</v>
      </c>
      <c r="F115">
        <v>764460</v>
      </c>
      <c r="G115" s="8">
        <f t="shared" si="10"/>
        <v>774.6</v>
      </c>
      <c r="H115" s="9">
        <f t="shared" si="11"/>
        <v>592150716</v>
      </c>
      <c r="I115" s="9">
        <f t="shared" si="14"/>
        <v>9597628741.9666672</v>
      </c>
      <c r="J115" s="9">
        <f t="shared" si="15"/>
        <v>12648509</v>
      </c>
      <c r="K115" s="21">
        <f t="shared" si="16"/>
        <v>758.79526527329563</v>
      </c>
      <c r="L115" s="4" t="str">
        <f t="shared" si="12"/>
        <v>BUY</v>
      </c>
      <c r="M115" s="4">
        <f t="shared" si="17"/>
        <v>0</v>
      </c>
      <c r="N115" s="4">
        <f t="shared" si="13"/>
        <v>1</v>
      </c>
      <c r="O115" s="4">
        <f t="shared" si="18"/>
        <v>750.5</v>
      </c>
      <c r="P115" s="4">
        <f t="shared" si="19"/>
        <v>0</v>
      </c>
    </row>
    <row r="116" spans="1:16" x14ac:dyDescent="0.25">
      <c r="A116" s="1">
        <v>41438</v>
      </c>
      <c r="B116">
        <v>775.3</v>
      </c>
      <c r="C116">
        <v>788.9</v>
      </c>
      <c r="D116">
        <v>772.25</v>
      </c>
      <c r="E116" s="7">
        <v>783.2</v>
      </c>
      <c r="F116">
        <v>1112836</v>
      </c>
      <c r="G116" s="8">
        <f t="shared" si="10"/>
        <v>781.45000000000016</v>
      </c>
      <c r="H116" s="9">
        <f t="shared" si="11"/>
        <v>869625692.20000017</v>
      </c>
      <c r="I116" s="9">
        <f t="shared" si="14"/>
        <v>9944997275.4166679</v>
      </c>
      <c r="J116" s="9">
        <f t="shared" si="15"/>
        <v>13077240</v>
      </c>
      <c r="K116" s="21">
        <f t="shared" si="16"/>
        <v>760.48136116005116</v>
      </c>
      <c r="L116" s="4" t="str">
        <f t="shared" si="12"/>
        <v>BUY</v>
      </c>
      <c r="M116" s="4">
        <f t="shared" si="17"/>
        <v>0</v>
      </c>
      <c r="N116" s="4">
        <f t="shared" si="13"/>
        <v>1</v>
      </c>
      <c r="O116" s="4">
        <f t="shared" si="18"/>
        <v>750.5</v>
      </c>
      <c r="P116" s="4">
        <f t="shared" si="19"/>
        <v>0</v>
      </c>
    </row>
    <row r="117" spans="1:16" x14ac:dyDescent="0.25">
      <c r="A117" s="1">
        <v>41439</v>
      </c>
      <c r="B117">
        <v>792.9</v>
      </c>
      <c r="C117">
        <v>794</v>
      </c>
      <c r="D117">
        <v>784.6</v>
      </c>
      <c r="E117" s="7">
        <v>787.7</v>
      </c>
      <c r="F117">
        <v>953714</v>
      </c>
      <c r="G117" s="8">
        <f t="shared" si="10"/>
        <v>788.76666666666677</v>
      </c>
      <c r="H117" s="9">
        <f t="shared" si="11"/>
        <v>752257812.73333347</v>
      </c>
      <c r="I117" s="9">
        <f t="shared" si="14"/>
        <v>10047512341.466667</v>
      </c>
      <c r="J117" s="9">
        <f t="shared" si="15"/>
        <v>13163493</v>
      </c>
      <c r="K117" s="21">
        <f t="shared" si="16"/>
        <v>763.28618410528782</v>
      </c>
      <c r="L117" s="4" t="str">
        <f t="shared" si="12"/>
        <v>BUY</v>
      </c>
      <c r="M117" s="4">
        <f t="shared" si="17"/>
        <v>0</v>
      </c>
      <c r="N117" s="4">
        <f t="shared" si="13"/>
        <v>1</v>
      </c>
      <c r="O117" s="4">
        <f t="shared" si="18"/>
        <v>750.5</v>
      </c>
      <c r="P117" s="4">
        <f t="shared" si="19"/>
        <v>0</v>
      </c>
    </row>
    <row r="118" spans="1:16" x14ac:dyDescent="0.25">
      <c r="A118" s="1">
        <v>41442</v>
      </c>
      <c r="B118">
        <v>785</v>
      </c>
      <c r="C118">
        <v>786.5</v>
      </c>
      <c r="D118">
        <v>773.3</v>
      </c>
      <c r="E118" s="7">
        <v>778.65</v>
      </c>
      <c r="F118">
        <v>734162</v>
      </c>
      <c r="G118" s="8">
        <f t="shared" si="10"/>
        <v>779.48333333333323</v>
      </c>
      <c r="H118" s="9">
        <f t="shared" si="11"/>
        <v>572267042.96666658</v>
      </c>
      <c r="I118" s="9">
        <f t="shared" si="14"/>
        <v>9775508060.7000008</v>
      </c>
      <c r="J118" s="9">
        <f t="shared" si="15"/>
        <v>12776544</v>
      </c>
      <c r="K118" s="21">
        <f t="shared" si="16"/>
        <v>765.11363798379284</v>
      </c>
      <c r="L118" s="4" t="str">
        <f t="shared" si="12"/>
        <v>BUY</v>
      </c>
      <c r="M118" s="4">
        <f t="shared" si="17"/>
        <v>0</v>
      </c>
      <c r="N118" s="4">
        <f t="shared" si="13"/>
        <v>1</v>
      </c>
      <c r="O118" s="4">
        <f t="shared" si="18"/>
        <v>750.5</v>
      </c>
      <c r="P118" s="4">
        <f t="shared" si="19"/>
        <v>0</v>
      </c>
    </row>
    <row r="119" spans="1:16" x14ac:dyDescent="0.25">
      <c r="A119" s="1">
        <v>41443</v>
      </c>
      <c r="B119">
        <v>770</v>
      </c>
      <c r="C119">
        <v>788.95</v>
      </c>
      <c r="D119">
        <v>769.85</v>
      </c>
      <c r="E119" s="7">
        <v>786.3</v>
      </c>
      <c r="F119">
        <v>1479762</v>
      </c>
      <c r="G119" s="8">
        <f t="shared" si="10"/>
        <v>781.70000000000016</v>
      </c>
      <c r="H119" s="9">
        <f t="shared" si="11"/>
        <v>1156729955.4000003</v>
      </c>
      <c r="I119" s="9">
        <f t="shared" si="14"/>
        <v>9129190809.4333324</v>
      </c>
      <c r="J119" s="9">
        <f t="shared" si="15"/>
        <v>11822606</v>
      </c>
      <c r="K119" s="21">
        <f t="shared" si="16"/>
        <v>772.18092266910799</v>
      </c>
      <c r="L119" s="4" t="str">
        <f t="shared" si="12"/>
        <v>BUY</v>
      </c>
      <c r="M119" s="4">
        <f t="shared" si="17"/>
        <v>0</v>
      </c>
      <c r="N119" s="4">
        <f t="shared" si="13"/>
        <v>1</v>
      </c>
      <c r="O119" s="4">
        <f t="shared" si="18"/>
        <v>750.5</v>
      </c>
      <c r="P119" s="4">
        <f t="shared" si="19"/>
        <v>0</v>
      </c>
    </row>
    <row r="120" spans="1:16" x14ac:dyDescent="0.25">
      <c r="A120" s="1">
        <v>41444</v>
      </c>
      <c r="B120">
        <v>786.3</v>
      </c>
      <c r="C120">
        <v>788.5</v>
      </c>
      <c r="D120">
        <v>767.7</v>
      </c>
      <c r="E120" s="7">
        <v>773.45</v>
      </c>
      <c r="F120">
        <v>1888755</v>
      </c>
      <c r="G120" s="8">
        <f t="shared" si="10"/>
        <v>776.55000000000007</v>
      </c>
      <c r="H120" s="9">
        <f t="shared" si="11"/>
        <v>1466712695.2500002</v>
      </c>
      <c r="I120" s="9">
        <f t="shared" si="14"/>
        <v>9927329103.6833344</v>
      </c>
      <c r="J120" s="9">
        <f t="shared" si="15"/>
        <v>12813343</v>
      </c>
      <c r="K120" s="21">
        <f t="shared" si="16"/>
        <v>774.76495428892633</v>
      </c>
      <c r="L120" s="4" t="str">
        <f t="shared" si="12"/>
        <v>SELL</v>
      </c>
      <c r="M120" s="4" t="str">
        <f t="shared" si="17"/>
        <v>SELL</v>
      </c>
      <c r="N120" s="4">
        <f t="shared" si="13"/>
        <v>-1</v>
      </c>
      <c r="O120" s="4">
        <f t="shared" si="18"/>
        <v>773.45</v>
      </c>
      <c r="P120" s="4">
        <f t="shared" si="19"/>
        <v>3.0579613590939435E-2</v>
      </c>
    </row>
    <row r="121" spans="1:16" x14ac:dyDescent="0.25">
      <c r="A121" s="1">
        <v>41445</v>
      </c>
      <c r="B121">
        <v>775.8</v>
      </c>
      <c r="C121">
        <v>775.8</v>
      </c>
      <c r="D121">
        <v>756.1</v>
      </c>
      <c r="E121" s="7">
        <v>758.5</v>
      </c>
      <c r="F121">
        <v>1018661</v>
      </c>
      <c r="G121" s="8">
        <f t="shared" si="10"/>
        <v>763.4666666666667</v>
      </c>
      <c r="H121" s="9">
        <f t="shared" si="11"/>
        <v>777713718.13333333</v>
      </c>
      <c r="I121" s="9">
        <f t="shared" si="14"/>
        <v>9478534428.2166672</v>
      </c>
      <c r="J121" s="9">
        <f t="shared" si="15"/>
        <v>12213492</v>
      </c>
      <c r="K121" s="21">
        <f t="shared" si="16"/>
        <v>776.07079353035704</v>
      </c>
      <c r="L121" s="4" t="str">
        <f t="shared" si="12"/>
        <v>SELL</v>
      </c>
      <c r="M121" s="4">
        <f t="shared" si="17"/>
        <v>0</v>
      </c>
      <c r="N121" s="4">
        <f t="shared" si="13"/>
        <v>-1</v>
      </c>
      <c r="O121" s="4">
        <f t="shared" si="18"/>
        <v>773.45</v>
      </c>
      <c r="P121" s="4">
        <f t="shared" si="19"/>
        <v>0</v>
      </c>
    </row>
    <row r="122" spans="1:16" x14ac:dyDescent="0.25">
      <c r="A122" s="1">
        <v>41446</v>
      </c>
      <c r="B122">
        <v>758.45</v>
      </c>
      <c r="C122">
        <v>767.15</v>
      </c>
      <c r="D122">
        <v>757.6</v>
      </c>
      <c r="E122" s="7">
        <v>764.75</v>
      </c>
      <c r="F122">
        <v>576562</v>
      </c>
      <c r="G122" s="8">
        <f t="shared" si="10"/>
        <v>763.16666666666663</v>
      </c>
      <c r="H122" s="9">
        <f t="shared" si="11"/>
        <v>440012899.66666663</v>
      </c>
      <c r="I122" s="9">
        <f t="shared" si="14"/>
        <v>8542080754.3500013</v>
      </c>
      <c r="J122" s="9">
        <f t="shared" si="15"/>
        <v>11014808</v>
      </c>
      <c r="K122" s="21">
        <f t="shared" si="16"/>
        <v>775.50881997670785</v>
      </c>
      <c r="L122" s="4" t="str">
        <f t="shared" si="12"/>
        <v>SELL</v>
      </c>
      <c r="M122" s="4">
        <f t="shared" si="17"/>
        <v>0</v>
      </c>
      <c r="N122" s="4">
        <f t="shared" si="13"/>
        <v>-1</v>
      </c>
      <c r="O122" s="4">
        <f t="shared" si="18"/>
        <v>773.45</v>
      </c>
      <c r="P122" s="4">
        <f t="shared" si="19"/>
        <v>0</v>
      </c>
    </row>
    <row r="123" spans="1:16" x14ac:dyDescent="0.25">
      <c r="A123" s="1">
        <v>41449</v>
      </c>
      <c r="B123">
        <v>765</v>
      </c>
      <c r="C123">
        <v>765</v>
      </c>
      <c r="D123">
        <v>749</v>
      </c>
      <c r="E123" s="7">
        <v>753.8</v>
      </c>
      <c r="F123">
        <v>1307331</v>
      </c>
      <c r="G123" s="8">
        <f t="shared" si="10"/>
        <v>755.93333333333339</v>
      </c>
      <c r="H123" s="9">
        <f t="shared" si="11"/>
        <v>988255080.60000002</v>
      </c>
      <c r="I123" s="9">
        <f t="shared" si="14"/>
        <v>8516996811.7500019</v>
      </c>
      <c r="J123" s="9">
        <f t="shared" si="15"/>
        <v>11000651</v>
      </c>
      <c r="K123" s="21">
        <f t="shared" si="16"/>
        <v>774.22661729292224</v>
      </c>
      <c r="L123" s="4" t="str">
        <f t="shared" si="12"/>
        <v>SELL</v>
      </c>
      <c r="M123" s="4">
        <f t="shared" si="17"/>
        <v>0</v>
      </c>
      <c r="N123" s="4">
        <f t="shared" si="13"/>
        <v>-1</v>
      </c>
      <c r="O123" s="4">
        <f t="shared" si="18"/>
        <v>773.45</v>
      </c>
      <c r="P123" s="4">
        <f t="shared" si="19"/>
        <v>0</v>
      </c>
    </row>
    <row r="124" spans="1:16" x14ac:dyDescent="0.25">
      <c r="A124" s="1">
        <v>41450</v>
      </c>
      <c r="B124">
        <v>755</v>
      </c>
      <c r="C124">
        <v>759.9</v>
      </c>
      <c r="D124">
        <v>741.25</v>
      </c>
      <c r="E124" s="7">
        <v>751</v>
      </c>
      <c r="F124">
        <v>1658258</v>
      </c>
      <c r="G124" s="8">
        <f t="shared" si="10"/>
        <v>750.7166666666667</v>
      </c>
      <c r="H124" s="9">
        <f t="shared" si="11"/>
        <v>1244881918.2333333</v>
      </c>
      <c r="I124" s="9">
        <f t="shared" si="14"/>
        <v>8860607531.1833344</v>
      </c>
      <c r="J124" s="9">
        <f t="shared" si="15"/>
        <v>11494501</v>
      </c>
      <c r="K124" s="21">
        <f t="shared" si="16"/>
        <v>770.85621473984247</v>
      </c>
      <c r="L124" s="4" t="str">
        <f t="shared" si="12"/>
        <v>SELL</v>
      </c>
      <c r="M124" s="4">
        <f t="shared" si="17"/>
        <v>0</v>
      </c>
      <c r="N124" s="4">
        <f t="shared" si="13"/>
        <v>-1</v>
      </c>
      <c r="O124" s="4">
        <f t="shared" si="18"/>
        <v>773.45</v>
      </c>
      <c r="P124" s="4">
        <f t="shared" si="19"/>
        <v>0</v>
      </c>
    </row>
    <row r="125" spans="1:16" x14ac:dyDescent="0.25">
      <c r="A125" s="1">
        <v>41451</v>
      </c>
      <c r="B125">
        <v>750</v>
      </c>
      <c r="C125">
        <v>750</v>
      </c>
      <c r="D125">
        <v>725.75</v>
      </c>
      <c r="E125" s="7">
        <v>732</v>
      </c>
      <c r="F125">
        <v>1703872</v>
      </c>
      <c r="G125" s="8">
        <f t="shared" si="10"/>
        <v>735.91666666666663</v>
      </c>
      <c r="H125" s="9">
        <f t="shared" si="11"/>
        <v>1253907802.6666665</v>
      </c>
      <c r="I125" s="9">
        <f t="shared" si="14"/>
        <v>9522364617.8500004</v>
      </c>
      <c r="J125" s="9">
        <f t="shared" si="15"/>
        <v>12433913</v>
      </c>
      <c r="K125" s="21">
        <f t="shared" si="16"/>
        <v>765.83812496114456</v>
      </c>
      <c r="L125" s="4" t="str">
        <f t="shared" si="12"/>
        <v>SELL</v>
      </c>
      <c r="M125" s="4">
        <f t="shared" si="17"/>
        <v>0</v>
      </c>
      <c r="N125" s="4">
        <f t="shared" si="13"/>
        <v>-1</v>
      </c>
      <c r="O125" s="4">
        <f t="shared" si="18"/>
        <v>773.45</v>
      </c>
      <c r="P125" s="4">
        <f t="shared" si="19"/>
        <v>0</v>
      </c>
    </row>
    <row r="126" spans="1:16" x14ac:dyDescent="0.25">
      <c r="A126" s="1">
        <v>41452</v>
      </c>
      <c r="B126">
        <v>734.8</v>
      </c>
      <c r="C126">
        <v>746</v>
      </c>
      <c r="D126">
        <v>730.85</v>
      </c>
      <c r="E126" s="7">
        <v>743.8</v>
      </c>
      <c r="F126">
        <v>1471775</v>
      </c>
      <c r="G126" s="8">
        <f t="shared" si="10"/>
        <v>740.21666666666658</v>
      </c>
      <c r="H126" s="9">
        <f t="shared" si="11"/>
        <v>1089432384.5833333</v>
      </c>
      <c r="I126" s="9">
        <f t="shared" si="14"/>
        <v>9742171310.2333355</v>
      </c>
      <c r="J126" s="9">
        <f t="shared" si="15"/>
        <v>12792852</v>
      </c>
      <c r="K126" s="21">
        <f t="shared" si="16"/>
        <v>761.53240186264452</v>
      </c>
      <c r="L126" s="4" t="str">
        <f t="shared" si="12"/>
        <v>SELL</v>
      </c>
      <c r="M126" s="4">
        <f t="shared" si="17"/>
        <v>0</v>
      </c>
      <c r="N126" s="4">
        <f t="shared" si="13"/>
        <v>-1</v>
      </c>
      <c r="O126" s="4">
        <f t="shared" si="18"/>
        <v>773.45</v>
      </c>
      <c r="P126" s="4">
        <f t="shared" si="19"/>
        <v>0</v>
      </c>
    </row>
    <row r="127" spans="1:16" x14ac:dyDescent="0.25">
      <c r="A127" s="1">
        <v>41453</v>
      </c>
      <c r="B127">
        <v>748.8</v>
      </c>
      <c r="C127">
        <v>748.9</v>
      </c>
      <c r="D127">
        <v>737.1</v>
      </c>
      <c r="E127" s="7">
        <v>739</v>
      </c>
      <c r="F127">
        <v>1082798</v>
      </c>
      <c r="G127" s="8">
        <f t="shared" si="10"/>
        <v>741.66666666666663</v>
      </c>
      <c r="H127" s="9">
        <f t="shared" si="11"/>
        <v>803075183.33333325</v>
      </c>
      <c r="I127" s="9">
        <f t="shared" si="14"/>
        <v>9792988680.8333359</v>
      </c>
      <c r="J127" s="9">
        <f t="shared" si="15"/>
        <v>12921936</v>
      </c>
      <c r="K127" s="21">
        <f t="shared" si="16"/>
        <v>757.85769878703434</v>
      </c>
      <c r="L127" s="4" t="str">
        <f t="shared" si="12"/>
        <v>SELL</v>
      </c>
      <c r="M127" s="4">
        <f t="shared" si="17"/>
        <v>0</v>
      </c>
      <c r="N127" s="4">
        <f t="shared" si="13"/>
        <v>-1</v>
      </c>
      <c r="O127" s="4">
        <f t="shared" si="18"/>
        <v>773.45</v>
      </c>
      <c r="P127" s="4">
        <f t="shared" si="19"/>
        <v>0</v>
      </c>
    </row>
    <row r="128" spans="1:16" x14ac:dyDescent="0.25">
      <c r="A128" s="1">
        <v>41456</v>
      </c>
      <c r="B128">
        <v>736.5</v>
      </c>
      <c r="C128">
        <v>761.9</v>
      </c>
      <c r="D128">
        <v>735.85</v>
      </c>
      <c r="E128" s="7">
        <v>759.15</v>
      </c>
      <c r="F128">
        <v>1380452</v>
      </c>
      <c r="G128" s="8">
        <f t="shared" si="10"/>
        <v>752.30000000000007</v>
      </c>
      <c r="H128" s="9">
        <f t="shared" si="11"/>
        <v>1038514039.6000001</v>
      </c>
      <c r="I128" s="9">
        <f t="shared" si="14"/>
        <v>10259235677.466667</v>
      </c>
      <c r="J128" s="9">
        <f t="shared" si="15"/>
        <v>13568226</v>
      </c>
      <c r="K128" s="21">
        <f t="shared" si="16"/>
        <v>756.12211039723741</v>
      </c>
      <c r="L128" s="4" t="str">
        <f t="shared" si="12"/>
        <v>BUY</v>
      </c>
      <c r="M128" s="4" t="str">
        <f t="shared" si="17"/>
        <v>BUY</v>
      </c>
      <c r="N128" s="4">
        <f t="shared" si="13"/>
        <v>1</v>
      </c>
      <c r="O128" s="4">
        <f t="shared" si="18"/>
        <v>759.15</v>
      </c>
      <c r="P128" s="4">
        <f t="shared" si="19"/>
        <v>1.8488590083392677E-2</v>
      </c>
    </row>
    <row r="129" spans="1:16" x14ac:dyDescent="0.25">
      <c r="A129" s="1">
        <v>41457</v>
      </c>
      <c r="B129">
        <v>761.4</v>
      </c>
      <c r="C129">
        <v>767.4</v>
      </c>
      <c r="D129">
        <v>748.95</v>
      </c>
      <c r="E129" s="7">
        <v>764.6</v>
      </c>
      <c r="F129">
        <v>1076467</v>
      </c>
      <c r="G129" s="8">
        <f t="shared" si="10"/>
        <v>760.31666666666661</v>
      </c>
      <c r="H129" s="9">
        <f t="shared" si="11"/>
        <v>818455801.21666658</v>
      </c>
      <c r="I129" s="9">
        <f t="shared" si="14"/>
        <v>9920961523.2833328</v>
      </c>
      <c r="J129" s="9">
        <f t="shared" si="15"/>
        <v>13164931</v>
      </c>
      <c r="K129" s="21">
        <f t="shared" si="16"/>
        <v>753.59008894792782</v>
      </c>
      <c r="L129" s="4" t="str">
        <f t="shared" si="12"/>
        <v>BUY</v>
      </c>
      <c r="M129" s="4">
        <f t="shared" si="17"/>
        <v>0</v>
      </c>
      <c r="N129" s="4">
        <f t="shared" si="13"/>
        <v>1</v>
      </c>
      <c r="O129" s="4">
        <f t="shared" si="18"/>
        <v>759.15</v>
      </c>
      <c r="P129" s="4">
        <f t="shared" si="19"/>
        <v>0</v>
      </c>
    </row>
    <row r="130" spans="1:16" x14ac:dyDescent="0.25">
      <c r="A130" s="1">
        <v>41458</v>
      </c>
      <c r="B130">
        <v>772</v>
      </c>
      <c r="C130">
        <v>779</v>
      </c>
      <c r="D130">
        <v>769.65</v>
      </c>
      <c r="E130" s="7">
        <v>776.8</v>
      </c>
      <c r="F130">
        <v>1093782</v>
      </c>
      <c r="G130" s="8">
        <f t="shared" ref="G130:G193" si="20">AVERAGE(C130:E130)</f>
        <v>775.15</v>
      </c>
      <c r="H130" s="9">
        <f t="shared" si="11"/>
        <v>847845117.29999995</v>
      </c>
      <c r="I130" s="9">
        <f t="shared" si="14"/>
        <v>9302093945.3333321</v>
      </c>
      <c r="J130" s="9">
        <f t="shared" si="15"/>
        <v>12369958</v>
      </c>
      <c r="K130" s="21">
        <f t="shared" si="16"/>
        <v>751.99074607475075</v>
      </c>
      <c r="L130" s="4" t="str">
        <f t="shared" si="12"/>
        <v>BUY</v>
      </c>
      <c r="M130" s="4">
        <f t="shared" si="17"/>
        <v>0</v>
      </c>
      <c r="N130" s="4">
        <f t="shared" si="13"/>
        <v>1</v>
      </c>
      <c r="O130" s="4">
        <f t="shared" si="18"/>
        <v>759.15</v>
      </c>
      <c r="P130" s="4">
        <f t="shared" si="19"/>
        <v>0</v>
      </c>
    </row>
    <row r="131" spans="1:16" x14ac:dyDescent="0.25">
      <c r="A131" s="1">
        <v>41459</v>
      </c>
      <c r="B131">
        <v>780</v>
      </c>
      <c r="C131">
        <v>784</v>
      </c>
      <c r="D131">
        <v>770.75</v>
      </c>
      <c r="E131" s="7">
        <v>774.45</v>
      </c>
      <c r="F131">
        <v>918333</v>
      </c>
      <c r="G131" s="8">
        <f t="shared" si="20"/>
        <v>776.4</v>
      </c>
      <c r="H131" s="9">
        <f t="shared" ref="H131:H194" si="21">G131*F131</f>
        <v>712993741.19999993</v>
      </c>
      <c r="I131" s="9">
        <f t="shared" si="14"/>
        <v>9237373968.3999996</v>
      </c>
      <c r="J131" s="9">
        <f t="shared" si="15"/>
        <v>12269630</v>
      </c>
      <c r="K131" s="21">
        <f t="shared" si="16"/>
        <v>752.8649167415806</v>
      </c>
      <c r="L131" s="4" t="str">
        <f t="shared" si="12"/>
        <v>BUY</v>
      </c>
      <c r="M131" s="4">
        <f t="shared" si="17"/>
        <v>0</v>
      </c>
      <c r="N131" s="4">
        <f t="shared" si="13"/>
        <v>1</v>
      </c>
      <c r="O131" s="4">
        <f t="shared" si="18"/>
        <v>759.15</v>
      </c>
      <c r="P131" s="4">
        <f t="shared" si="19"/>
        <v>0</v>
      </c>
    </row>
    <row r="132" spans="1:16" x14ac:dyDescent="0.25">
      <c r="A132" s="1">
        <v>41460</v>
      </c>
      <c r="B132">
        <v>779.8</v>
      </c>
      <c r="C132">
        <v>794</v>
      </c>
      <c r="D132">
        <v>779.8</v>
      </c>
      <c r="E132" s="7">
        <v>791.7</v>
      </c>
      <c r="F132">
        <v>1362888</v>
      </c>
      <c r="G132" s="8">
        <f t="shared" si="20"/>
        <v>788.5</v>
      </c>
      <c r="H132" s="9">
        <f t="shared" si="21"/>
        <v>1074637188</v>
      </c>
      <c r="I132" s="9">
        <f t="shared" si="14"/>
        <v>9871998256.7333336</v>
      </c>
      <c r="J132" s="9">
        <f t="shared" si="15"/>
        <v>13055956</v>
      </c>
      <c r="K132" s="21">
        <f t="shared" si="16"/>
        <v>756.12986568990686</v>
      </c>
      <c r="L132" s="4" t="str">
        <f t="shared" si="12"/>
        <v>BUY</v>
      </c>
      <c r="M132" s="4">
        <f t="shared" si="17"/>
        <v>0</v>
      </c>
      <c r="N132" s="4">
        <f t="shared" si="13"/>
        <v>1</v>
      </c>
      <c r="O132" s="4">
        <f t="shared" si="18"/>
        <v>759.15</v>
      </c>
      <c r="P132" s="4">
        <f t="shared" si="19"/>
        <v>0</v>
      </c>
    </row>
    <row r="133" spans="1:16" x14ac:dyDescent="0.25">
      <c r="A133" s="1">
        <v>41463</v>
      </c>
      <c r="B133">
        <v>792</v>
      </c>
      <c r="C133">
        <v>792</v>
      </c>
      <c r="D133">
        <v>769.55</v>
      </c>
      <c r="E133" s="7">
        <v>774.65</v>
      </c>
      <c r="F133">
        <v>2772943</v>
      </c>
      <c r="G133" s="8">
        <f t="shared" si="20"/>
        <v>778.73333333333323</v>
      </c>
      <c r="H133" s="9">
        <f t="shared" si="21"/>
        <v>2159383145.5333328</v>
      </c>
      <c r="I133" s="9">
        <f t="shared" si="14"/>
        <v>11043126321.666664</v>
      </c>
      <c r="J133" s="9">
        <f t="shared" si="15"/>
        <v>14521568</v>
      </c>
      <c r="K133" s="21">
        <f t="shared" si="16"/>
        <v>760.46376821474541</v>
      </c>
      <c r="L133" s="4" t="str">
        <f t="shared" si="12"/>
        <v>BUY</v>
      </c>
      <c r="M133" s="4">
        <f t="shared" si="17"/>
        <v>0</v>
      </c>
      <c r="N133" s="4">
        <f t="shared" si="13"/>
        <v>1</v>
      </c>
      <c r="O133" s="4">
        <f t="shared" si="18"/>
        <v>759.15</v>
      </c>
      <c r="P133" s="4">
        <f t="shared" si="19"/>
        <v>0</v>
      </c>
    </row>
    <row r="134" spans="1:16" x14ac:dyDescent="0.25">
      <c r="A134" s="1">
        <v>41464</v>
      </c>
      <c r="B134">
        <v>778</v>
      </c>
      <c r="C134">
        <v>784.7</v>
      </c>
      <c r="D134">
        <v>770.25</v>
      </c>
      <c r="E134" s="7">
        <v>774.65</v>
      </c>
      <c r="F134">
        <v>1416921</v>
      </c>
      <c r="G134" s="8">
        <f t="shared" si="20"/>
        <v>776.5333333333333</v>
      </c>
      <c r="H134" s="9">
        <f t="shared" si="21"/>
        <v>1100286387.2</v>
      </c>
      <c r="I134" s="9">
        <f t="shared" si="14"/>
        <v>10898530790.633333</v>
      </c>
      <c r="J134" s="9">
        <f t="shared" si="15"/>
        <v>14280231</v>
      </c>
      <c r="K134" s="21">
        <f t="shared" si="16"/>
        <v>763.19009059680707</v>
      </c>
      <c r="L134" s="4" t="str">
        <f t="shared" si="12"/>
        <v>BUY</v>
      </c>
      <c r="M134" s="4">
        <f t="shared" si="17"/>
        <v>0</v>
      </c>
      <c r="N134" s="4">
        <f t="shared" si="13"/>
        <v>1</v>
      </c>
      <c r="O134" s="4">
        <f t="shared" si="18"/>
        <v>759.15</v>
      </c>
      <c r="P134" s="4">
        <f t="shared" si="19"/>
        <v>0</v>
      </c>
    </row>
    <row r="135" spans="1:16" x14ac:dyDescent="0.25">
      <c r="A135" s="1">
        <v>41465</v>
      </c>
      <c r="B135">
        <v>771</v>
      </c>
      <c r="C135">
        <v>784.9</v>
      </c>
      <c r="D135">
        <v>765.25</v>
      </c>
      <c r="E135" s="7">
        <v>782.1</v>
      </c>
      <c r="F135">
        <v>1897768</v>
      </c>
      <c r="G135" s="8">
        <f t="shared" si="20"/>
        <v>777.41666666666663</v>
      </c>
      <c r="H135" s="9">
        <f t="shared" si="21"/>
        <v>1475356472.6666665</v>
      </c>
      <c r="I135" s="9">
        <f t="shared" si="14"/>
        <v>11119979460.633331</v>
      </c>
      <c r="J135" s="9">
        <f t="shared" si="15"/>
        <v>14474127</v>
      </c>
      <c r="K135" s="21">
        <f t="shared" si="16"/>
        <v>768.26598665559118</v>
      </c>
      <c r="L135" s="4" t="str">
        <f t="shared" si="12"/>
        <v>BUY</v>
      </c>
      <c r="M135" s="4">
        <f t="shared" si="17"/>
        <v>0</v>
      </c>
      <c r="N135" s="4">
        <f t="shared" si="13"/>
        <v>1</v>
      </c>
      <c r="O135" s="4">
        <f t="shared" si="18"/>
        <v>759.15</v>
      </c>
      <c r="P135" s="4">
        <f t="shared" si="19"/>
        <v>0</v>
      </c>
    </row>
    <row r="136" spans="1:16" x14ac:dyDescent="0.25">
      <c r="A136" s="1">
        <v>41466</v>
      </c>
      <c r="B136">
        <v>795</v>
      </c>
      <c r="C136">
        <v>838.5</v>
      </c>
      <c r="D136">
        <v>795</v>
      </c>
      <c r="E136" s="7">
        <v>833.65</v>
      </c>
      <c r="F136">
        <v>9567726</v>
      </c>
      <c r="G136" s="8">
        <f t="shared" si="20"/>
        <v>822.38333333333333</v>
      </c>
      <c r="H136" s="9">
        <f t="shared" si="21"/>
        <v>7868338400.3000002</v>
      </c>
      <c r="I136" s="9">
        <f t="shared" si="14"/>
        <v>17898885476.349998</v>
      </c>
      <c r="J136" s="9">
        <f t="shared" si="15"/>
        <v>22570078</v>
      </c>
      <c r="K136" s="21">
        <f t="shared" si="16"/>
        <v>793.03604871680102</v>
      </c>
      <c r="L136" s="4" t="str">
        <f t="shared" si="12"/>
        <v>BUY</v>
      </c>
      <c r="M136" s="4">
        <f t="shared" si="17"/>
        <v>0</v>
      </c>
      <c r="N136" s="4">
        <f t="shared" si="13"/>
        <v>1</v>
      </c>
      <c r="O136" s="4">
        <f t="shared" si="18"/>
        <v>759.15</v>
      </c>
      <c r="P136" s="4">
        <f t="shared" si="19"/>
        <v>0</v>
      </c>
    </row>
    <row r="137" spans="1:16" x14ac:dyDescent="0.25">
      <c r="A137" s="1">
        <v>41467</v>
      </c>
      <c r="B137">
        <v>831.45</v>
      </c>
      <c r="C137">
        <v>834.7</v>
      </c>
      <c r="D137">
        <v>823.25</v>
      </c>
      <c r="E137" s="7">
        <v>826.7</v>
      </c>
      <c r="F137">
        <v>1513962</v>
      </c>
      <c r="G137" s="8">
        <f t="shared" si="20"/>
        <v>828.2166666666667</v>
      </c>
      <c r="H137" s="9">
        <f t="shared" si="21"/>
        <v>1253888561.1000001</v>
      </c>
      <c r="I137" s="9">
        <f t="shared" si="14"/>
        <v>18349698854.116665</v>
      </c>
      <c r="J137" s="9">
        <f t="shared" si="15"/>
        <v>23001242</v>
      </c>
      <c r="K137" s="21">
        <f t="shared" si="16"/>
        <v>797.76991408188587</v>
      </c>
      <c r="L137" s="4" t="str">
        <f t="shared" si="12"/>
        <v>BUY</v>
      </c>
      <c r="M137" s="4">
        <f t="shared" si="17"/>
        <v>0</v>
      </c>
      <c r="N137" s="4">
        <f t="shared" si="13"/>
        <v>1</v>
      </c>
      <c r="O137" s="4">
        <f t="shared" si="18"/>
        <v>759.15</v>
      </c>
      <c r="P137" s="4">
        <f t="shared" si="19"/>
        <v>0</v>
      </c>
    </row>
    <row r="138" spans="1:16" x14ac:dyDescent="0.25">
      <c r="A138" s="1">
        <v>41470</v>
      </c>
      <c r="B138">
        <v>826.7</v>
      </c>
      <c r="C138">
        <v>834.55</v>
      </c>
      <c r="D138">
        <v>825</v>
      </c>
      <c r="E138" s="7">
        <v>827.25</v>
      </c>
      <c r="F138">
        <v>1171031</v>
      </c>
      <c r="G138" s="8">
        <f t="shared" si="20"/>
        <v>828.93333333333339</v>
      </c>
      <c r="H138" s="9">
        <f t="shared" si="21"/>
        <v>970706630.26666677</v>
      </c>
      <c r="I138" s="9">
        <f t="shared" si="14"/>
        <v>18281891444.783329</v>
      </c>
      <c r="J138" s="9">
        <f t="shared" si="15"/>
        <v>22791821</v>
      </c>
      <c r="K138" s="21">
        <f t="shared" si="16"/>
        <v>802.12508885460841</v>
      </c>
      <c r="L138" s="4" t="str">
        <f t="shared" si="12"/>
        <v>BUY</v>
      </c>
      <c r="M138" s="4">
        <f t="shared" si="17"/>
        <v>0</v>
      </c>
      <c r="N138" s="4">
        <f t="shared" si="13"/>
        <v>1</v>
      </c>
      <c r="O138" s="4">
        <f t="shared" si="18"/>
        <v>759.15</v>
      </c>
      <c r="P138" s="4">
        <f t="shared" si="19"/>
        <v>0</v>
      </c>
    </row>
    <row r="139" spans="1:16" x14ac:dyDescent="0.25">
      <c r="A139" s="1">
        <v>41471</v>
      </c>
      <c r="B139">
        <v>832</v>
      </c>
      <c r="C139">
        <v>844.8</v>
      </c>
      <c r="D139">
        <v>829.6</v>
      </c>
      <c r="E139" s="7">
        <v>843</v>
      </c>
      <c r="F139">
        <v>1471860</v>
      </c>
      <c r="G139" s="8">
        <f t="shared" si="20"/>
        <v>839.13333333333333</v>
      </c>
      <c r="H139" s="9">
        <f t="shared" si="21"/>
        <v>1235086788</v>
      </c>
      <c r="I139" s="9">
        <f t="shared" si="14"/>
        <v>18698522431.566669</v>
      </c>
      <c r="J139" s="9">
        <f t="shared" si="15"/>
        <v>23187214</v>
      </c>
      <c r="K139" s="21">
        <f t="shared" si="16"/>
        <v>806.41522657990174</v>
      </c>
      <c r="L139" s="4" t="str">
        <f t="shared" ref="L139:L202" si="22">IF(E139&gt;K139,"BUY",IF(E139&lt;K139,"SELL",0))</f>
        <v>BUY</v>
      </c>
      <c r="M139" s="4">
        <f t="shared" si="17"/>
        <v>0</v>
      </c>
      <c r="N139" s="4">
        <f t="shared" ref="N139:N202" si="23">IF(M139="BUY",1,IF(M139="SELL",-1,N138))</f>
        <v>1</v>
      </c>
      <c r="O139" s="4">
        <f t="shared" si="18"/>
        <v>759.15</v>
      </c>
      <c r="P139" s="4">
        <f t="shared" si="19"/>
        <v>0</v>
      </c>
    </row>
    <row r="140" spans="1:16" x14ac:dyDescent="0.25">
      <c r="A140" s="1">
        <v>41472</v>
      </c>
      <c r="B140">
        <v>843</v>
      </c>
      <c r="C140">
        <v>846</v>
      </c>
      <c r="D140">
        <v>832.5</v>
      </c>
      <c r="E140" s="7">
        <v>843.7</v>
      </c>
      <c r="F140">
        <v>681441</v>
      </c>
      <c r="G140" s="8">
        <f t="shared" si="20"/>
        <v>840.73333333333323</v>
      </c>
      <c r="H140" s="9">
        <f t="shared" si="21"/>
        <v>572910163.39999998</v>
      </c>
      <c r="I140" s="9">
        <f t="shared" ref="I140:I203" si="24">SUM(H131:H140)</f>
        <v>18423587477.666664</v>
      </c>
      <c r="J140" s="9">
        <f t="shared" ref="J140:J203" si="25">SUM(F131:F140)</f>
        <v>22774873</v>
      </c>
      <c r="K140" s="21">
        <f t="shared" ref="K140:K203" si="26">I140/J140</f>
        <v>808.94358785959707</v>
      </c>
      <c r="L140" s="4" t="str">
        <f t="shared" si="22"/>
        <v>BUY</v>
      </c>
      <c r="M140" s="4">
        <f t="shared" ref="M140:M203" si="27">IF(L140&lt;&gt;L139,L140,0)</f>
        <v>0</v>
      </c>
      <c r="N140" s="4">
        <f t="shared" si="23"/>
        <v>1</v>
      </c>
      <c r="O140" s="4">
        <f t="shared" ref="O140:O203" si="28">IF(M140&lt;&gt;0,E140,O139)</f>
        <v>759.15</v>
      </c>
      <c r="P140" s="4">
        <f t="shared" ref="P140:P203" si="29">IF(M140="BUY",(O139-O140)/O139,IF(M140="SELL",(O140-O139)/O139,0))</f>
        <v>0</v>
      </c>
    </row>
    <row r="141" spans="1:16" x14ac:dyDescent="0.25">
      <c r="A141" s="1">
        <v>41473</v>
      </c>
      <c r="B141">
        <v>850</v>
      </c>
      <c r="C141">
        <v>850</v>
      </c>
      <c r="D141">
        <v>835.1</v>
      </c>
      <c r="E141" s="7">
        <v>839.3</v>
      </c>
      <c r="F141">
        <v>947236</v>
      </c>
      <c r="G141" s="8">
        <f t="shared" si="20"/>
        <v>841.46666666666658</v>
      </c>
      <c r="H141" s="9">
        <f t="shared" si="21"/>
        <v>797067519.46666658</v>
      </c>
      <c r="I141" s="9">
        <f t="shared" si="24"/>
        <v>18507661255.933334</v>
      </c>
      <c r="J141" s="9">
        <f t="shared" si="25"/>
        <v>22803776</v>
      </c>
      <c r="K141" s="21">
        <f t="shared" si="26"/>
        <v>811.60511557091831</v>
      </c>
      <c r="L141" s="4" t="str">
        <f t="shared" si="22"/>
        <v>BUY</v>
      </c>
      <c r="M141" s="4">
        <f t="shared" si="27"/>
        <v>0</v>
      </c>
      <c r="N141" s="4">
        <f t="shared" si="23"/>
        <v>1</v>
      </c>
      <c r="O141" s="4">
        <f t="shared" si="28"/>
        <v>759.15</v>
      </c>
      <c r="P141" s="4">
        <f t="shared" si="29"/>
        <v>0</v>
      </c>
    </row>
    <row r="142" spans="1:16" x14ac:dyDescent="0.25">
      <c r="A142" s="1">
        <v>41474</v>
      </c>
      <c r="B142">
        <v>842.4</v>
      </c>
      <c r="C142">
        <v>851.6</v>
      </c>
      <c r="D142">
        <v>840.4</v>
      </c>
      <c r="E142" s="7">
        <v>849.25</v>
      </c>
      <c r="F142">
        <v>1383245</v>
      </c>
      <c r="G142" s="8">
        <f t="shared" si="20"/>
        <v>847.08333333333337</v>
      </c>
      <c r="H142" s="9">
        <f t="shared" si="21"/>
        <v>1171723785.4166667</v>
      </c>
      <c r="I142" s="9">
        <f t="shared" si="24"/>
        <v>18604747853.350002</v>
      </c>
      <c r="J142" s="9">
        <f t="shared" si="25"/>
        <v>22824133</v>
      </c>
      <c r="K142" s="21">
        <f t="shared" si="26"/>
        <v>815.13492115341262</v>
      </c>
      <c r="L142" s="4" t="str">
        <f t="shared" si="22"/>
        <v>BUY</v>
      </c>
      <c r="M142" s="4">
        <f t="shared" si="27"/>
        <v>0</v>
      </c>
      <c r="N142" s="4">
        <f t="shared" si="23"/>
        <v>1</v>
      </c>
      <c r="O142" s="4">
        <f t="shared" si="28"/>
        <v>759.15</v>
      </c>
      <c r="P142" s="4">
        <f t="shared" si="29"/>
        <v>0</v>
      </c>
    </row>
    <row r="143" spans="1:16" x14ac:dyDescent="0.25">
      <c r="A143" s="1">
        <v>41477</v>
      </c>
      <c r="B143">
        <v>855</v>
      </c>
      <c r="C143">
        <v>859.8</v>
      </c>
      <c r="D143">
        <v>846.2</v>
      </c>
      <c r="E143" s="7">
        <v>849.15</v>
      </c>
      <c r="F143">
        <v>1053301</v>
      </c>
      <c r="G143" s="8">
        <f t="shared" si="20"/>
        <v>851.7166666666667</v>
      </c>
      <c r="H143" s="9">
        <f t="shared" si="21"/>
        <v>897114016.7166667</v>
      </c>
      <c r="I143" s="9">
        <f t="shared" si="24"/>
        <v>17342478724.533333</v>
      </c>
      <c r="J143" s="9">
        <f t="shared" si="25"/>
        <v>21104491</v>
      </c>
      <c r="K143" s="21">
        <f t="shared" si="26"/>
        <v>821.74352011300971</v>
      </c>
      <c r="L143" s="4" t="str">
        <f t="shared" si="22"/>
        <v>BUY</v>
      </c>
      <c r="M143" s="4">
        <f t="shared" si="27"/>
        <v>0</v>
      </c>
      <c r="N143" s="4">
        <f t="shared" si="23"/>
        <v>1</v>
      </c>
      <c r="O143" s="4">
        <f t="shared" si="28"/>
        <v>759.15</v>
      </c>
      <c r="P143" s="4">
        <f t="shared" si="29"/>
        <v>0</v>
      </c>
    </row>
    <row r="144" spans="1:16" x14ac:dyDescent="0.25">
      <c r="A144" s="1">
        <v>41478</v>
      </c>
      <c r="B144">
        <v>851</v>
      </c>
      <c r="C144">
        <v>857.95</v>
      </c>
      <c r="D144">
        <v>847</v>
      </c>
      <c r="E144" s="7">
        <v>854.45</v>
      </c>
      <c r="F144">
        <v>2179614</v>
      </c>
      <c r="G144" s="8">
        <f t="shared" si="20"/>
        <v>853.13333333333333</v>
      </c>
      <c r="H144" s="9">
        <f t="shared" si="21"/>
        <v>1859501357.2</v>
      </c>
      <c r="I144" s="9">
        <f t="shared" si="24"/>
        <v>18101693694.533333</v>
      </c>
      <c r="J144" s="9">
        <f t="shared" si="25"/>
        <v>21867184</v>
      </c>
      <c r="K144" s="21">
        <f t="shared" si="26"/>
        <v>827.80177340316584</v>
      </c>
      <c r="L144" s="4" t="str">
        <f t="shared" si="22"/>
        <v>BUY</v>
      </c>
      <c r="M144" s="4">
        <f t="shared" si="27"/>
        <v>0</v>
      </c>
      <c r="N144" s="4">
        <f t="shared" si="23"/>
        <v>1</v>
      </c>
      <c r="O144" s="4">
        <f t="shared" si="28"/>
        <v>759.15</v>
      </c>
      <c r="P144" s="4">
        <f t="shared" si="29"/>
        <v>0</v>
      </c>
    </row>
    <row r="145" spans="1:16" x14ac:dyDescent="0.25">
      <c r="A145" s="1">
        <v>41479</v>
      </c>
      <c r="B145">
        <v>855</v>
      </c>
      <c r="C145">
        <v>855</v>
      </c>
      <c r="D145">
        <v>849</v>
      </c>
      <c r="E145" s="7">
        <v>850</v>
      </c>
      <c r="F145">
        <v>2665952</v>
      </c>
      <c r="G145" s="8">
        <f t="shared" si="20"/>
        <v>851.33333333333337</v>
      </c>
      <c r="H145" s="9">
        <f t="shared" si="21"/>
        <v>2269613802.666667</v>
      </c>
      <c r="I145" s="9">
        <f t="shared" si="24"/>
        <v>18895951024.533333</v>
      </c>
      <c r="J145" s="9">
        <f t="shared" si="25"/>
        <v>22635368</v>
      </c>
      <c r="K145" s="21">
        <f t="shared" si="26"/>
        <v>834.7976063182773</v>
      </c>
      <c r="L145" s="4" t="str">
        <f t="shared" si="22"/>
        <v>BUY</v>
      </c>
      <c r="M145" s="4">
        <f t="shared" si="27"/>
        <v>0</v>
      </c>
      <c r="N145" s="4">
        <f t="shared" si="23"/>
        <v>1</v>
      </c>
      <c r="O145" s="4">
        <f t="shared" si="28"/>
        <v>759.15</v>
      </c>
      <c r="P145" s="4">
        <f t="shared" si="29"/>
        <v>0</v>
      </c>
    </row>
    <row r="146" spans="1:16" x14ac:dyDescent="0.25">
      <c r="A146" s="1">
        <v>41480</v>
      </c>
      <c r="B146">
        <v>849</v>
      </c>
      <c r="C146">
        <v>850</v>
      </c>
      <c r="D146">
        <v>835</v>
      </c>
      <c r="E146" s="7">
        <v>839.8</v>
      </c>
      <c r="F146">
        <v>641713</v>
      </c>
      <c r="G146" s="8">
        <f t="shared" si="20"/>
        <v>841.6</v>
      </c>
      <c r="H146" s="9">
        <f t="shared" si="21"/>
        <v>540065660.80000007</v>
      </c>
      <c r="I146" s="9">
        <f t="shared" si="24"/>
        <v>11567678285.033333</v>
      </c>
      <c r="J146" s="9">
        <f t="shared" si="25"/>
        <v>13709355</v>
      </c>
      <c r="K146" s="21">
        <f t="shared" si="26"/>
        <v>843.77990686165276</v>
      </c>
      <c r="L146" s="4" t="str">
        <f t="shared" si="22"/>
        <v>SELL</v>
      </c>
      <c r="M146" s="4" t="str">
        <f t="shared" si="27"/>
        <v>SELL</v>
      </c>
      <c r="N146" s="4">
        <f t="shared" si="23"/>
        <v>-1</v>
      </c>
      <c r="O146" s="4">
        <f t="shared" si="28"/>
        <v>839.8</v>
      </c>
      <c r="P146" s="4">
        <f t="shared" si="29"/>
        <v>0.10623723901732197</v>
      </c>
    </row>
    <row r="147" spans="1:16" x14ac:dyDescent="0.25">
      <c r="A147" s="1">
        <v>41481</v>
      </c>
      <c r="B147">
        <v>843</v>
      </c>
      <c r="C147">
        <v>848.45</v>
      </c>
      <c r="D147">
        <v>837</v>
      </c>
      <c r="E147" s="7">
        <v>838.3</v>
      </c>
      <c r="F147">
        <v>1413881</v>
      </c>
      <c r="G147" s="8">
        <f t="shared" si="20"/>
        <v>841.25</v>
      </c>
      <c r="H147" s="9">
        <f t="shared" si="21"/>
        <v>1189427391.25</v>
      </c>
      <c r="I147" s="9">
        <f t="shared" si="24"/>
        <v>11503217115.183332</v>
      </c>
      <c r="J147" s="9">
        <f t="shared" si="25"/>
        <v>13609274</v>
      </c>
      <c r="K147" s="21">
        <f t="shared" si="26"/>
        <v>845.24840305098803</v>
      </c>
      <c r="L147" s="4" t="str">
        <f t="shared" si="22"/>
        <v>SELL</v>
      </c>
      <c r="M147" s="4">
        <f t="shared" si="27"/>
        <v>0</v>
      </c>
      <c r="N147" s="4">
        <f t="shared" si="23"/>
        <v>-1</v>
      </c>
      <c r="O147" s="4">
        <f t="shared" si="28"/>
        <v>839.8</v>
      </c>
      <c r="P147" s="4">
        <f t="shared" si="29"/>
        <v>0</v>
      </c>
    </row>
    <row r="148" spans="1:16" x14ac:dyDescent="0.25">
      <c r="A148" s="1">
        <v>41484</v>
      </c>
      <c r="B148">
        <v>841</v>
      </c>
      <c r="C148">
        <v>844.5</v>
      </c>
      <c r="D148">
        <v>828.55</v>
      </c>
      <c r="E148" s="7">
        <v>832.05</v>
      </c>
      <c r="F148">
        <v>640776</v>
      </c>
      <c r="G148" s="8">
        <f t="shared" si="20"/>
        <v>835.0333333333333</v>
      </c>
      <c r="H148" s="9">
        <f t="shared" si="21"/>
        <v>535069319.19999999</v>
      </c>
      <c r="I148" s="9">
        <f t="shared" si="24"/>
        <v>11067579804.116667</v>
      </c>
      <c r="J148" s="9">
        <f t="shared" si="25"/>
        <v>13079019</v>
      </c>
      <c r="K148" s="21">
        <f t="shared" si="26"/>
        <v>846.20871061634409</v>
      </c>
      <c r="L148" s="4" t="str">
        <f t="shared" si="22"/>
        <v>SELL</v>
      </c>
      <c r="M148" s="4">
        <f t="shared" si="27"/>
        <v>0</v>
      </c>
      <c r="N148" s="4">
        <f t="shared" si="23"/>
        <v>-1</v>
      </c>
      <c r="O148" s="4">
        <f t="shared" si="28"/>
        <v>839.8</v>
      </c>
      <c r="P148" s="4">
        <f t="shared" si="29"/>
        <v>0</v>
      </c>
    </row>
    <row r="149" spans="1:16" x14ac:dyDescent="0.25">
      <c r="A149" s="1">
        <v>41485</v>
      </c>
      <c r="B149">
        <v>836</v>
      </c>
      <c r="C149">
        <v>872</v>
      </c>
      <c r="D149">
        <v>835.85</v>
      </c>
      <c r="E149" s="7">
        <v>868.8</v>
      </c>
      <c r="F149">
        <v>2791967</v>
      </c>
      <c r="G149" s="8">
        <f t="shared" si="20"/>
        <v>858.88333333333321</v>
      </c>
      <c r="H149" s="9">
        <f t="shared" si="21"/>
        <v>2397973923.5166664</v>
      </c>
      <c r="I149" s="9">
        <f t="shared" si="24"/>
        <v>12230466939.633335</v>
      </c>
      <c r="J149" s="9">
        <f t="shared" si="25"/>
        <v>14399126</v>
      </c>
      <c r="K149" s="21">
        <f t="shared" si="26"/>
        <v>849.38953514493414</v>
      </c>
      <c r="L149" s="4" t="str">
        <f t="shared" si="22"/>
        <v>BUY</v>
      </c>
      <c r="M149" s="4" t="str">
        <f t="shared" si="27"/>
        <v>BUY</v>
      </c>
      <c r="N149" s="4">
        <f t="shared" si="23"/>
        <v>1</v>
      </c>
      <c r="O149" s="4">
        <f t="shared" si="28"/>
        <v>868.8</v>
      </c>
      <c r="P149" s="4">
        <f t="shared" si="29"/>
        <v>-3.4532031436056203E-2</v>
      </c>
    </row>
    <row r="150" spans="1:16" x14ac:dyDescent="0.25">
      <c r="A150" s="1">
        <v>41486</v>
      </c>
      <c r="B150">
        <v>872</v>
      </c>
      <c r="C150">
        <v>882.4</v>
      </c>
      <c r="D150">
        <v>865.65</v>
      </c>
      <c r="E150" s="7">
        <v>877.85</v>
      </c>
      <c r="F150">
        <v>1456475</v>
      </c>
      <c r="G150" s="8">
        <f t="shared" si="20"/>
        <v>875.30000000000007</v>
      </c>
      <c r="H150" s="9">
        <f t="shared" si="21"/>
        <v>1274852567.5</v>
      </c>
      <c r="I150" s="9">
        <f t="shared" si="24"/>
        <v>12932409343.733334</v>
      </c>
      <c r="J150" s="9">
        <f t="shared" si="25"/>
        <v>15174160</v>
      </c>
      <c r="K150" s="21">
        <f t="shared" si="26"/>
        <v>852.26525512669787</v>
      </c>
      <c r="L150" s="4" t="str">
        <f t="shared" si="22"/>
        <v>BUY</v>
      </c>
      <c r="M150" s="4">
        <f t="shared" si="27"/>
        <v>0</v>
      </c>
      <c r="N150" s="4">
        <f t="shared" si="23"/>
        <v>1</v>
      </c>
      <c r="O150" s="4">
        <f t="shared" si="28"/>
        <v>868.8</v>
      </c>
      <c r="P150" s="4">
        <f t="shared" si="29"/>
        <v>0</v>
      </c>
    </row>
    <row r="151" spans="1:16" x14ac:dyDescent="0.25">
      <c r="A151" s="1">
        <v>41487</v>
      </c>
      <c r="B151">
        <v>880</v>
      </c>
      <c r="C151">
        <v>883.5</v>
      </c>
      <c r="D151">
        <v>860.65</v>
      </c>
      <c r="E151" s="7">
        <v>864.7</v>
      </c>
      <c r="F151">
        <v>1218867</v>
      </c>
      <c r="G151" s="8">
        <f t="shared" si="20"/>
        <v>869.61666666666679</v>
      </c>
      <c r="H151" s="9">
        <f t="shared" si="21"/>
        <v>1059947057.6500001</v>
      </c>
      <c r="I151" s="9">
        <f t="shared" si="24"/>
        <v>13195288881.916666</v>
      </c>
      <c r="J151" s="9">
        <f t="shared" si="25"/>
        <v>15445791</v>
      </c>
      <c r="K151" s="21">
        <f t="shared" si="26"/>
        <v>854.2967389573422</v>
      </c>
      <c r="L151" s="4" t="str">
        <f t="shared" si="22"/>
        <v>BUY</v>
      </c>
      <c r="M151" s="4">
        <f t="shared" si="27"/>
        <v>0</v>
      </c>
      <c r="N151" s="4">
        <f t="shared" si="23"/>
        <v>1</v>
      </c>
      <c r="O151" s="4">
        <f t="shared" si="28"/>
        <v>868.8</v>
      </c>
      <c r="P151" s="4">
        <f t="shared" si="29"/>
        <v>0</v>
      </c>
    </row>
    <row r="152" spans="1:16" x14ac:dyDescent="0.25">
      <c r="A152" s="1">
        <v>41488</v>
      </c>
      <c r="B152">
        <v>861.15</v>
      </c>
      <c r="C152">
        <v>883.7</v>
      </c>
      <c r="D152">
        <v>846.1</v>
      </c>
      <c r="E152" s="7">
        <v>879.85</v>
      </c>
      <c r="F152">
        <v>2129993</v>
      </c>
      <c r="G152" s="8">
        <f t="shared" si="20"/>
        <v>869.88333333333333</v>
      </c>
      <c r="H152" s="9">
        <f t="shared" si="21"/>
        <v>1852845410.8166666</v>
      </c>
      <c r="I152" s="9">
        <f t="shared" si="24"/>
        <v>13876410507.316666</v>
      </c>
      <c r="J152" s="9">
        <f t="shared" si="25"/>
        <v>16192539</v>
      </c>
      <c r="K152" s="21">
        <f t="shared" si="26"/>
        <v>856.96322901038968</v>
      </c>
      <c r="L152" s="4" t="str">
        <f t="shared" si="22"/>
        <v>BUY</v>
      </c>
      <c r="M152" s="4">
        <f t="shared" si="27"/>
        <v>0</v>
      </c>
      <c r="N152" s="4">
        <f t="shared" si="23"/>
        <v>1</v>
      </c>
      <c r="O152" s="4">
        <f t="shared" si="28"/>
        <v>868.8</v>
      </c>
      <c r="P152" s="4">
        <f t="shared" si="29"/>
        <v>0</v>
      </c>
    </row>
    <row r="153" spans="1:16" x14ac:dyDescent="0.25">
      <c r="A153" s="1">
        <v>41491</v>
      </c>
      <c r="B153">
        <v>885</v>
      </c>
      <c r="C153">
        <v>885</v>
      </c>
      <c r="D153">
        <v>861.4</v>
      </c>
      <c r="E153" s="7">
        <v>864.5</v>
      </c>
      <c r="F153">
        <v>772597</v>
      </c>
      <c r="G153" s="8">
        <f t="shared" si="20"/>
        <v>870.30000000000007</v>
      </c>
      <c r="H153" s="9">
        <f t="shared" si="21"/>
        <v>672391169.10000002</v>
      </c>
      <c r="I153" s="9">
        <f t="shared" si="24"/>
        <v>13651687659.699999</v>
      </c>
      <c r="J153" s="9">
        <f t="shared" si="25"/>
        <v>15911835</v>
      </c>
      <c r="K153" s="21">
        <f t="shared" si="26"/>
        <v>857.9580959518496</v>
      </c>
      <c r="L153" s="4" t="str">
        <f t="shared" si="22"/>
        <v>BUY</v>
      </c>
      <c r="M153" s="4">
        <f t="shared" si="27"/>
        <v>0</v>
      </c>
      <c r="N153" s="4">
        <f t="shared" si="23"/>
        <v>1</v>
      </c>
      <c r="O153" s="4">
        <f t="shared" si="28"/>
        <v>868.8</v>
      </c>
      <c r="P153" s="4">
        <f t="shared" si="29"/>
        <v>0</v>
      </c>
    </row>
    <row r="154" spans="1:16" x14ac:dyDescent="0.25">
      <c r="A154" s="1">
        <v>41492</v>
      </c>
      <c r="B154">
        <v>862</v>
      </c>
      <c r="C154">
        <v>873</v>
      </c>
      <c r="D154">
        <v>854.8</v>
      </c>
      <c r="E154" s="7">
        <v>858.15</v>
      </c>
      <c r="F154">
        <v>2010124</v>
      </c>
      <c r="G154" s="8">
        <f t="shared" si="20"/>
        <v>861.98333333333323</v>
      </c>
      <c r="H154" s="9">
        <f t="shared" si="21"/>
        <v>1732693385.9333332</v>
      </c>
      <c r="I154" s="9">
        <f t="shared" si="24"/>
        <v>13524879688.433334</v>
      </c>
      <c r="J154" s="9">
        <f t="shared" si="25"/>
        <v>15742345</v>
      </c>
      <c r="K154" s="21">
        <f t="shared" si="26"/>
        <v>859.14008925819724</v>
      </c>
      <c r="L154" s="4" t="str">
        <f t="shared" si="22"/>
        <v>SELL</v>
      </c>
      <c r="M154" s="4" t="str">
        <f t="shared" si="27"/>
        <v>SELL</v>
      </c>
      <c r="N154" s="4">
        <f t="shared" si="23"/>
        <v>-1</v>
      </c>
      <c r="O154" s="4">
        <f t="shared" si="28"/>
        <v>858.15</v>
      </c>
      <c r="P154" s="4">
        <f t="shared" si="29"/>
        <v>-1.2258287292817653E-2</v>
      </c>
    </row>
    <row r="155" spans="1:16" x14ac:dyDescent="0.25">
      <c r="A155" s="1">
        <v>41493</v>
      </c>
      <c r="B155">
        <v>856.9</v>
      </c>
      <c r="C155">
        <v>856.9</v>
      </c>
      <c r="D155">
        <v>846.2</v>
      </c>
      <c r="E155" s="7">
        <v>853.45</v>
      </c>
      <c r="F155">
        <v>1139046</v>
      </c>
      <c r="G155" s="8">
        <f t="shared" si="20"/>
        <v>852.18333333333339</v>
      </c>
      <c r="H155" s="9">
        <f t="shared" si="21"/>
        <v>970676017.10000002</v>
      </c>
      <c r="I155" s="9">
        <f t="shared" si="24"/>
        <v>12225941902.866667</v>
      </c>
      <c r="J155" s="9">
        <f t="shared" si="25"/>
        <v>14215439</v>
      </c>
      <c r="K155" s="21">
        <f t="shared" si="26"/>
        <v>860.04673530424679</v>
      </c>
      <c r="L155" s="4" t="str">
        <f t="shared" si="22"/>
        <v>SELL</v>
      </c>
      <c r="M155" s="4">
        <f t="shared" si="27"/>
        <v>0</v>
      </c>
      <c r="N155" s="4">
        <f t="shared" si="23"/>
        <v>-1</v>
      </c>
      <c r="O155" s="4">
        <f t="shared" si="28"/>
        <v>858.15</v>
      </c>
      <c r="P155" s="4">
        <f t="shared" si="29"/>
        <v>0</v>
      </c>
    </row>
    <row r="156" spans="1:16" x14ac:dyDescent="0.25">
      <c r="A156" s="1">
        <v>41494</v>
      </c>
      <c r="B156">
        <v>857</v>
      </c>
      <c r="C156">
        <v>862.9</v>
      </c>
      <c r="D156">
        <v>838</v>
      </c>
      <c r="E156" s="7">
        <v>854.4</v>
      </c>
      <c r="F156">
        <v>1294953</v>
      </c>
      <c r="G156" s="8">
        <f t="shared" si="20"/>
        <v>851.76666666666677</v>
      </c>
      <c r="H156" s="9">
        <f t="shared" si="21"/>
        <v>1102997800.3000002</v>
      </c>
      <c r="I156" s="9">
        <f t="shared" si="24"/>
        <v>12788874042.366665</v>
      </c>
      <c r="J156" s="9">
        <f t="shared" si="25"/>
        <v>14868679</v>
      </c>
      <c r="K156" s="21">
        <f t="shared" si="26"/>
        <v>860.12173928609695</v>
      </c>
      <c r="L156" s="4" t="str">
        <f t="shared" si="22"/>
        <v>SELL</v>
      </c>
      <c r="M156" s="4">
        <f t="shared" si="27"/>
        <v>0</v>
      </c>
      <c r="N156" s="4">
        <f t="shared" si="23"/>
        <v>-1</v>
      </c>
      <c r="O156" s="4">
        <f t="shared" si="28"/>
        <v>858.15</v>
      </c>
      <c r="P156" s="4">
        <f t="shared" si="29"/>
        <v>0</v>
      </c>
    </row>
    <row r="157" spans="1:16" x14ac:dyDescent="0.25">
      <c r="A157" s="1">
        <v>41495</v>
      </c>
      <c r="B157">
        <v>857</v>
      </c>
      <c r="C157">
        <v>862.55</v>
      </c>
      <c r="D157">
        <v>848.8</v>
      </c>
      <c r="E157" s="7">
        <v>854.1</v>
      </c>
      <c r="F157">
        <v>659549</v>
      </c>
      <c r="G157" s="8">
        <f t="shared" si="20"/>
        <v>855.15</v>
      </c>
      <c r="H157" s="9">
        <f t="shared" si="21"/>
        <v>564013327.35000002</v>
      </c>
      <c r="I157" s="9">
        <f t="shared" si="24"/>
        <v>12163459978.466669</v>
      </c>
      <c r="J157" s="9">
        <f t="shared" si="25"/>
        <v>14114347</v>
      </c>
      <c r="K157" s="21">
        <f t="shared" si="26"/>
        <v>861.77985977436072</v>
      </c>
      <c r="L157" s="4" t="str">
        <f t="shared" si="22"/>
        <v>SELL</v>
      </c>
      <c r="M157" s="4">
        <f t="shared" si="27"/>
        <v>0</v>
      </c>
      <c r="N157" s="4">
        <f t="shared" si="23"/>
        <v>-1</v>
      </c>
      <c r="O157" s="4">
        <f t="shared" si="28"/>
        <v>858.15</v>
      </c>
      <c r="P157" s="4">
        <f t="shared" si="29"/>
        <v>0</v>
      </c>
    </row>
    <row r="158" spans="1:16" x14ac:dyDescent="0.25">
      <c r="A158" s="1">
        <v>41498</v>
      </c>
      <c r="B158">
        <v>850.1</v>
      </c>
      <c r="C158">
        <v>861</v>
      </c>
      <c r="D158">
        <v>844</v>
      </c>
      <c r="E158" s="7">
        <v>850.2</v>
      </c>
      <c r="F158">
        <v>866598</v>
      </c>
      <c r="G158" s="8">
        <f t="shared" si="20"/>
        <v>851.73333333333323</v>
      </c>
      <c r="H158" s="9">
        <f t="shared" si="21"/>
        <v>738110403.19999993</v>
      </c>
      <c r="I158" s="9">
        <f t="shared" si="24"/>
        <v>12366501062.466669</v>
      </c>
      <c r="J158" s="9">
        <f t="shared" si="25"/>
        <v>14340169</v>
      </c>
      <c r="K158" s="21">
        <f t="shared" si="26"/>
        <v>862.3678746370889</v>
      </c>
      <c r="L158" s="4" t="str">
        <f t="shared" si="22"/>
        <v>SELL</v>
      </c>
      <c r="M158" s="4">
        <f t="shared" si="27"/>
        <v>0</v>
      </c>
      <c r="N158" s="4">
        <f t="shared" si="23"/>
        <v>-1</v>
      </c>
      <c r="O158" s="4">
        <f t="shared" si="28"/>
        <v>858.15</v>
      </c>
      <c r="P158" s="4">
        <f t="shared" si="29"/>
        <v>0</v>
      </c>
    </row>
    <row r="159" spans="1:16" x14ac:dyDescent="0.25">
      <c r="A159" s="1">
        <v>41499</v>
      </c>
      <c r="B159">
        <v>853</v>
      </c>
      <c r="C159">
        <v>875.8</v>
      </c>
      <c r="D159">
        <v>850</v>
      </c>
      <c r="E159" s="7">
        <v>871.1</v>
      </c>
      <c r="F159">
        <v>1444458</v>
      </c>
      <c r="G159" s="8">
        <f t="shared" si="20"/>
        <v>865.63333333333333</v>
      </c>
      <c r="H159" s="9">
        <f t="shared" si="21"/>
        <v>1250370993.4000001</v>
      </c>
      <c r="I159" s="9">
        <f t="shared" si="24"/>
        <v>11218898132.350002</v>
      </c>
      <c r="J159" s="9">
        <f t="shared" si="25"/>
        <v>12992660</v>
      </c>
      <c r="K159" s="21">
        <f t="shared" si="26"/>
        <v>863.47969794868811</v>
      </c>
      <c r="L159" s="4" t="str">
        <f t="shared" si="22"/>
        <v>BUY</v>
      </c>
      <c r="M159" s="4" t="str">
        <f t="shared" si="27"/>
        <v>BUY</v>
      </c>
      <c r="N159" s="4">
        <f t="shared" si="23"/>
        <v>1</v>
      </c>
      <c r="O159" s="4">
        <f t="shared" si="28"/>
        <v>871.1</v>
      </c>
      <c r="P159" s="4">
        <f t="shared" si="29"/>
        <v>-1.5090601876128935E-2</v>
      </c>
    </row>
    <row r="160" spans="1:16" x14ac:dyDescent="0.25">
      <c r="A160" s="1">
        <v>41500</v>
      </c>
      <c r="B160">
        <v>874</v>
      </c>
      <c r="C160">
        <v>880.9</v>
      </c>
      <c r="D160">
        <v>867.3</v>
      </c>
      <c r="E160" s="7">
        <v>872.05</v>
      </c>
      <c r="F160">
        <v>1074267</v>
      </c>
      <c r="G160" s="8">
        <f t="shared" si="20"/>
        <v>873.41666666666663</v>
      </c>
      <c r="H160" s="9">
        <f t="shared" si="21"/>
        <v>938282702.25</v>
      </c>
      <c r="I160" s="9">
        <f t="shared" si="24"/>
        <v>10882328267.1</v>
      </c>
      <c r="J160" s="9">
        <f t="shared" si="25"/>
        <v>12610452</v>
      </c>
      <c r="K160" s="21">
        <f t="shared" si="26"/>
        <v>862.96099989913137</v>
      </c>
      <c r="L160" s="4" t="str">
        <f t="shared" si="22"/>
        <v>BUY</v>
      </c>
      <c r="M160" s="4">
        <f t="shared" si="27"/>
        <v>0</v>
      </c>
      <c r="N160" s="4">
        <f t="shared" si="23"/>
        <v>1</v>
      </c>
      <c r="O160" s="4">
        <f t="shared" si="28"/>
        <v>871.1</v>
      </c>
      <c r="P160" s="4">
        <f t="shared" si="29"/>
        <v>0</v>
      </c>
    </row>
    <row r="161" spans="1:16" x14ac:dyDescent="0.25">
      <c r="A161" s="1">
        <v>41501</v>
      </c>
      <c r="B161">
        <v>869</v>
      </c>
      <c r="C161">
        <v>879.9</v>
      </c>
      <c r="D161">
        <v>863</v>
      </c>
      <c r="E161" s="7">
        <v>868.95</v>
      </c>
      <c r="F161">
        <v>873198</v>
      </c>
      <c r="G161" s="8">
        <f t="shared" si="20"/>
        <v>870.61666666666679</v>
      </c>
      <c r="H161" s="9">
        <f t="shared" si="21"/>
        <v>760220732.10000014</v>
      </c>
      <c r="I161" s="9">
        <f t="shared" si="24"/>
        <v>10582601941.550001</v>
      </c>
      <c r="J161" s="9">
        <f t="shared" si="25"/>
        <v>12264783</v>
      </c>
      <c r="K161" s="21">
        <f t="shared" si="26"/>
        <v>862.84461303147407</v>
      </c>
      <c r="L161" s="4" t="str">
        <f t="shared" si="22"/>
        <v>BUY</v>
      </c>
      <c r="M161" s="4">
        <f t="shared" si="27"/>
        <v>0</v>
      </c>
      <c r="N161" s="4">
        <f t="shared" si="23"/>
        <v>1</v>
      </c>
      <c r="O161" s="4">
        <f t="shared" si="28"/>
        <v>871.1</v>
      </c>
      <c r="P161" s="4">
        <f t="shared" si="29"/>
        <v>0</v>
      </c>
    </row>
    <row r="162" spans="1:16" x14ac:dyDescent="0.25">
      <c r="A162" s="1">
        <v>41502</v>
      </c>
      <c r="B162">
        <v>860</v>
      </c>
      <c r="C162">
        <v>875.45</v>
      </c>
      <c r="D162">
        <v>857.05</v>
      </c>
      <c r="E162" s="7">
        <v>870.4</v>
      </c>
      <c r="F162">
        <v>524915</v>
      </c>
      <c r="G162" s="8">
        <f t="shared" si="20"/>
        <v>867.63333333333333</v>
      </c>
      <c r="H162" s="9">
        <f t="shared" si="21"/>
        <v>455433751.16666669</v>
      </c>
      <c r="I162" s="9">
        <f t="shared" si="24"/>
        <v>9185190281.8999996</v>
      </c>
      <c r="J162" s="9">
        <f t="shared" si="25"/>
        <v>10659705</v>
      </c>
      <c r="K162" s="21">
        <f t="shared" si="26"/>
        <v>861.67396582738445</v>
      </c>
      <c r="L162" s="4" t="str">
        <f t="shared" si="22"/>
        <v>BUY</v>
      </c>
      <c r="M162" s="4">
        <f t="shared" si="27"/>
        <v>0</v>
      </c>
      <c r="N162" s="4">
        <f t="shared" si="23"/>
        <v>1</v>
      </c>
      <c r="O162" s="4">
        <f t="shared" si="28"/>
        <v>871.1</v>
      </c>
      <c r="P162" s="4">
        <f t="shared" si="29"/>
        <v>0</v>
      </c>
    </row>
    <row r="163" spans="1:16" x14ac:dyDescent="0.25">
      <c r="A163" s="1">
        <v>41505</v>
      </c>
      <c r="B163">
        <v>870</v>
      </c>
      <c r="C163">
        <v>881.9</v>
      </c>
      <c r="D163">
        <v>865</v>
      </c>
      <c r="E163" s="7">
        <v>870.7</v>
      </c>
      <c r="F163">
        <v>1325237</v>
      </c>
      <c r="G163" s="8">
        <f t="shared" si="20"/>
        <v>872.53333333333342</v>
      </c>
      <c r="H163" s="9">
        <f t="shared" si="21"/>
        <v>1156313457.0666668</v>
      </c>
      <c r="I163" s="9">
        <f t="shared" si="24"/>
        <v>9669112569.8666668</v>
      </c>
      <c r="J163" s="9">
        <f t="shared" si="25"/>
        <v>11212345</v>
      </c>
      <c r="K163" s="21">
        <f t="shared" si="26"/>
        <v>862.36309798411185</v>
      </c>
      <c r="L163" s="4" t="str">
        <f t="shared" si="22"/>
        <v>BUY</v>
      </c>
      <c r="M163" s="4">
        <f t="shared" si="27"/>
        <v>0</v>
      </c>
      <c r="N163" s="4">
        <f t="shared" si="23"/>
        <v>1</v>
      </c>
      <c r="O163" s="4">
        <f t="shared" si="28"/>
        <v>871.1</v>
      </c>
      <c r="P163" s="4">
        <f t="shared" si="29"/>
        <v>0</v>
      </c>
    </row>
    <row r="164" spans="1:16" x14ac:dyDescent="0.25">
      <c r="A164" s="1">
        <v>41506</v>
      </c>
      <c r="B164">
        <v>872</v>
      </c>
      <c r="C164">
        <v>881.5</v>
      </c>
      <c r="D164">
        <v>866.3</v>
      </c>
      <c r="E164" s="7">
        <v>871.2</v>
      </c>
      <c r="F164">
        <v>1189984</v>
      </c>
      <c r="G164" s="8">
        <f t="shared" si="20"/>
        <v>873</v>
      </c>
      <c r="H164" s="9">
        <f t="shared" si="21"/>
        <v>1038856032</v>
      </c>
      <c r="I164" s="9">
        <f t="shared" si="24"/>
        <v>8975275215.9333344</v>
      </c>
      <c r="J164" s="9">
        <f t="shared" si="25"/>
        <v>10392205</v>
      </c>
      <c r="K164" s="21">
        <f t="shared" si="26"/>
        <v>863.65455800124562</v>
      </c>
      <c r="L164" s="4" t="str">
        <f t="shared" si="22"/>
        <v>BUY</v>
      </c>
      <c r="M164" s="4">
        <f t="shared" si="27"/>
        <v>0</v>
      </c>
      <c r="N164" s="4">
        <f t="shared" si="23"/>
        <v>1</v>
      </c>
      <c r="O164" s="4">
        <f t="shared" si="28"/>
        <v>871.1</v>
      </c>
      <c r="P164" s="4">
        <f t="shared" si="29"/>
        <v>0</v>
      </c>
    </row>
    <row r="165" spans="1:16" x14ac:dyDescent="0.25">
      <c r="A165" s="1">
        <v>41507</v>
      </c>
      <c r="B165">
        <v>874</v>
      </c>
      <c r="C165">
        <v>879</v>
      </c>
      <c r="D165">
        <v>860.25</v>
      </c>
      <c r="E165" s="7">
        <v>876.5</v>
      </c>
      <c r="F165">
        <v>2102214</v>
      </c>
      <c r="G165" s="8">
        <f t="shared" si="20"/>
        <v>871.91666666666663</v>
      </c>
      <c r="H165" s="9">
        <f t="shared" si="21"/>
        <v>1832955423.5</v>
      </c>
      <c r="I165" s="9">
        <f t="shared" si="24"/>
        <v>9837554622.333334</v>
      </c>
      <c r="J165" s="9">
        <f t="shared" si="25"/>
        <v>11355373</v>
      </c>
      <c r="K165" s="21">
        <f t="shared" si="26"/>
        <v>866.3347846286805</v>
      </c>
      <c r="L165" s="4" t="str">
        <f t="shared" si="22"/>
        <v>BUY</v>
      </c>
      <c r="M165" s="4">
        <f t="shared" si="27"/>
        <v>0</v>
      </c>
      <c r="N165" s="4">
        <f t="shared" si="23"/>
        <v>1</v>
      </c>
      <c r="O165" s="4">
        <f t="shared" si="28"/>
        <v>871.1</v>
      </c>
      <c r="P165" s="4">
        <f t="shared" si="29"/>
        <v>0</v>
      </c>
    </row>
    <row r="166" spans="1:16" x14ac:dyDescent="0.25">
      <c r="A166" s="1">
        <v>41508</v>
      </c>
      <c r="B166">
        <v>872.1</v>
      </c>
      <c r="C166">
        <v>873</v>
      </c>
      <c r="D166">
        <v>851</v>
      </c>
      <c r="E166" s="7">
        <v>856.05</v>
      </c>
      <c r="F166">
        <v>638257</v>
      </c>
      <c r="G166" s="8">
        <f t="shared" si="20"/>
        <v>860.01666666666677</v>
      </c>
      <c r="H166" s="9">
        <f t="shared" si="21"/>
        <v>548911657.61666667</v>
      </c>
      <c r="I166" s="9">
        <f t="shared" si="24"/>
        <v>9283468479.6499996</v>
      </c>
      <c r="J166" s="9">
        <f t="shared" si="25"/>
        <v>10698677</v>
      </c>
      <c r="K166" s="21">
        <f t="shared" si="26"/>
        <v>867.72116586471384</v>
      </c>
      <c r="L166" s="4" t="str">
        <f t="shared" si="22"/>
        <v>SELL</v>
      </c>
      <c r="M166" s="4" t="str">
        <f t="shared" si="27"/>
        <v>SELL</v>
      </c>
      <c r="N166" s="4">
        <f t="shared" si="23"/>
        <v>-1</v>
      </c>
      <c r="O166" s="4">
        <f t="shared" si="28"/>
        <v>856.05</v>
      </c>
      <c r="P166" s="4">
        <f t="shared" si="29"/>
        <v>-1.7277006084261356E-2</v>
      </c>
    </row>
    <row r="167" spans="1:16" x14ac:dyDescent="0.25">
      <c r="A167" s="1">
        <v>41509</v>
      </c>
      <c r="B167">
        <v>862.8</v>
      </c>
      <c r="C167">
        <v>862.8</v>
      </c>
      <c r="D167">
        <v>840.1</v>
      </c>
      <c r="E167" s="7">
        <v>845.65</v>
      </c>
      <c r="F167">
        <v>779285</v>
      </c>
      <c r="G167" s="8">
        <f t="shared" si="20"/>
        <v>849.51666666666677</v>
      </c>
      <c r="H167" s="9">
        <f t="shared" si="21"/>
        <v>662015595.58333337</v>
      </c>
      <c r="I167" s="9">
        <f t="shared" si="24"/>
        <v>9381470747.8833332</v>
      </c>
      <c r="J167" s="9">
        <f t="shared" si="25"/>
        <v>10818413</v>
      </c>
      <c r="K167" s="21">
        <f t="shared" si="26"/>
        <v>867.17624367671419</v>
      </c>
      <c r="L167" s="4" t="str">
        <f t="shared" si="22"/>
        <v>SELL</v>
      </c>
      <c r="M167" s="4">
        <f t="shared" si="27"/>
        <v>0</v>
      </c>
      <c r="N167" s="4">
        <f t="shared" si="23"/>
        <v>-1</v>
      </c>
      <c r="O167" s="4">
        <f t="shared" si="28"/>
        <v>856.05</v>
      </c>
      <c r="P167" s="4">
        <f t="shared" si="29"/>
        <v>0</v>
      </c>
    </row>
    <row r="168" spans="1:16" x14ac:dyDescent="0.25">
      <c r="A168" s="1">
        <v>41512</v>
      </c>
      <c r="B168">
        <v>840</v>
      </c>
      <c r="C168">
        <v>847.7</v>
      </c>
      <c r="D168">
        <v>830.2</v>
      </c>
      <c r="E168" s="7">
        <v>843.75</v>
      </c>
      <c r="F168">
        <v>1223937</v>
      </c>
      <c r="G168" s="8">
        <f t="shared" si="20"/>
        <v>840.55000000000007</v>
      </c>
      <c r="H168" s="9">
        <f t="shared" si="21"/>
        <v>1028780245.3500001</v>
      </c>
      <c r="I168" s="9">
        <f t="shared" si="24"/>
        <v>9672140590.0333347</v>
      </c>
      <c r="J168" s="9">
        <f t="shared" si="25"/>
        <v>11175752</v>
      </c>
      <c r="K168" s="21">
        <f t="shared" si="26"/>
        <v>865.45769716734367</v>
      </c>
      <c r="L168" s="4" t="str">
        <f t="shared" si="22"/>
        <v>SELL</v>
      </c>
      <c r="M168" s="4">
        <f t="shared" si="27"/>
        <v>0</v>
      </c>
      <c r="N168" s="4">
        <f t="shared" si="23"/>
        <v>-1</v>
      </c>
      <c r="O168" s="4">
        <f t="shared" si="28"/>
        <v>856.05</v>
      </c>
      <c r="P168" s="4">
        <f t="shared" si="29"/>
        <v>0</v>
      </c>
    </row>
    <row r="169" spans="1:16" x14ac:dyDescent="0.25">
      <c r="A169" s="1">
        <v>41513</v>
      </c>
      <c r="B169">
        <v>842</v>
      </c>
      <c r="C169">
        <v>861</v>
      </c>
      <c r="D169">
        <v>840</v>
      </c>
      <c r="E169" s="7">
        <v>858.4</v>
      </c>
      <c r="F169">
        <v>1372742</v>
      </c>
      <c r="G169" s="8">
        <f t="shared" si="20"/>
        <v>853.13333333333333</v>
      </c>
      <c r="H169" s="9">
        <f t="shared" si="21"/>
        <v>1171131958.2666667</v>
      </c>
      <c r="I169" s="9">
        <f t="shared" si="24"/>
        <v>9592901554.9000015</v>
      </c>
      <c r="J169" s="9">
        <f t="shared" si="25"/>
        <v>11104036</v>
      </c>
      <c r="K169" s="21">
        <f t="shared" si="26"/>
        <v>863.91124406477081</v>
      </c>
      <c r="L169" s="4" t="str">
        <f t="shared" si="22"/>
        <v>SELL</v>
      </c>
      <c r="M169" s="4">
        <f t="shared" si="27"/>
        <v>0</v>
      </c>
      <c r="N169" s="4">
        <f t="shared" si="23"/>
        <v>-1</v>
      </c>
      <c r="O169" s="4">
        <f t="shared" si="28"/>
        <v>856.05</v>
      </c>
      <c r="P169" s="4">
        <f t="shared" si="29"/>
        <v>0</v>
      </c>
    </row>
    <row r="170" spans="1:16" x14ac:dyDescent="0.25">
      <c r="A170" s="1">
        <v>41514</v>
      </c>
      <c r="B170">
        <v>867.5</v>
      </c>
      <c r="C170">
        <v>867.5</v>
      </c>
      <c r="D170">
        <v>841.5</v>
      </c>
      <c r="E170" s="7">
        <v>844.1</v>
      </c>
      <c r="F170">
        <v>1379400</v>
      </c>
      <c r="G170" s="8">
        <f t="shared" si="20"/>
        <v>851.0333333333333</v>
      </c>
      <c r="H170" s="9">
        <f t="shared" si="21"/>
        <v>1173915380</v>
      </c>
      <c r="I170" s="9">
        <f t="shared" si="24"/>
        <v>9828534232.6500015</v>
      </c>
      <c r="J170" s="9">
        <f t="shared" si="25"/>
        <v>11409169</v>
      </c>
      <c r="K170" s="21">
        <f t="shared" si="26"/>
        <v>861.45925550318361</v>
      </c>
      <c r="L170" s="4" t="str">
        <f t="shared" si="22"/>
        <v>SELL</v>
      </c>
      <c r="M170" s="4">
        <f t="shared" si="27"/>
        <v>0</v>
      </c>
      <c r="N170" s="4">
        <f t="shared" si="23"/>
        <v>-1</v>
      </c>
      <c r="O170" s="4">
        <f t="shared" si="28"/>
        <v>856.05</v>
      </c>
      <c r="P170" s="4">
        <f t="shared" si="29"/>
        <v>0</v>
      </c>
    </row>
    <row r="171" spans="1:16" x14ac:dyDescent="0.25">
      <c r="A171" s="1">
        <v>41515</v>
      </c>
      <c r="B171">
        <v>850</v>
      </c>
      <c r="C171">
        <v>851.5</v>
      </c>
      <c r="D171">
        <v>835.1</v>
      </c>
      <c r="E171" s="7">
        <v>837.3</v>
      </c>
      <c r="F171">
        <v>1388985</v>
      </c>
      <c r="G171" s="8">
        <f t="shared" si="20"/>
        <v>841.29999999999984</v>
      </c>
      <c r="H171" s="9">
        <f t="shared" si="21"/>
        <v>1168553080.4999998</v>
      </c>
      <c r="I171" s="9">
        <f t="shared" si="24"/>
        <v>10236866581.049999</v>
      </c>
      <c r="J171" s="9">
        <f t="shared" si="25"/>
        <v>11924956</v>
      </c>
      <c r="K171" s="21">
        <f t="shared" si="26"/>
        <v>858.44061655657254</v>
      </c>
      <c r="L171" s="4" t="str">
        <f t="shared" si="22"/>
        <v>SELL</v>
      </c>
      <c r="M171" s="4">
        <f t="shared" si="27"/>
        <v>0</v>
      </c>
      <c r="N171" s="4">
        <f t="shared" si="23"/>
        <v>-1</v>
      </c>
      <c r="O171" s="4">
        <f t="shared" si="28"/>
        <v>856.05</v>
      </c>
      <c r="P171" s="4">
        <f t="shared" si="29"/>
        <v>0</v>
      </c>
    </row>
    <row r="172" spans="1:16" x14ac:dyDescent="0.25">
      <c r="A172" s="1">
        <v>41516</v>
      </c>
      <c r="B172">
        <v>838</v>
      </c>
      <c r="C172">
        <v>857.5</v>
      </c>
      <c r="D172">
        <v>838</v>
      </c>
      <c r="E172" s="7">
        <v>855.35</v>
      </c>
      <c r="F172">
        <v>1143989</v>
      </c>
      <c r="G172" s="8">
        <f t="shared" si="20"/>
        <v>850.2833333333333</v>
      </c>
      <c r="H172" s="9">
        <f t="shared" si="21"/>
        <v>972714780.21666658</v>
      </c>
      <c r="I172" s="9">
        <f t="shared" si="24"/>
        <v>10754147610.1</v>
      </c>
      <c r="J172" s="9">
        <f t="shared" si="25"/>
        <v>12544030</v>
      </c>
      <c r="K172" s="21">
        <f t="shared" si="26"/>
        <v>857.31201297350219</v>
      </c>
      <c r="L172" s="4" t="str">
        <f t="shared" si="22"/>
        <v>SELL</v>
      </c>
      <c r="M172" s="4">
        <f t="shared" si="27"/>
        <v>0</v>
      </c>
      <c r="N172" s="4">
        <f t="shared" si="23"/>
        <v>-1</v>
      </c>
      <c r="O172" s="4">
        <f t="shared" si="28"/>
        <v>856.05</v>
      </c>
      <c r="P172" s="4">
        <f t="shared" si="29"/>
        <v>0</v>
      </c>
    </row>
    <row r="173" spans="1:16" x14ac:dyDescent="0.25">
      <c r="A173" s="1">
        <v>41519</v>
      </c>
      <c r="B173">
        <v>858</v>
      </c>
      <c r="C173">
        <v>874.9</v>
      </c>
      <c r="D173">
        <v>856</v>
      </c>
      <c r="E173" s="7">
        <v>871.35</v>
      </c>
      <c r="F173">
        <v>1242118</v>
      </c>
      <c r="G173" s="8">
        <f t="shared" si="20"/>
        <v>867.41666666666663</v>
      </c>
      <c r="H173" s="9">
        <f t="shared" si="21"/>
        <v>1077433855.1666665</v>
      </c>
      <c r="I173" s="9">
        <f t="shared" si="24"/>
        <v>10675268008.199999</v>
      </c>
      <c r="J173" s="9">
        <f t="shared" si="25"/>
        <v>12460911</v>
      </c>
      <c r="K173" s="21">
        <f t="shared" si="26"/>
        <v>856.70044575392592</v>
      </c>
      <c r="L173" s="4" t="str">
        <f t="shared" si="22"/>
        <v>BUY</v>
      </c>
      <c r="M173" s="4" t="str">
        <f t="shared" si="27"/>
        <v>BUY</v>
      </c>
      <c r="N173" s="4">
        <f t="shared" si="23"/>
        <v>1</v>
      </c>
      <c r="O173" s="4">
        <f t="shared" si="28"/>
        <v>871.35</v>
      </c>
      <c r="P173" s="4">
        <f t="shared" si="29"/>
        <v>-1.7872787804450754E-2</v>
      </c>
    </row>
    <row r="174" spans="1:16" x14ac:dyDescent="0.25">
      <c r="A174" s="1">
        <v>41520</v>
      </c>
      <c r="B174">
        <v>864</v>
      </c>
      <c r="C174">
        <v>882.9</v>
      </c>
      <c r="D174">
        <v>858.9</v>
      </c>
      <c r="E174" s="7">
        <v>879.05</v>
      </c>
      <c r="F174">
        <v>2094739</v>
      </c>
      <c r="G174" s="8">
        <f t="shared" si="20"/>
        <v>873.61666666666667</v>
      </c>
      <c r="H174" s="9">
        <f t="shared" si="21"/>
        <v>1829998902.7166667</v>
      </c>
      <c r="I174" s="9">
        <f t="shared" si="24"/>
        <v>11466410878.916666</v>
      </c>
      <c r="J174" s="9">
        <f t="shared" si="25"/>
        <v>13365666</v>
      </c>
      <c r="K174" s="21">
        <f t="shared" si="26"/>
        <v>857.9004502219841</v>
      </c>
      <c r="L174" s="4" t="str">
        <f t="shared" si="22"/>
        <v>BUY</v>
      </c>
      <c r="M174" s="4">
        <f t="shared" si="27"/>
        <v>0</v>
      </c>
      <c r="N174" s="4">
        <f t="shared" si="23"/>
        <v>1</v>
      </c>
      <c r="O174" s="4">
        <f t="shared" si="28"/>
        <v>871.35</v>
      </c>
      <c r="P174" s="4">
        <f t="shared" si="29"/>
        <v>0</v>
      </c>
    </row>
    <row r="175" spans="1:16" x14ac:dyDescent="0.25">
      <c r="A175" s="1">
        <v>41521</v>
      </c>
      <c r="B175">
        <v>882</v>
      </c>
      <c r="C175">
        <v>882.5</v>
      </c>
      <c r="D175">
        <v>871.35</v>
      </c>
      <c r="E175" s="7">
        <v>874.7</v>
      </c>
      <c r="F175">
        <v>1469079</v>
      </c>
      <c r="G175" s="8">
        <f t="shared" si="20"/>
        <v>876.18333333333339</v>
      </c>
      <c r="H175" s="9">
        <f t="shared" si="21"/>
        <v>1287182535.1500001</v>
      </c>
      <c r="I175" s="9">
        <f t="shared" si="24"/>
        <v>10920637990.566666</v>
      </c>
      <c r="J175" s="9">
        <f t="shared" si="25"/>
        <v>12732531</v>
      </c>
      <c r="K175" s="21">
        <f t="shared" si="26"/>
        <v>857.69577082252272</v>
      </c>
      <c r="L175" s="4" t="str">
        <f t="shared" si="22"/>
        <v>BUY</v>
      </c>
      <c r="M175" s="4">
        <f t="shared" si="27"/>
        <v>0</v>
      </c>
      <c r="N175" s="4">
        <f t="shared" si="23"/>
        <v>1</v>
      </c>
      <c r="O175" s="4">
        <f t="shared" si="28"/>
        <v>871.35</v>
      </c>
      <c r="P175" s="4">
        <f t="shared" si="29"/>
        <v>0</v>
      </c>
    </row>
    <row r="176" spans="1:16" x14ac:dyDescent="0.25">
      <c r="A176" s="1">
        <v>41522</v>
      </c>
      <c r="B176">
        <v>871.35</v>
      </c>
      <c r="C176">
        <v>889</v>
      </c>
      <c r="D176">
        <v>870.7</v>
      </c>
      <c r="E176" s="7">
        <v>879.75</v>
      </c>
      <c r="F176">
        <v>1174705</v>
      </c>
      <c r="G176" s="8">
        <f t="shared" si="20"/>
        <v>879.81666666666661</v>
      </c>
      <c r="H176" s="9">
        <f t="shared" si="21"/>
        <v>1033525037.4166666</v>
      </c>
      <c r="I176" s="9">
        <f t="shared" si="24"/>
        <v>11405251370.366665</v>
      </c>
      <c r="J176" s="9">
        <f t="shared" si="25"/>
        <v>13268979</v>
      </c>
      <c r="K176" s="21">
        <f t="shared" si="26"/>
        <v>859.54249911516661</v>
      </c>
      <c r="L176" s="4" t="str">
        <f t="shared" si="22"/>
        <v>BUY</v>
      </c>
      <c r="M176" s="4">
        <f t="shared" si="27"/>
        <v>0</v>
      </c>
      <c r="N176" s="4">
        <f t="shared" si="23"/>
        <v>1</v>
      </c>
      <c r="O176" s="4">
        <f t="shared" si="28"/>
        <v>871.35</v>
      </c>
      <c r="P176" s="4">
        <f t="shared" si="29"/>
        <v>0</v>
      </c>
    </row>
    <row r="177" spans="1:16" x14ac:dyDescent="0.25">
      <c r="A177" s="1">
        <v>41523</v>
      </c>
      <c r="B177">
        <v>883</v>
      </c>
      <c r="C177">
        <v>899</v>
      </c>
      <c r="D177">
        <v>880.3</v>
      </c>
      <c r="E177" s="7">
        <v>895.35</v>
      </c>
      <c r="F177">
        <v>1535519</v>
      </c>
      <c r="G177" s="8">
        <f t="shared" si="20"/>
        <v>891.55000000000007</v>
      </c>
      <c r="H177" s="9">
        <f t="shared" si="21"/>
        <v>1368991964.45</v>
      </c>
      <c r="I177" s="9">
        <f t="shared" si="24"/>
        <v>12112227739.233334</v>
      </c>
      <c r="J177" s="9">
        <f t="shared" si="25"/>
        <v>14025213</v>
      </c>
      <c r="K177" s="21">
        <f t="shared" si="26"/>
        <v>863.60383540936834</v>
      </c>
      <c r="L177" s="4" t="str">
        <f t="shared" si="22"/>
        <v>BUY</v>
      </c>
      <c r="M177" s="4">
        <f t="shared" si="27"/>
        <v>0</v>
      </c>
      <c r="N177" s="4">
        <f t="shared" si="23"/>
        <v>1</v>
      </c>
      <c r="O177" s="4">
        <f t="shared" si="28"/>
        <v>871.35</v>
      </c>
      <c r="P177" s="4">
        <f t="shared" si="29"/>
        <v>0</v>
      </c>
    </row>
    <row r="178" spans="1:16" x14ac:dyDescent="0.25">
      <c r="A178" s="1">
        <v>41526</v>
      </c>
      <c r="B178">
        <v>900</v>
      </c>
      <c r="C178">
        <v>919.4</v>
      </c>
      <c r="D178">
        <v>899</v>
      </c>
      <c r="E178" s="7">
        <v>914.8</v>
      </c>
      <c r="F178">
        <v>2780197</v>
      </c>
      <c r="G178" s="8">
        <f t="shared" si="20"/>
        <v>911.06666666666661</v>
      </c>
      <c r="H178" s="9">
        <f t="shared" si="21"/>
        <v>2532944813.4666667</v>
      </c>
      <c r="I178" s="9">
        <f t="shared" si="24"/>
        <v>13616392307.35</v>
      </c>
      <c r="J178" s="9">
        <f t="shared" si="25"/>
        <v>15581473</v>
      </c>
      <c r="K178" s="21">
        <f t="shared" si="26"/>
        <v>873.88350943136118</v>
      </c>
      <c r="L178" s="4" t="str">
        <f t="shared" si="22"/>
        <v>BUY</v>
      </c>
      <c r="M178" s="4">
        <f t="shared" si="27"/>
        <v>0</v>
      </c>
      <c r="N178" s="4">
        <f t="shared" si="23"/>
        <v>1</v>
      </c>
      <c r="O178" s="4">
        <f t="shared" si="28"/>
        <v>871.35</v>
      </c>
      <c r="P178" s="4">
        <f t="shared" si="29"/>
        <v>0</v>
      </c>
    </row>
    <row r="179" spans="1:16" x14ac:dyDescent="0.25">
      <c r="A179" s="1">
        <v>41527</v>
      </c>
      <c r="B179">
        <v>908</v>
      </c>
      <c r="C179">
        <v>913.45</v>
      </c>
      <c r="D179">
        <v>864.5</v>
      </c>
      <c r="E179" s="7">
        <v>895.4</v>
      </c>
      <c r="F179">
        <v>1167132</v>
      </c>
      <c r="G179" s="8">
        <f t="shared" si="20"/>
        <v>891.11666666666667</v>
      </c>
      <c r="H179" s="9">
        <f t="shared" si="21"/>
        <v>1040050777.4</v>
      </c>
      <c r="I179" s="9">
        <f t="shared" si="24"/>
        <v>13485311126.483334</v>
      </c>
      <c r="J179" s="9">
        <f t="shared" si="25"/>
        <v>15375863</v>
      </c>
      <c r="K179" s="21">
        <f t="shared" si="26"/>
        <v>877.04417803952424</v>
      </c>
      <c r="L179" s="4" t="str">
        <f t="shared" si="22"/>
        <v>BUY</v>
      </c>
      <c r="M179" s="4">
        <f t="shared" si="27"/>
        <v>0</v>
      </c>
      <c r="N179" s="4">
        <f t="shared" si="23"/>
        <v>1</v>
      </c>
      <c r="O179" s="4">
        <f t="shared" si="28"/>
        <v>871.35</v>
      </c>
      <c r="P179" s="4">
        <f t="shared" si="29"/>
        <v>0</v>
      </c>
    </row>
    <row r="180" spans="1:16" x14ac:dyDescent="0.25">
      <c r="A180" s="1">
        <v>41528</v>
      </c>
      <c r="B180">
        <v>900.1</v>
      </c>
      <c r="C180">
        <v>918.75</v>
      </c>
      <c r="D180">
        <v>900.1</v>
      </c>
      <c r="E180" s="7">
        <v>913.8</v>
      </c>
      <c r="F180">
        <v>1503989</v>
      </c>
      <c r="G180" s="8">
        <f t="shared" si="20"/>
        <v>910.88333333333321</v>
      </c>
      <c r="H180" s="9">
        <f t="shared" si="21"/>
        <v>1369958513.6166666</v>
      </c>
      <c r="I180" s="9">
        <f t="shared" si="24"/>
        <v>13681354260.1</v>
      </c>
      <c r="J180" s="9">
        <f t="shared" si="25"/>
        <v>15500452</v>
      </c>
      <c r="K180" s="21">
        <f t="shared" si="26"/>
        <v>882.64227779293151</v>
      </c>
      <c r="L180" s="4" t="str">
        <f t="shared" si="22"/>
        <v>BUY</v>
      </c>
      <c r="M180" s="4">
        <f t="shared" si="27"/>
        <v>0</v>
      </c>
      <c r="N180" s="4">
        <f t="shared" si="23"/>
        <v>1</v>
      </c>
      <c r="O180" s="4">
        <f t="shared" si="28"/>
        <v>871.35</v>
      </c>
      <c r="P180" s="4">
        <f t="shared" si="29"/>
        <v>0</v>
      </c>
    </row>
    <row r="181" spans="1:16" x14ac:dyDescent="0.25">
      <c r="A181" s="1">
        <v>41529</v>
      </c>
      <c r="B181">
        <v>917</v>
      </c>
      <c r="C181">
        <v>921.9</v>
      </c>
      <c r="D181">
        <v>906.7</v>
      </c>
      <c r="E181" s="7">
        <v>912.25</v>
      </c>
      <c r="F181">
        <v>1209554</v>
      </c>
      <c r="G181" s="8">
        <f t="shared" si="20"/>
        <v>913.61666666666667</v>
      </c>
      <c r="H181" s="9">
        <f t="shared" si="21"/>
        <v>1105068693.6333334</v>
      </c>
      <c r="I181" s="9">
        <f t="shared" si="24"/>
        <v>13617869873.233334</v>
      </c>
      <c r="J181" s="9">
        <f t="shared" si="25"/>
        <v>15321021</v>
      </c>
      <c r="K181" s="21">
        <f t="shared" si="26"/>
        <v>888.83566397000129</v>
      </c>
      <c r="L181" s="4" t="str">
        <f t="shared" si="22"/>
        <v>BUY</v>
      </c>
      <c r="M181" s="4">
        <f t="shared" si="27"/>
        <v>0</v>
      </c>
      <c r="N181" s="4">
        <f t="shared" si="23"/>
        <v>1</v>
      </c>
      <c r="O181" s="4">
        <f t="shared" si="28"/>
        <v>871.35</v>
      </c>
      <c r="P181" s="4">
        <f t="shared" si="29"/>
        <v>0</v>
      </c>
    </row>
    <row r="182" spans="1:16" x14ac:dyDescent="0.25">
      <c r="A182" s="1">
        <v>41530</v>
      </c>
      <c r="B182">
        <v>912</v>
      </c>
      <c r="C182">
        <v>958</v>
      </c>
      <c r="D182">
        <v>910.3</v>
      </c>
      <c r="E182" s="7">
        <v>953.95</v>
      </c>
      <c r="F182">
        <v>2498592</v>
      </c>
      <c r="G182" s="8">
        <f t="shared" si="20"/>
        <v>940.75</v>
      </c>
      <c r="H182" s="9">
        <f t="shared" si="21"/>
        <v>2350550424</v>
      </c>
      <c r="I182" s="9">
        <f t="shared" si="24"/>
        <v>14995705517.016666</v>
      </c>
      <c r="J182" s="9">
        <f t="shared" si="25"/>
        <v>16675624</v>
      </c>
      <c r="K182" s="21">
        <f t="shared" si="26"/>
        <v>899.25903324617218</v>
      </c>
      <c r="L182" s="4" t="str">
        <f t="shared" si="22"/>
        <v>BUY</v>
      </c>
      <c r="M182" s="4">
        <f t="shared" si="27"/>
        <v>0</v>
      </c>
      <c r="N182" s="4">
        <f t="shared" si="23"/>
        <v>1</v>
      </c>
      <c r="O182" s="4">
        <f t="shared" si="28"/>
        <v>871.35</v>
      </c>
      <c r="P182" s="4">
        <f t="shared" si="29"/>
        <v>0</v>
      </c>
    </row>
    <row r="183" spans="1:16" x14ac:dyDescent="0.25">
      <c r="A183" s="1">
        <v>41533</v>
      </c>
      <c r="B183">
        <v>956</v>
      </c>
      <c r="C183">
        <v>960</v>
      </c>
      <c r="D183">
        <v>930</v>
      </c>
      <c r="E183" s="7">
        <v>935.25</v>
      </c>
      <c r="F183">
        <v>2015533</v>
      </c>
      <c r="G183" s="8">
        <f t="shared" si="20"/>
        <v>941.75</v>
      </c>
      <c r="H183" s="9">
        <f t="shared" si="21"/>
        <v>1898128202.75</v>
      </c>
      <c r="I183" s="9">
        <f t="shared" si="24"/>
        <v>15816399864.6</v>
      </c>
      <c r="J183" s="9">
        <f t="shared" si="25"/>
        <v>17449039</v>
      </c>
      <c r="K183" s="21">
        <f t="shared" si="26"/>
        <v>906.43386518879356</v>
      </c>
      <c r="L183" s="4" t="str">
        <f t="shared" si="22"/>
        <v>BUY</v>
      </c>
      <c r="M183" s="4">
        <f t="shared" si="27"/>
        <v>0</v>
      </c>
      <c r="N183" s="4">
        <f t="shared" si="23"/>
        <v>1</v>
      </c>
      <c r="O183" s="4">
        <f t="shared" si="28"/>
        <v>871.35</v>
      </c>
      <c r="P183" s="4">
        <f t="shared" si="29"/>
        <v>0</v>
      </c>
    </row>
    <row r="184" spans="1:16" x14ac:dyDescent="0.25">
      <c r="A184" s="1">
        <v>41534</v>
      </c>
      <c r="B184">
        <v>940</v>
      </c>
      <c r="C184">
        <v>945.3</v>
      </c>
      <c r="D184">
        <v>927.8</v>
      </c>
      <c r="E184" s="7">
        <v>931.35</v>
      </c>
      <c r="F184">
        <v>1663618</v>
      </c>
      <c r="G184" s="8">
        <f t="shared" si="20"/>
        <v>934.81666666666661</v>
      </c>
      <c r="H184" s="9">
        <f t="shared" si="21"/>
        <v>1555177833.3666666</v>
      </c>
      <c r="I184" s="9">
        <f t="shared" si="24"/>
        <v>15541578795.25</v>
      </c>
      <c r="J184" s="9">
        <f t="shared" si="25"/>
        <v>17017918</v>
      </c>
      <c r="K184" s="21">
        <f t="shared" si="26"/>
        <v>913.24795402410564</v>
      </c>
      <c r="L184" s="4" t="str">
        <f t="shared" si="22"/>
        <v>BUY</v>
      </c>
      <c r="M184" s="4">
        <f t="shared" si="27"/>
        <v>0</v>
      </c>
      <c r="N184" s="4">
        <f t="shared" si="23"/>
        <v>1</v>
      </c>
      <c r="O184" s="4">
        <f t="shared" si="28"/>
        <v>871.35</v>
      </c>
      <c r="P184" s="4">
        <f t="shared" si="29"/>
        <v>0</v>
      </c>
    </row>
    <row r="185" spans="1:16" x14ac:dyDescent="0.25">
      <c r="A185" s="1">
        <v>41535</v>
      </c>
      <c r="B185">
        <v>933.1</v>
      </c>
      <c r="C185">
        <v>937.9</v>
      </c>
      <c r="D185">
        <v>925</v>
      </c>
      <c r="E185" s="7">
        <v>931.95</v>
      </c>
      <c r="F185">
        <v>1369392</v>
      </c>
      <c r="G185" s="8">
        <f t="shared" si="20"/>
        <v>931.61666666666679</v>
      </c>
      <c r="H185" s="9">
        <f t="shared" si="21"/>
        <v>1275748410.4000001</v>
      </c>
      <c r="I185" s="9">
        <f t="shared" si="24"/>
        <v>15530144670.5</v>
      </c>
      <c r="J185" s="9">
        <f t="shared" si="25"/>
        <v>16918231</v>
      </c>
      <c r="K185" s="21">
        <f t="shared" si="26"/>
        <v>917.95322279853019</v>
      </c>
      <c r="L185" s="4" t="str">
        <f t="shared" si="22"/>
        <v>BUY</v>
      </c>
      <c r="M185" s="4">
        <f t="shared" si="27"/>
        <v>0</v>
      </c>
      <c r="N185" s="4">
        <f t="shared" si="23"/>
        <v>1</v>
      </c>
      <c r="O185" s="4">
        <f t="shared" si="28"/>
        <v>871.35</v>
      </c>
      <c r="P185" s="4">
        <f t="shared" si="29"/>
        <v>0</v>
      </c>
    </row>
    <row r="186" spans="1:16" x14ac:dyDescent="0.25">
      <c r="A186" s="1">
        <v>41536</v>
      </c>
      <c r="B186">
        <v>935</v>
      </c>
      <c r="C186">
        <v>941.45</v>
      </c>
      <c r="D186">
        <v>922</v>
      </c>
      <c r="E186" s="7">
        <v>927.6</v>
      </c>
      <c r="F186">
        <v>1711645</v>
      </c>
      <c r="G186" s="8">
        <f t="shared" si="20"/>
        <v>930.35</v>
      </c>
      <c r="H186" s="9">
        <f t="shared" si="21"/>
        <v>1592428925.75</v>
      </c>
      <c r="I186" s="9">
        <f t="shared" si="24"/>
        <v>16089048558.833332</v>
      </c>
      <c r="J186" s="9">
        <f t="shared" si="25"/>
        <v>17455171</v>
      </c>
      <c r="K186" s="21">
        <f t="shared" si="26"/>
        <v>921.73537336490904</v>
      </c>
      <c r="L186" s="4" t="str">
        <f t="shared" si="22"/>
        <v>BUY</v>
      </c>
      <c r="M186" s="4">
        <f t="shared" si="27"/>
        <v>0</v>
      </c>
      <c r="N186" s="4">
        <f t="shared" si="23"/>
        <v>1</v>
      </c>
      <c r="O186" s="4">
        <f t="shared" si="28"/>
        <v>871.35</v>
      </c>
      <c r="P186" s="4">
        <f t="shared" si="29"/>
        <v>0</v>
      </c>
    </row>
    <row r="187" spans="1:16" x14ac:dyDescent="0.25">
      <c r="A187" s="1">
        <v>41537</v>
      </c>
      <c r="B187">
        <v>925.25</v>
      </c>
      <c r="C187">
        <v>930.3</v>
      </c>
      <c r="D187">
        <v>914.1</v>
      </c>
      <c r="E187" s="7">
        <v>919.65</v>
      </c>
      <c r="F187">
        <v>1260857</v>
      </c>
      <c r="G187" s="8">
        <f t="shared" si="20"/>
        <v>921.35</v>
      </c>
      <c r="H187" s="9">
        <f t="shared" si="21"/>
        <v>1161690596.95</v>
      </c>
      <c r="I187" s="9">
        <f t="shared" si="24"/>
        <v>15881747191.333334</v>
      </c>
      <c r="J187" s="9">
        <f t="shared" si="25"/>
        <v>17180509</v>
      </c>
      <c r="K187" s="21">
        <f t="shared" si="26"/>
        <v>924.40492835999987</v>
      </c>
      <c r="L187" s="4" t="str">
        <f t="shared" si="22"/>
        <v>SELL</v>
      </c>
      <c r="M187" s="4" t="str">
        <f t="shared" si="27"/>
        <v>SELL</v>
      </c>
      <c r="N187" s="4">
        <f t="shared" si="23"/>
        <v>-1</v>
      </c>
      <c r="O187" s="4">
        <f t="shared" si="28"/>
        <v>919.65</v>
      </c>
      <c r="P187" s="4">
        <f t="shared" si="29"/>
        <v>5.5431227405749642E-2</v>
      </c>
    </row>
    <row r="188" spans="1:16" x14ac:dyDescent="0.25">
      <c r="A188" s="1">
        <v>41540</v>
      </c>
      <c r="B188">
        <v>925</v>
      </c>
      <c r="C188">
        <v>937.25</v>
      </c>
      <c r="D188">
        <v>914.9</v>
      </c>
      <c r="E188" s="7">
        <v>920.35</v>
      </c>
      <c r="F188">
        <v>1685097</v>
      </c>
      <c r="G188" s="8">
        <f t="shared" si="20"/>
        <v>924.16666666666663</v>
      </c>
      <c r="H188" s="9">
        <f t="shared" si="21"/>
        <v>1557310477.5</v>
      </c>
      <c r="I188" s="9">
        <f t="shared" si="24"/>
        <v>14906112855.366667</v>
      </c>
      <c r="J188" s="9">
        <f t="shared" si="25"/>
        <v>16085409</v>
      </c>
      <c r="K188" s="21">
        <f t="shared" si="26"/>
        <v>926.68534914882594</v>
      </c>
      <c r="L188" s="4" t="str">
        <f t="shared" si="22"/>
        <v>SELL</v>
      </c>
      <c r="M188" s="4">
        <f t="shared" si="27"/>
        <v>0</v>
      </c>
      <c r="N188" s="4">
        <f t="shared" si="23"/>
        <v>-1</v>
      </c>
      <c r="O188" s="4">
        <f t="shared" si="28"/>
        <v>919.65</v>
      </c>
      <c r="P188" s="4">
        <f t="shared" si="29"/>
        <v>0</v>
      </c>
    </row>
    <row r="189" spans="1:16" x14ac:dyDescent="0.25">
      <c r="A189" s="1">
        <v>41541</v>
      </c>
      <c r="B189">
        <v>925</v>
      </c>
      <c r="C189">
        <v>930</v>
      </c>
      <c r="D189">
        <v>915.15</v>
      </c>
      <c r="E189" s="7">
        <v>926.95</v>
      </c>
      <c r="F189">
        <v>3780462</v>
      </c>
      <c r="G189" s="8">
        <f t="shared" si="20"/>
        <v>924.03333333333342</v>
      </c>
      <c r="H189" s="9">
        <f t="shared" si="21"/>
        <v>3493272903.4000001</v>
      </c>
      <c r="I189" s="9">
        <f t="shared" si="24"/>
        <v>17359334981.366669</v>
      </c>
      <c r="J189" s="9">
        <f t="shared" si="25"/>
        <v>18698739</v>
      </c>
      <c r="K189" s="21">
        <f t="shared" si="26"/>
        <v>928.36928636560299</v>
      </c>
      <c r="L189" s="4" t="str">
        <f t="shared" si="22"/>
        <v>SELL</v>
      </c>
      <c r="M189" s="4">
        <f t="shared" si="27"/>
        <v>0</v>
      </c>
      <c r="N189" s="4">
        <f t="shared" si="23"/>
        <v>-1</v>
      </c>
      <c r="O189" s="4">
        <f t="shared" si="28"/>
        <v>919.65</v>
      </c>
      <c r="P189" s="4">
        <f t="shared" si="29"/>
        <v>0</v>
      </c>
    </row>
    <row r="190" spans="1:16" x14ac:dyDescent="0.25">
      <c r="A190" s="1">
        <v>41542</v>
      </c>
      <c r="B190">
        <v>927</v>
      </c>
      <c r="C190">
        <v>966</v>
      </c>
      <c r="D190">
        <v>922</v>
      </c>
      <c r="E190" s="7">
        <v>961.6</v>
      </c>
      <c r="F190">
        <v>1663078</v>
      </c>
      <c r="G190" s="8">
        <f t="shared" si="20"/>
        <v>949.86666666666667</v>
      </c>
      <c r="H190" s="9">
        <f t="shared" si="21"/>
        <v>1579702356.2666667</v>
      </c>
      <c r="I190" s="9">
        <f t="shared" si="24"/>
        <v>17569078824.016666</v>
      </c>
      <c r="J190" s="9">
        <f t="shared" si="25"/>
        <v>18857828</v>
      </c>
      <c r="K190" s="21">
        <f t="shared" si="26"/>
        <v>931.65972369758947</v>
      </c>
      <c r="L190" s="4" t="str">
        <f t="shared" si="22"/>
        <v>BUY</v>
      </c>
      <c r="M190" s="4" t="str">
        <f t="shared" si="27"/>
        <v>BUY</v>
      </c>
      <c r="N190" s="4">
        <f t="shared" si="23"/>
        <v>1</v>
      </c>
      <c r="O190" s="4">
        <f t="shared" si="28"/>
        <v>961.6</v>
      </c>
      <c r="P190" s="4">
        <f t="shared" si="29"/>
        <v>-4.5615179687924806E-2</v>
      </c>
    </row>
    <row r="191" spans="1:16" x14ac:dyDescent="0.25">
      <c r="A191" s="1">
        <v>41543</v>
      </c>
      <c r="B191">
        <v>966.75</v>
      </c>
      <c r="C191">
        <v>975</v>
      </c>
      <c r="D191">
        <v>953</v>
      </c>
      <c r="E191" s="7">
        <v>955.8</v>
      </c>
      <c r="F191">
        <v>1070478</v>
      </c>
      <c r="G191" s="8">
        <f t="shared" si="20"/>
        <v>961.26666666666677</v>
      </c>
      <c r="H191" s="9">
        <f t="shared" si="21"/>
        <v>1029014818.8000001</v>
      </c>
      <c r="I191" s="9">
        <f t="shared" si="24"/>
        <v>17493024949.183334</v>
      </c>
      <c r="J191" s="9">
        <f t="shared" si="25"/>
        <v>18718752</v>
      </c>
      <c r="K191" s="21">
        <f t="shared" si="26"/>
        <v>934.51876221146233</v>
      </c>
      <c r="L191" s="4" t="str">
        <f t="shared" si="22"/>
        <v>BUY</v>
      </c>
      <c r="M191" s="4">
        <f t="shared" si="27"/>
        <v>0</v>
      </c>
      <c r="N191" s="4">
        <f t="shared" si="23"/>
        <v>1</v>
      </c>
      <c r="O191" s="4">
        <f t="shared" si="28"/>
        <v>961.6</v>
      </c>
      <c r="P191" s="4">
        <f t="shared" si="29"/>
        <v>0</v>
      </c>
    </row>
    <row r="192" spans="1:16" x14ac:dyDescent="0.25">
      <c r="A192" s="1">
        <v>41544</v>
      </c>
      <c r="B192">
        <v>950</v>
      </c>
      <c r="C192">
        <v>965.95</v>
      </c>
      <c r="D192">
        <v>946.15</v>
      </c>
      <c r="E192" s="7">
        <v>950.25</v>
      </c>
      <c r="F192">
        <v>1105832</v>
      </c>
      <c r="G192" s="8">
        <f t="shared" si="20"/>
        <v>954.11666666666667</v>
      </c>
      <c r="H192" s="9">
        <f t="shared" si="21"/>
        <v>1055092741.7333333</v>
      </c>
      <c r="I192" s="9">
        <f t="shared" si="24"/>
        <v>16197567266.916666</v>
      </c>
      <c r="J192" s="9">
        <f t="shared" si="25"/>
        <v>17325992</v>
      </c>
      <c r="K192" s="21">
        <f t="shared" si="26"/>
        <v>934.87098844999275</v>
      </c>
      <c r="L192" s="4" t="str">
        <f t="shared" si="22"/>
        <v>BUY</v>
      </c>
      <c r="M192" s="4">
        <f t="shared" si="27"/>
        <v>0</v>
      </c>
      <c r="N192" s="4">
        <f t="shared" si="23"/>
        <v>1</v>
      </c>
      <c r="O192" s="4">
        <f t="shared" si="28"/>
        <v>961.6</v>
      </c>
      <c r="P192" s="4">
        <f t="shared" si="29"/>
        <v>0</v>
      </c>
    </row>
    <row r="193" spans="1:16" x14ac:dyDescent="0.25">
      <c r="A193" s="1">
        <v>41547</v>
      </c>
      <c r="B193">
        <v>950</v>
      </c>
      <c r="C193">
        <v>967.9</v>
      </c>
      <c r="D193">
        <v>950</v>
      </c>
      <c r="E193" s="7">
        <v>959.65</v>
      </c>
      <c r="F193">
        <v>919480</v>
      </c>
      <c r="G193" s="8">
        <f t="shared" si="20"/>
        <v>959.18333333333339</v>
      </c>
      <c r="H193" s="9">
        <f t="shared" si="21"/>
        <v>881949891.33333337</v>
      </c>
      <c r="I193" s="9">
        <f t="shared" si="24"/>
        <v>15181388955.5</v>
      </c>
      <c r="J193" s="9">
        <f t="shared" si="25"/>
        <v>16229939</v>
      </c>
      <c r="K193" s="21">
        <f t="shared" si="26"/>
        <v>935.39408592355153</v>
      </c>
      <c r="L193" s="4" t="str">
        <f t="shared" si="22"/>
        <v>BUY</v>
      </c>
      <c r="M193" s="4">
        <f t="shared" si="27"/>
        <v>0</v>
      </c>
      <c r="N193" s="4">
        <f t="shared" si="23"/>
        <v>1</v>
      </c>
      <c r="O193" s="4">
        <f t="shared" si="28"/>
        <v>961.6</v>
      </c>
      <c r="P193" s="4">
        <f t="shared" si="29"/>
        <v>0</v>
      </c>
    </row>
    <row r="194" spans="1:16" x14ac:dyDescent="0.25">
      <c r="A194" s="1">
        <v>41548</v>
      </c>
      <c r="B194">
        <v>960</v>
      </c>
      <c r="C194">
        <v>966</v>
      </c>
      <c r="D194">
        <v>938.4</v>
      </c>
      <c r="E194" s="7">
        <v>948.8</v>
      </c>
      <c r="F194">
        <v>986470</v>
      </c>
      <c r="G194" s="8">
        <f t="shared" ref="G194:G257" si="30">AVERAGE(C194:E194)</f>
        <v>951.06666666666661</v>
      </c>
      <c r="H194" s="9">
        <f t="shared" si="21"/>
        <v>938198734.66666663</v>
      </c>
      <c r="I194" s="9">
        <f t="shared" si="24"/>
        <v>14564409856.799999</v>
      </c>
      <c r="J194" s="9">
        <f t="shared" si="25"/>
        <v>15552791</v>
      </c>
      <c r="K194" s="21">
        <f t="shared" si="26"/>
        <v>936.44991801150024</v>
      </c>
      <c r="L194" s="4" t="str">
        <f t="shared" si="22"/>
        <v>BUY</v>
      </c>
      <c r="M194" s="4">
        <f t="shared" si="27"/>
        <v>0</v>
      </c>
      <c r="N194" s="4">
        <f t="shared" si="23"/>
        <v>1</v>
      </c>
      <c r="O194" s="4">
        <f t="shared" si="28"/>
        <v>961.6</v>
      </c>
      <c r="P194" s="4">
        <f t="shared" si="29"/>
        <v>0</v>
      </c>
    </row>
    <row r="195" spans="1:16" x14ac:dyDescent="0.25">
      <c r="A195" s="1">
        <v>41549</v>
      </c>
      <c r="B195">
        <v>944.05</v>
      </c>
      <c r="C195">
        <v>954.7</v>
      </c>
      <c r="D195">
        <v>869</v>
      </c>
      <c r="E195" s="7">
        <v>942.6</v>
      </c>
      <c r="F195">
        <v>1347998</v>
      </c>
      <c r="G195" s="8">
        <f t="shared" si="30"/>
        <v>922.1</v>
      </c>
      <c r="H195" s="9">
        <f t="shared" ref="H195:H258" si="31">G195*F195</f>
        <v>1242988955.8</v>
      </c>
      <c r="I195" s="9">
        <f t="shared" si="24"/>
        <v>14531650402.199999</v>
      </c>
      <c r="J195" s="9">
        <f t="shared" si="25"/>
        <v>15531397</v>
      </c>
      <c r="K195" s="21">
        <f t="shared" si="26"/>
        <v>935.63060696986872</v>
      </c>
      <c r="L195" s="4" t="str">
        <f t="shared" si="22"/>
        <v>BUY</v>
      </c>
      <c r="M195" s="4">
        <f t="shared" si="27"/>
        <v>0</v>
      </c>
      <c r="N195" s="4">
        <f t="shared" si="23"/>
        <v>1</v>
      </c>
      <c r="O195" s="4">
        <f t="shared" si="28"/>
        <v>961.6</v>
      </c>
      <c r="P195" s="4">
        <f t="shared" si="29"/>
        <v>0</v>
      </c>
    </row>
    <row r="196" spans="1:16" x14ac:dyDescent="0.25">
      <c r="A196" s="1">
        <v>41550</v>
      </c>
      <c r="B196">
        <v>942.6</v>
      </c>
      <c r="C196">
        <v>953.95</v>
      </c>
      <c r="D196">
        <v>929.05</v>
      </c>
      <c r="E196" s="7">
        <v>940.9</v>
      </c>
      <c r="F196">
        <v>1532685</v>
      </c>
      <c r="G196" s="8">
        <f t="shared" si="30"/>
        <v>941.30000000000007</v>
      </c>
      <c r="H196" s="9">
        <f t="shared" si="31"/>
        <v>1442716390.5</v>
      </c>
      <c r="I196" s="9">
        <f t="shared" si="24"/>
        <v>14381937866.949999</v>
      </c>
      <c r="J196" s="9">
        <f t="shared" si="25"/>
        <v>15352437</v>
      </c>
      <c r="K196" s="21">
        <f t="shared" si="26"/>
        <v>936.78533687843822</v>
      </c>
      <c r="L196" s="4" t="str">
        <f t="shared" si="22"/>
        <v>BUY</v>
      </c>
      <c r="M196" s="4">
        <f t="shared" si="27"/>
        <v>0</v>
      </c>
      <c r="N196" s="4">
        <f t="shared" si="23"/>
        <v>1</v>
      </c>
      <c r="O196" s="4">
        <f t="shared" si="28"/>
        <v>961.6</v>
      </c>
      <c r="P196" s="4">
        <f t="shared" si="29"/>
        <v>0</v>
      </c>
    </row>
    <row r="197" spans="1:16" x14ac:dyDescent="0.25">
      <c r="A197" s="1">
        <v>41551</v>
      </c>
      <c r="B197">
        <v>942.65</v>
      </c>
      <c r="C197">
        <v>955.8</v>
      </c>
      <c r="D197">
        <v>939.1</v>
      </c>
      <c r="E197" s="7">
        <v>950.7</v>
      </c>
      <c r="F197">
        <v>1304451</v>
      </c>
      <c r="G197" s="8">
        <f t="shared" si="30"/>
        <v>948.53333333333342</v>
      </c>
      <c r="H197" s="9">
        <f t="shared" si="31"/>
        <v>1237315255.2</v>
      </c>
      <c r="I197" s="9">
        <f t="shared" si="24"/>
        <v>14457562525.199999</v>
      </c>
      <c r="J197" s="9">
        <f t="shared" si="25"/>
        <v>15396031</v>
      </c>
      <c r="K197" s="21">
        <f t="shared" si="26"/>
        <v>939.04477882643903</v>
      </c>
      <c r="L197" s="4" t="str">
        <f t="shared" si="22"/>
        <v>BUY</v>
      </c>
      <c r="M197" s="4">
        <f t="shared" si="27"/>
        <v>0</v>
      </c>
      <c r="N197" s="4">
        <f t="shared" si="23"/>
        <v>1</v>
      </c>
      <c r="O197" s="4">
        <f t="shared" si="28"/>
        <v>961.6</v>
      </c>
      <c r="P197" s="4">
        <f t="shared" si="29"/>
        <v>0</v>
      </c>
    </row>
    <row r="198" spans="1:16" x14ac:dyDescent="0.25">
      <c r="A198" s="1">
        <v>41554</v>
      </c>
      <c r="B198">
        <v>955.95</v>
      </c>
      <c r="C198">
        <v>997.7</v>
      </c>
      <c r="D198">
        <v>949.1</v>
      </c>
      <c r="E198" s="7">
        <v>992.85</v>
      </c>
      <c r="F198">
        <v>2675302</v>
      </c>
      <c r="G198" s="8">
        <f t="shared" si="30"/>
        <v>979.88333333333333</v>
      </c>
      <c r="H198" s="9">
        <f t="shared" si="31"/>
        <v>2621483841.4333334</v>
      </c>
      <c r="I198" s="9">
        <f t="shared" si="24"/>
        <v>15521735889.133335</v>
      </c>
      <c r="J198" s="9">
        <f t="shared" si="25"/>
        <v>16386236</v>
      </c>
      <c r="K198" s="21">
        <f t="shared" si="26"/>
        <v>947.24230074150864</v>
      </c>
      <c r="L198" s="4" t="str">
        <f t="shared" si="22"/>
        <v>BUY</v>
      </c>
      <c r="M198" s="4">
        <f t="shared" si="27"/>
        <v>0</v>
      </c>
      <c r="N198" s="4">
        <f t="shared" si="23"/>
        <v>1</v>
      </c>
      <c r="O198" s="4">
        <f t="shared" si="28"/>
        <v>961.6</v>
      </c>
      <c r="P198" s="4">
        <f t="shared" si="29"/>
        <v>0</v>
      </c>
    </row>
    <row r="199" spans="1:16" x14ac:dyDescent="0.25">
      <c r="A199" s="1">
        <v>41555</v>
      </c>
      <c r="B199">
        <v>996.9</v>
      </c>
      <c r="C199">
        <v>1004</v>
      </c>
      <c r="D199">
        <v>982.35</v>
      </c>
      <c r="E199" s="7">
        <v>986.05</v>
      </c>
      <c r="F199">
        <v>1474543</v>
      </c>
      <c r="G199" s="8">
        <f t="shared" si="30"/>
        <v>990.79999999999984</v>
      </c>
      <c r="H199" s="9">
        <f t="shared" si="31"/>
        <v>1460977204.3999999</v>
      </c>
      <c r="I199" s="9">
        <f t="shared" si="24"/>
        <v>13489440190.133333</v>
      </c>
      <c r="J199" s="9">
        <f t="shared" si="25"/>
        <v>14080317</v>
      </c>
      <c r="K199" s="21">
        <f t="shared" si="26"/>
        <v>958.03526228374926</v>
      </c>
      <c r="L199" s="4" t="str">
        <f t="shared" si="22"/>
        <v>BUY</v>
      </c>
      <c r="M199" s="4">
        <f t="shared" si="27"/>
        <v>0</v>
      </c>
      <c r="N199" s="4">
        <f t="shared" si="23"/>
        <v>1</v>
      </c>
      <c r="O199" s="4">
        <f t="shared" si="28"/>
        <v>961.6</v>
      </c>
      <c r="P199" s="4">
        <f t="shared" si="29"/>
        <v>0</v>
      </c>
    </row>
    <row r="200" spans="1:16" x14ac:dyDescent="0.25">
      <c r="A200" s="1">
        <v>41556</v>
      </c>
      <c r="B200">
        <v>999</v>
      </c>
      <c r="C200">
        <v>1011</v>
      </c>
      <c r="D200">
        <v>945</v>
      </c>
      <c r="E200" s="7">
        <v>950.3</v>
      </c>
      <c r="F200">
        <v>2858899</v>
      </c>
      <c r="G200" s="8">
        <f t="shared" si="30"/>
        <v>968.76666666666677</v>
      </c>
      <c r="H200" s="9">
        <f t="shared" si="31"/>
        <v>2769606054.5666671</v>
      </c>
      <c r="I200" s="9">
        <f t="shared" si="24"/>
        <v>14679343888.433334</v>
      </c>
      <c r="J200" s="9">
        <f t="shared" si="25"/>
        <v>15276138</v>
      </c>
      <c r="K200" s="21">
        <f t="shared" si="26"/>
        <v>960.93291959219891</v>
      </c>
      <c r="L200" s="4" t="str">
        <f t="shared" si="22"/>
        <v>SELL</v>
      </c>
      <c r="M200" s="4" t="str">
        <f t="shared" si="27"/>
        <v>SELL</v>
      </c>
      <c r="N200" s="4">
        <f t="shared" si="23"/>
        <v>-1</v>
      </c>
      <c r="O200" s="4">
        <f t="shared" si="28"/>
        <v>950.3</v>
      </c>
      <c r="P200" s="4">
        <f t="shared" si="29"/>
        <v>-1.1751247920133183E-2</v>
      </c>
    </row>
    <row r="201" spans="1:16" x14ac:dyDescent="0.25">
      <c r="A201" s="1">
        <v>41557</v>
      </c>
      <c r="B201">
        <v>970</v>
      </c>
      <c r="C201">
        <v>984</v>
      </c>
      <c r="D201">
        <v>930</v>
      </c>
      <c r="E201" s="7">
        <v>981.25</v>
      </c>
      <c r="F201">
        <v>2240367</v>
      </c>
      <c r="G201" s="8">
        <f t="shared" si="30"/>
        <v>965.08333333333337</v>
      </c>
      <c r="H201" s="9">
        <f t="shared" si="31"/>
        <v>2162140852.25</v>
      </c>
      <c r="I201" s="9">
        <f t="shared" si="24"/>
        <v>15812469921.883333</v>
      </c>
      <c r="J201" s="9">
        <f t="shared" si="25"/>
        <v>16446027</v>
      </c>
      <c r="K201" s="21">
        <f t="shared" si="26"/>
        <v>961.47658774264039</v>
      </c>
      <c r="L201" s="4" t="str">
        <f t="shared" si="22"/>
        <v>BUY</v>
      </c>
      <c r="M201" s="4" t="str">
        <f t="shared" si="27"/>
        <v>BUY</v>
      </c>
      <c r="N201" s="4">
        <f t="shared" si="23"/>
        <v>1</v>
      </c>
      <c r="O201" s="4">
        <f t="shared" si="28"/>
        <v>981.25</v>
      </c>
      <c r="P201" s="4">
        <f t="shared" si="29"/>
        <v>-3.2568662527622902E-2</v>
      </c>
    </row>
    <row r="202" spans="1:16" x14ac:dyDescent="0.25">
      <c r="A202" s="1">
        <v>41558</v>
      </c>
      <c r="B202">
        <v>982</v>
      </c>
      <c r="C202">
        <v>987.4</v>
      </c>
      <c r="D202">
        <v>964.1</v>
      </c>
      <c r="E202" s="7">
        <v>967.75</v>
      </c>
      <c r="F202">
        <v>1100456</v>
      </c>
      <c r="G202" s="8">
        <f t="shared" si="30"/>
        <v>973.08333333333337</v>
      </c>
      <c r="H202" s="9">
        <f t="shared" si="31"/>
        <v>1070835392.6666667</v>
      </c>
      <c r="I202" s="9">
        <f t="shared" si="24"/>
        <v>15828212572.816668</v>
      </c>
      <c r="J202" s="9">
        <f t="shared" si="25"/>
        <v>16440651</v>
      </c>
      <c r="K202" s="21">
        <f t="shared" si="26"/>
        <v>962.74852941143683</v>
      </c>
      <c r="L202" s="4" t="str">
        <f t="shared" si="22"/>
        <v>BUY</v>
      </c>
      <c r="M202" s="4">
        <f t="shared" si="27"/>
        <v>0</v>
      </c>
      <c r="N202" s="4">
        <f t="shared" si="23"/>
        <v>1</v>
      </c>
      <c r="O202" s="4">
        <f t="shared" si="28"/>
        <v>981.25</v>
      </c>
      <c r="P202" s="4">
        <f t="shared" si="29"/>
        <v>0</v>
      </c>
    </row>
    <row r="203" spans="1:16" x14ac:dyDescent="0.25">
      <c r="A203" s="1">
        <v>41561</v>
      </c>
      <c r="B203">
        <v>964.5</v>
      </c>
      <c r="C203">
        <v>980.5</v>
      </c>
      <c r="D203">
        <v>956.2</v>
      </c>
      <c r="E203" s="7">
        <v>963.25</v>
      </c>
      <c r="F203">
        <v>1103319</v>
      </c>
      <c r="G203" s="8">
        <f t="shared" si="30"/>
        <v>966.65</v>
      </c>
      <c r="H203" s="9">
        <f t="shared" si="31"/>
        <v>1066523311.35</v>
      </c>
      <c r="I203" s="9">
        <f t="shared" si="24"/>
        <v>16012785992.833334</v>
      </c>
      <c r="J203" s="9">
        <f t="shared" si="25"/>
        <v>16624490</v>
      </c>
      <c r="K203" s="21">
        <f t="shared" si="26"/>
        <v>963.20464524525767</v>
      </c>
      <c r="L203" s="4" t="str">
        <f t="shared" ref="L203:L266" si="32">IF(E203&gt;K203,"BUY",IF(E203&lt;K203,"SELL",0))</f>
        <v>BUY</v>
      </c>
      <c r="M203" s="4">
        <f t="shared" si="27"/>
        <v>0</v>
      </c>
      <c r="N203" s="4">
        <f t="shared" ref="N203:N266" si="33">IF(M203="BUY",1,IF(M203="SELL",-1,N202))</f>
        <v>1</v>
      </c>
      <c r="O203" s="4">
        <f t="shared" si="28"/>
        <v>981.25</v>
      </c>
      <c r="P203" s="4">
        <f t="shared" si="29"/>
        <v>0</v>
      </c>
    </row>
    <row r="204" spans="1:16" x14ac:dyDescent="0.25">
      <c r="A204" s="1">
        <v>41562</v>
      </c>
      <c r="B204">
        <v>974.05</v>
      </c>
      <c r="C204">
        <v>993.85</v>
      </c>
      <c r="D204">
        <v>970</v>
      </c>
      <c r="E204" s="7">
        <v>986.2</v>
      </c>
      <c r="F204">
        <v>1876177</v>
      </c>
      <c r="G204" s="8">
        <f t="shared" si="30"/>
        <v>983.35</v>
      </c>
      <c r="H204" s="9">
        <f t="shared" si="31"/>
        <v>1844938652.95</v>
      </c>
      <c r="I204" s="9">
        <f t="shared" ref="I204:I267" si="34">SUM(H195:H204)</f>
        <v>16919525911.116667</v>
      </c>
      <c r="J204" s="9">
        <f t="shared" ref="J204:J267" si="35">SUM(F195:F204)</f>
        <v>17514197</v>
      </c>
      <c r="K204" s="21">
        <f t="shared" ref="K204:K267" si="36">I204/J204</f>
        <v>966.04634007009668</v>
      </c>
      <c r="L204" s="4" t="str">
        <f t="shared" si="32"/>
        <v>BUY</v>
      </c>
      <c r="M204" s="4">
        <f t="shared" ref="M204:M267" si="37">IF(L204&lt;&gt;L203,L204,0)</f>
        <v>0</v>
      </c>
      <c r="N204" s="4">
        <f t="shared" si="33"/>
        <v>1</v>
      </c>
      <c r="O204" s="4">
        <f t="shared" ref="O204:O267" si="38">IF(M204&lt;&gt;0,E204,O203)</f>
        <v>981.25</v>
      </c>
      <c r="P204" s="4">
        <f t="shared" ref="P204:P267" si="39">IF(M204="BUY",(O203-O204)/O203,IF(M204="SELL",(O204-O203)/O203,0))</f>
        <v>0</v>
      </c>
    </row>
    <row r="205" spans="1:16" x14ac:dyDescent="0.25">
      <c r="A205" s="1">
        <v>41563</v>
      </c>
      <c r="B205">
        <v>1022</v>
      </c>
      <c r="C205">
        <v>1049.4000000000001</v>
      </c>
      <c r="D205">
        <v>1022</v>
      </c>
      <c r="E205" s="7">
        <v>1040.2</v>
      </c>
      <c r="F205">
        <v>4805202</v>
      </c>
      <c r="G205" s="8">
        <f t="shared" si="30"/>
        <v>1037.2</v>
      </c>
      <c r="H205" s="9">
        <f t="shared" si="31"/>
        <v>4983955514.4000006</v>
      </c>
      <c r="I205" s="9">
        <f t="shared" si="34"/>
        <v>20660492469.716667</v>
      </c>
      <c r="J205" s="9">
        <f t="shared" si="35"/>
        <v>20971401</v>
      </c>
      <c r="K205" s="21">
        <f t="shared" si="36"/>
        <v>985.17464187140706</v>
      </c>
      <c r="L205" s="4" t="str">
        <f t="shared" si="32"/>
        <v>BUY</v>
      </c>
      <c r="M205" s="4">
        <f t="shared" si="37"/>
        <v>0</v>
      </c>
      <c r="N205" s="4">
        <f t="shared" si="33"/>
        <v>1</v>
      </c>
      <c r="O205" s="4">
        <f t="shared" si="38"/>
        <v>981.25</v>
      </c>
      <c r="P205" s="4">
        <f t="shared" si="39"/>
        <v>0</v>
      </c>
    </row>
    <row r="206" spans="1:16" x14ac:dyDescent="0.25">
      <c r="A206" s="1">
        <v>41564</v>
      </c>
      <c r="B206">
        <v>1043</v>
      </c>
      <c r="C206">
        <v>1072.95</v>
      </c>
      <c r="D206">
        <v>1037.2</v>
      </c>
      <c r="E206" s="7">
        <v>1066.95</v>
      </c>
      <c r="F206">
        <v>2578158</v>
      </c>
      <c r="G206" s="8">
        <f t="shared" si="30"/>
        <v>1059.0333333333335</v>
      </c>
      <c r="H206" s="9">
        <f t="shared" si="31"/>
        <v>2730355260.6000004</v>
      </c>
      <c r="I206" s="9">
        <f t="shared" si="34"/>
        <v>21948131339.816666</v>
      </c>
      <c r="J206" s="9">
        <f t="shared" si="35"/>
        <v>22016874</v>
      </c>
      <c r="K206" s="21">
        <f t="shared" si="36"/>
        <v>996.8777284103395</v>
      </c>
      <c r="L206" s="4" t="str">
        <f t="shared" si="32"/>
        <v>BUY</v>
      </c>
      <c r="M206" s="4">
        <f t="shared" si="37"/>
        <v>0</v>
      </c>
      <c r="N206" s="4">
        <f t="shared" si="33"/>
        <v>1</v>
      </c>
      <c r="O206" s="4">
        <f t="shared" si="38"/>
        <v>981.25</v>
      </c>
      <c r="P206" s="4">
        <f t="shared" si="39"/>
        <v>0</v>
      </c>
    </row>
    <row r="207" spans="1:16" x14ac:dyDescent="0.25">
      <c r="A207" s="1">
        <v>41565</v>
      </c>
      <c r="B207">
        <v>1063.5</v>
      </c>
      <c r="C207">
        <v>1067.75</v>
      </c>
      <c r="D207">
        <v>1041.55</v>
      </c>
      <c r="E207" s="7">
        <v>1062.5999999999999</v>
      </c>
      <c r="F207">
        <v>1753512</v>
      </c>
      <c r="G207" s="8">
        <f t="shared" si="30"/>
        <v>1057.3</v>
      </c>
      <c r="H207" s="9">
        <f t="shared" si="31"/>
        <v>1853988237.5999999</v>
      </c>
      <c r="I207" s="9">
        <f t="shared" si="34"/>
        <v>22564804322.216667</v>
      </c>
      <c r="J207" s="9">
        <f t="shared" si="35"/>
        <v>22465935</v>
      </c>
      <c r="K207" s="21">
        <f t="shared" si="36"/>
        <v>1004.4008549929779</v>
      </c>
      <c r="L207" s="4" t="str">
        <f t="shared" si="32"/>
        <v>BUY</v>
      </c>
      <c r="M207" s="4">
        <f t="shared" si="37"/>
        <v>0</v>
      </c>
      <c r="N207" s="4">
        <f t="shared" si="33"/>
        <v>1</v>
      </c>
      <c r="O207" s="4">
        <f t="shared" si="38"/>
        <v>981.25</v>
      </c>
      <c r="P207" s="4">
        <f t="shared" si="39"/>
        <v>0</v>
      </c>
    </row>
    <row r="208" spans="1:16" x14ac:dyDescent="0.25">
      <c r="A208" s="1">
        <v>41568</v>
      </c>
      <c r="B208">
        <v>1060</v>
      </c>
      <c r="C208">
        <v>1066.8</v>
      </c>
      <c r="D208">
        <v>1043.55</v>
      </c>
      <c r="E208" s="7">
        <v>1048.2</v>
      </c>
      <c r="F208">
        <v>1070691</v>
      </c>
      <c r="G208" s="8">
        <f t="shared" si="30"/>
        <v>1052.8500000000001</v>
      </c>
      <c r="H208" s="9">
        <f t="shared" si="31"/>
        <v>1127277019.3500001</v>
      </c>
      <c r="I208" s="9">
        <f t="shared" si="34"/>
        <v>21070597500.133331</v>
      </c>
      <c r="J208" s="9">
        <f t="shared" si="35"/>
        <v>20861324</v>
      </c>
      <c r="K208" s="21">
        <f t="shared" si="36"/>
        <v>1010.0316499630288</v>
      </c>
      <c r="L208" s="4" t="str">
        <f t="shared" si="32"/>
        <v>BUY</v>
      </c>
      <c r="M208" s="4">
        <f t="shared" si="37"/>
        <v>0</v>
      </c>
      <c r="N208" s="4">
        <f t="shared" si="33"/>
        <v>1</v>
      </c>
      <c r="O208" s="4">
        <f t="shared" si="38"/>
        <v>981.25</v>
      </c>
      <c r="P208" s="4">
        <f t="shared" si="39"/>
        <v>0</v>
      </c>
    </row>
    <row r="209" spans="1:16" x14ac:dyDescent="0.25">
      <c r="A209" s="1">
        <v>41569</v>
      </c>
      <c r="B209">
        <v>1050</v>
      </c>
      <c r="C209">
        <v>1067.55</v>
      </c>
      <c r="D209">
        <v>1040</v>
      </c>
      <c r="E209" s="7">
        <v>1052.9000000000001</v>
      </c>
      <c r="F209">
        <v>2627845</v>
      </c>
      <c r="G209" s="8">
        <f t="shared" si="30"/>
        <v>1053.4833333333333</v>
      </c>
      <c r="H209" s="9">
        <f t="shared" si="31"/>
        <v>2768390910.0833335</v>
      </c>
      <c r="I209" s="9">
        <f t="shared" si="34"/>
        <v>22378011205.816666</v>
      </c>
      <c r="J209" s="9">
        <f t="shared" si="35"/>
        <v>22014626</v>
      </c>
      <c r="K209" s="21">
        <f t="shared" si="36"/>
        <v>1016.5065355103768</v>
      </c>
      <c r="L209" s="4" t="str">
        <f t="shared" si="32"/>
        <v>BUY</v>
      </c>
      <c r="M209" s="4">
        <f t="shared" si="37"/>
        <v>0</v>
      </c>
      <c r="N209" s="4">
        <f t="shared" si="33"/>
        <v>1</v>
      </c>
      <c r="O209" s="4">
        <f t="shared" si="38"/>
        <v>981.25</v>
      </c>
      <c r="P209" s="4">
        <f t="shared" si="39"/>
        <v>0</v>
      </c>
    </row>
    <row r="210" spans="1:16" x14ac:dyDescent="0.25">
      <c r="A210" s="1">
        <v>41570</v>
      </c>
      <c r="B210">
        <v>1060</v>
      </c>
      <c r="C210">
        <v>1060</v>
      </c>
      <c r="D210">
        <v>1031</v>
      </c>
      <c r="E210" s="7">
        <v>1052.9000000000001</v>
      </c>
      <c r="F210">
        <v>1106199</v>
      </c>
      <c r="G210" s="8">
        <f t="shared" si="30"/>
        <v>1047.9666666666667</v>
      </c>
      <c r="H210" s="9">
        <f t="shared" si="31"/>
        <v>1159259678.7</v>
      </c>
      <c r="I210" s="9">
        <f t="shared" si="34"/>
        <v>20767664829.950005</v>
      </c>
      <c r="J210" s="9">
        <f t="shared" si="35"/>
        <v>20261926</v>
      </c>
      <c r="K210" s="21">
        <f t="shared" si="36"/>
        <v>1024.9600571016795</v>
      </c>
      <c r="L210" s="4" t="str">
        <f t="shared" si="32"/>
        <v>BUY</v>
      </c>
      <c r="M210" s="4">
        <f t="shared" si="37"/>
        <v>0</v>
      </c>
      <c r="N210" s="4">
        <f t="shared" si="33"/>
        <v>1</v>
      </c>
      <c r="O210" s="4">
        <f t="shared" si="38"/>
        <v>981.25</v>
      </c>
      <c r="P210" s="4">
        <f t="shared" si="39"/>
        <v>0</v>
      </c>
    </row>
    <row r="211" spans="1:16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 s="7">
        <v>1053.4000000000001</v>
      </c>
      <c r="F211">
        <v>573974</v>
      </c>
      <c r="G211" s="8">
        <f t="shared" si="30"/>
        <v>1056.3</v>
      </c>
      <c r="H211" s="9">
        <f t="shared" si="31"/>
        <v>606288736.19999993</v>
      </c>
      <c r="I211" s="9">
        <f t="shared" si="34"/>
        <v>19211812713.900005</v>
      </c>
      <c r="J211" s="9">
        <f t="shared" si="35"/>
        <v>18595533</v>
      </c>
      <c r="K211" s="21">
        <f t="shared" si="36"/>
        <v>1033.1412772035094</v>
      </c>
      <c r="L211" s="4" t="str">
        <f t="shared" si="32"/>
        <v>BUY</v>
      </c>
      <c r="M211" s="4">
        <f t="shared" si="37"/>
        <v>0</v>
      </c>
      <c r="N211" s="4">
        <f t="shared" si="33"/>
        <v>1</v>
      </c>
      <c r="O211" s="4">
        <f t="shared" si="38"/>
        <v>981.25</v>
      </c>
      <c r="P211" s="4">
        <f t="shared" si="39"/>
        <v>0</v>
      </c>
    </row>
    <row r="212" spans="1:16" x14ac:dyDescent="0.25">
      <c r="A212" s="1">
        <v>41572</v>
      </c>
      <c r="B212">
        <v>1055</v>
      </c>
      <c r="C212">
        <v>1060</v>
      </c>
      <c r="D212">
        <v>1043.7</v>
      </c>
      <c r="E212" s="7">
        <v>1049.45</v>
      </c>
      <c r="F212">
        <v>782889</v>
      </c>
      <c r="G212" s="8">
        <f t="shared" si="30"/>
        <v>1051.05</v>
      </c>
      <c r="H212" s="9">
        <f t="shared" si="31"/>
        <v>822855483.44999993</v>
      </c>
      <c r="I212" s="9">
        <f t="shared" si="34"/>
        <v>18963832804.683338</v>
      </c>
      <c r="J212" s="9">
        <f t="shared" si="35"/>
        <v>18277966</v>
      </c>
      <c r="K212" s="21">
        <f t="shared" si="36"/>
        <v>1037.524241192009</v>
      </c>
      <c r="L212" s="4" t="str">
        <f t="shared" si="32"/>
        <v>BUY</v>
      </c>
      <c r="M212" s="4">
        <f t="shared" si="37"/>
        <v>0</v>
      </c>
      <c r="N212" s="4">
        <f t="shared" si="33"/>
        <v>1</v>
      </c>
      <c r="O212" s="4">
        <f t="shared" si="38"/>
        <v>981.25</v>
      </c>
      <c r="P212" s="4">
        <f t="shared" si="39"/>
        <v>0</v>
      </c>
    </row>
    <row r="213" spans="1:16" x14ac:dyDescent="0.25">
      <c r="A213" s="1">
        <v>41575</v>
      </c>
      <c r="B213">
        <v>1050.9000000000001</v>
      </c>
      <c r="C213">
        <v>1079</v>
      </c>
      <c r="D213">
        <v>1048.4000000000001</v>
      </c>
      <c r="E213" s="7">
        <v>1052.8</v>
      </c>
      <c r="F213">
        <v>1108939</v>
      </c>
      <c r="G213" s="8">
        <f t="shared" si="30"/>
        <v>1060.0666666666666</v>
      </c>
      <c r="H213" s="9">
        <f t="shared" si="31"/>
        <v>1175549269.2666667</v>
      </c>
      <c r="I213" s="9">
        <f t="shared" si="34"/>
        <v>19072858762.600002</v>
      </c>
      <c r="J213" s="9">
        <f t="shared" si="35"/>
        <v>18283586</v>
      </c>
      <c r="K213" s="21">
        <f t="shared" si="36"/>
        <v>1043.1683785992529</v>
      </c>
      <c r="L213" s="4" t="str">
        <f t="shared" si="32"/>
        <v>BUY</v>
      </c>
      <c r="M213" s="4">
        <f t="shared" si="37"/>
        <v>0</v>
      </c>
      <c r="N213" s="4">
        <f t="shared" si="33"/>
        <v>1</v>
      </c>
      <c r="O213" s="4">
        <f t="shared" si="38"/>
        <v>981.25</v>
      </c>
      <c r="P213" s="4">
        <f t="shared" si="39"/>
        <v>0</v>
      </c>
    </row>
    <row r="214" spans="1:16" x14ac:dyDescent="0.25">
      <c r="A214" s="1">
        <v>41576</v>
      </c>
      <c r="B214">
        <v>1062</v>
      </c>
      <c r="C214">
        <v>1078.5999999999999</v>
      </c>
      <c r="D214">
        <v>1061.5</v>
      </c>
      <c r="E214" s="7">
        <v>1069.1500000000001</v>
      </c>
      <c r="F214">
        <v>858720</v>
      </c>
      <c r="G214" s="8">
        <f t="shared" si="30"/>
        <v>1069.75</v>
      </c>
      <c r="H214" s="9">
        <f t="shared" si="31"/>
        <v>918615720</v>
      </c>
      <c r="I214" s="9">
        <f t="shared" si="34"/>
        <v>18146535829.650005</v>
      </c>
      <c r="J214" s="9">
        <f t="shared" si="35"/>
        <v>17266129</v>
      </c>
      <c r="K214" s="21">
        <f t="shared" si="36"/>
        <v>1050.9904003178713</v>
      </c>
      <c r="L214" s="4" t="str">
        <f t="shared" si="32"/>
        <v>BUY</v>
      </c>
      <c r="M214" s="4">
        <f t="shared" si="37"/>
        <v>0</v>
      </c>
      <c r="N214" s="4">
        <f t="shared" si="33"/>
        <v>1</v>
      </c>
      <c r="O214" s="4">
        <f t="shared" si="38"/>
        <v>981.25</v>
      </c>
      <c r="P214" s="4">
        <f t="shared" si="39"/>
        <v>0</v>
      </c>
    </row>
    <row r="215" spans="1:16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 s="7">
        <v>1077.75</v>
      </c>
      <c r="F215">
        <v>179483</v>
      </c>
      <c r="G215" s="8">
        <f t="shared" si="30"/>
        <v>1079</v>
      </c>
      <c r="H215" s="9">
        <f t="shared" si="31"/>
        <v>193662157</v>
      </c>
      <c r="I215" s="9">
        <f t="shared" si="34"/>
        <v>13356242472.250004</v>
      </c>
      <c r="J215" s="9">
        <f t="shared" si="35"/>
        <v>12640410</v>
      </c>
      <c r="K215" s="21">
        <f t="shared" si="36"/>
        <v>1056.6304789362057</v>
      </c>
      <c r="L215" s="4" t="str">
        <f t="shared" si="32"/>
        <v>BUY</v>
      </c>
      <c r="M215" s="4">
        <f t="shared" si="37"/>
        <v>0</v>
      </c>
      <c r="N215" s="4">
        <f t="shared" si="33"/>
        <v>1</v>
      </c>
      <c r="O215" s="4">
        <f t="shared" si="38"/>
        <v>981.25</v>
      </c>
      <c r="P215" s="4">
        <f t="shared" si="39"/>
        <v>0</v>
      </c>
    </row>
    <row r="216" spans="1:16" x14ac:dyDescent="0.25">
      <c r="A216" s="1">
        <v>41578</v>
      </c>
      <c r="B216">
        <v>1080</v>
      </c>
      <c r="C216">
        <v>1082.4000000000001</v>
      </c>
      <c r="D216">
        <v>1062.0999999999999</v>
      </c>
      <c r="E216" s="7">
        <v>1068.1500000000001</v>
      </c>
      <c r="F216">
        <v>1124293</v>
      </c>
      <c r="G216" s="8">
        <f t="shared" si="30"/>
        <v>1070.8833333333334</v>
      </c>
      <c r="H216" s="9">
        <f t="shared" si="31"/>
        <v>1203986635.4833333</v>
      </c>
      <c r="I216" s="9">
        <f t="shared" si="34"/>
        <v>11829873847.133333</v>
      </c>
      <c r="J216" s="9">
        <f t="shared" si="35"/>
        <v>11186545</v>
      </c>
      <c r="K216" s="21">
        <f t="shared" si="36"/>
        <v>1057.5091636544914</v>
      </c>
      <c r="L216" s="4" t="str">
        <f t="shared" si="32"/>
        <v>BUY</v>
      </c>
      <c r="M216" s="4">
        <f t="shared" si="37"/>
        <v>0</v>
      </c>
      <c r="N216" s="4">
        <f t="shared" si="33"/>
        <v>1</v>
      </c>
      <c r="O216" s="4">
        <f t="shared" si="38"/>
        <v>981.25</v>
      </c>
      <c r="P216" s="4">
        <f t="shared" si="39"/>
        <v>0</v>
      </c>
    </row>
    <row r="217" spans="1:16" x14ac:dyDescent="0.25">
      <c r="A217" s="1">
        <v>41579</v>
      </c>
      <c r="B217">
        <v>1073.9000000000001</v>
      </c>
      <c r="C217">
        <v>1098.7</v>
      </c>
      <c r="D217">
        <v>1068.5</v>
      </c>
      <c r="E217" s="7">
        <v>1091.0999999999999</v>
      </c>
      <c r="F217">
        <v>1752043</v>
      </c>
      <c r="G217" s="8">
        <f t="shared" si="30"/>
        <v>1086.0999999999999</v>
      </c>
      <c r="H217" s="9">
        <f t="shared" si="31"/>
        <v>1902893902.3</v>
      </c>
      <c r="I217" s="9">
        <f t="shared" si="34"/>
        <v>11878779511.833332</v>
      </c>
      <c r="J217" s="9">
        <f t="shared" si="35"/>
        <v>11185076</v>
      </c>
      <c r="K217" s="21">
        <f t="shared" si="36"/>
        <v>1062.0204558139196</v>
      </c>
      <c r="L217" s="4" t="str">
        <f t="shared" si="32"/>
        <v>BUY</v>
      </c>
      <c r="M217" s="4">
        <f t="shared" si="37"/>
        <v>0</v>
      </c>
      <c r="N217" s="4">
        <f t="shared" si="33"/>
        <v>1</v>
      </c>
      <c r="O217" s="4">
        <f t="shared" si="38"/>
        <v>981.25</v>
      </c>
      <c r="P217" s="4">
        <f t="shared" si="39"/>
        <v>0</v>
      </c>
    </row>
    <row r="218" spans="1:16" x14ac:dyDescent="0.25">
      <c r="A218" s="1">
        <v>41582</v>
      </c>
      <c r="B218">
        <v>1092.25</v>
      </c>
      <c r="C218">
        <v>1108</v>
      </c>
      <c r="D218">
        <v>1086.0999999999999</v>
      </c>
      <c r="E218" s="7">
        <v>1092.3</v>
      </c>
      <c r="F218">
        <v>770112</v>
      </c>
      <c r="G218" s="8">
        <f t="shared" si="30"/>
        <v>1095.4666666666665</v>
      </c>
      <c r="H218" s="9">
        <f t="shared" si="31"/>
        <v>843632025.5999999</v>
      </c>
      <c r="I218" s="9">
        <f t="shared" si="34"/>
        <v>11595134518.083332</v>
      </c>
      <c r="J218" s="9">
        <f t="shared" si="35"/>
        <v>10884497</v>
      </c>
      <c r="K218" s="21">
        <f t="shared" si="36"/>
        <v>1065.2889626487408</v>
      </c>
      <c r="L218" s="4" t="str">
        <f t="shared" si="32"/>
        <v>BUY</v>
      </c>
      <c r="M218" s="4">
        <f t="shared" si="37"/>
        <v>0</v>
      </c>
      <c r="N218" s="4">
        <f t="shared" si="33"/>
        <v>1</v>
      </c>
      <c r="O218" s="4">
        <f t="shared" si="38"/>
        <v>981.25</v>
      </c>
      <c r="P218" s="4">
        <f t="shared" si="39"/>
        <v>0</v>
      </c>
    </row>
    <row r="219" spans="1:16" x14ac:dyDescent="0.25">
      <c r="A219" s="1">
        <v>41583</v>
      </c>
      <c r="B219">
        <v>1090</v>
      </c>
      <c r="C219">
        <v>1090</v>
      </c>
      <c r="D219">
        <v>1058.25</v>
      </c>
      <c r="E219" s="7">
        <v>1064.75</v>
      </c>
      <c r="F219">
        <v>963048</v>
      </c>
      <c r="G219" s="8">
        <f t="shared" si="30"/>
        <v>1071</v>
      </c>
      <c r="H219" s="9">
        <f t="shared" si="31"/>
        <v>1031424408</v>
      </c>
      <c r="I219" s="9">
        <f t="shared" si="34"/>
        <v>9858168016</v>
      </c>
      <c r="J219" s="9">
        <f t="shared" si="35"/>
        <v>9219700</v>
      </c>
      <c r="K219" s="21">
        <f t="shared" si="36"/>
        <v>1069.2504111847456</v>
      </c>
      <c r="L219" s="4" t="str">
        <f t="shared" si="32"/>
        <v>SELL</v>
      </c>
      <c r="M219" s="4" t="str">
        <f t="shared" si="37"/>
        <v>SELL</v>
      </c>
      <c r="N219" s="4">
        <f t="shared" si="33"/>
        <v>-1</v>
      </c>
      <c r="O219" s="4">
        <f t="shared" si="38"/>
        <v>1064.75</v>
      </c>
      <c r="P219" s="4">
        <f t="shared" si="39"/>
        <v>8.5095541401273886E-2</v>
      </c>
    </row>
    <row r="220" spans="1:16" x14ac:dyDescent="0.25">
      <c r="A220" s="1">
        <v>41584</v>
      </c>
      <c r="B220">
        <v>1060</v>
      </c>
      <c r="C220">
        <v>1069.9000000000001</v>
      </c>
      <c r="D220">
        <v>1048.2</v>
      </c>
      <c r="E220" s="7">
        <v>1055.9000000000001</v>
      </c>
      <c r="F220">
        <v>901165</v>
      </c>
      <c r="G220" s="8">
        <f t="shared" si="30"/>
        <v>1058.0000000000002</v>
      </c>
      <c r="H220" s="9">
        <f t="shared" si="31"/>
        <v>953432570.00000024</v>
      </c>
      <c r="I220" s="9">
        <f t="shared" si="34"/>
        <v>9652340907.2999992</v>
      </c>
      <c r="J220" s="9">
        <f t="shared" si="35"/>
        <v>9014666</v>
      </c>
      <c r="K220" s="21">
        <f t="shared" si="36"/>
        <v>1070.7374967968863</v>
      </c>
      <c r="L220" s="4" t="str">
        <f t="shared" si="32"/>
        <v>SELL</v>
      </c>
      <c r="M220" s="4">
        <f t="shared" si="37"/>
        <v>0</v>
      </c>
      <c r="N220" s="4">
        <f t="shared" si="33"/>
        <v>-1</v>
      </c>
      <c r="O220" s="4">
        <f t="shared" si="38"/>
        <v>1064.75</v>
      </c>
      <c r="P220" s="4">
        <f t="shared" si="39"/>
        <v>0</v>
      </c>
    </row>
    <row r="221" spans="1:16" x14ac:dyDescent="0.25">
      <c r="A221" s="1">
        <v>41585</v>
      </c>
      <c r="B221">
        <v>1065</v>
      </c>
      <c r="C221">
        <v>1079.8499999999999</v>
      </c>
      <c r="D221">
        <v>1053</v>
      </c>
      <c r="E221" s="7">
        <v>1066</v>
      </c>
      <c r="F221">
        <v>694698</v>
      </c>
      <c r="G221" s="8">
        <f t="shared" si="30"/>
        <v>1066.2833333333333</v>
      </c>
      <c r="H221" s="9">
        <f t="shared" si="31"/>
        <v>740744899.10000002</v>
      </c>
      <c r="I221" s="9">
        <f t="shared" si="34"/>
        <v>9786797070.2000008</v>
      </c>
      <c r="J221" s="9">
        <f t="shared" si="35"/>
        <v>9135390</v>
      </c>
      <c r="K221" s="21">
        <f t="shared" si="36"/>
        <v>1071.3058851565177</v>
      </c>
      <c r="L221" s="4" t="str">
        <f t="shared" si="32"/>
        <v>SELL</v>
      </c>
      <c r="M221" s="4">
        <f t="shared" si="37"/>
        <v>0</v>
      </c>
      <c r="N221" s="4">
        <f t="shared" si="33"/>
        <v>-1</v>
      </c>
      <c r="O221" s="4">
        <f t="shared" si="38"/>
        <v>1064.75</v>
      </c>
      <c r="P221" s="4">
        <f t="shared" si="39"/>
        <v>0</v>
      </c>
    </row>
    <row r="222" spans="1:16" x14ac:dyDescent="0.25">
      <c r="A222" s="1">
        <v>41586</v>
      </c>
      <c r="B222">
        <v>1066</v>
      </c>
      <c r="C222">
        <v>1066.4000000000001</v>
      </c>
      <c r="D222">
        <v>1042.2</v>
      </c>
      <c r="E222" s="7">
        <v>1048.9000000000001</v>
      </c>
      <c r="F222">
        <v>1089038</v>
      </c>
      <c r="G222" s="8">
        <f t="shared" si="30"/>
        <v>1052.5000000000002</v>
      </c>
      <c r="H222" s="9">
        <f t="shared" si="31"/>
        <v>1146212495.0000002</v>
      </c>
      <c r="I222" s="9">
        <f t="shared" si="34"/>
        <v>10110154081.75</v>
      </c>
      <c r="J222" s="9">
        <f t="shared" si="35"/>
        <v>9441539</v>
      </c>
      <c r="K222" s="21">
        <f t="shared" si="36"/>
        <v>1070.8163236682071</v>
      </c>
      <c r="L222" s="4" t="str">
        <f t="shared" si="32"/>
        <v>SELL</v>
      </c>
      <c r="M222" s="4">
        <f t="shared" si="37"/>
        <v>0</v>
      </c>
      <c r="N222" s="4">
        <f t="shared" si="33"/>
        <v>-1</v>
      </c>
      <c r="O222" s="4">
        <f t="shared" si="38"/>
        <v>1064.75</v>
      </c>
      <c r="P222" s="4">
        <f t="shared" si="39"/>
        <v>0</v>
      </c>
    </row>
    <row r="223" spans="1:16" x14ac:dyDescent="0.25">
      <c r="A223" s="1">
        <v>41589</v>
      </c>
      <c r="B223">
        <v>1072</v>
      </c>
      <c r="C223">
        <v>1072</v>
      </c>
      <c r="D223">
        <v>1040</v>
      </c>
      <c r="E223" s="7">
        <v>1042.8</v>
      </c>
      <c r="F223">
        <v>1382580</v>
      </c>
      <c r="G223" s="8">
        <f t="shared" si="30"/>
        <v>1051.6000000000001</v>
      </c>
      <c r="H223" s="9">
        <f t="shared" si="31"/>
        <v>1453921128.0000002</v>
      </c>
      <c r="I223" s="9">
        <f t="shared" si="34"/>
        <v>10388525940.483334</v>
      </c>
      <c r="J223" s="9">
        <f t="shared" si="35"/>
        <v>9715180</v>
      </c>
      <c r="K223" s="21">
        <f t="shared" si="36"/>
        <v>1069.3086428129313</v>
      </c>
      <c r="L223" s="4" t="str">
        <f t="shared" si="32"/>
        <v>SELL</v>
      </c>
      <c r="M223" s="4">
        <f t="shared" si="37"/>
        <v>0</v>
      </c>
      <c r="N223" s="4">
        <f t="shared" si="33"/>
        <v>-1</v>
      </c>
      <c r="O223" s="4">
        <f t="shared" si="38"/>
        <v>1064.75</v>
      </c>
      <c r="P223" s="4">
        <f t="shared" si="39"/>
        <v>0</v>
      </c>
    </row>
    <row r="224" spans="1:16" x14ac:dyDescent="0.25">
      <c r="A224" s="1">
        <v>41590</v>
      </c>
      <c r="B224">
        <v>1044.9000000000001</v>
      </c>
      <c r="C224">
        <v>1049</v>
      </c>
      <c r="D224">
        <v>1006</v>
      </c>
      <c r="E224" s="7">
        <v>1015.4</v>
      </c>
      <c r="F224">
        <v>1086326</v>
      </c>
      <c r="G224" s="8">
        <f t="shared" si="30"/>
        <v>1023.4666666666667</v>
      </c>
      <c r="H224" s="9">
        <f t="shared" si="31"/>
        <v>1111818450.1333334</v>
      </c>
      <c r="I224" s="9">
        <f t="shared" si="34"/>
        <v>10581728670.616667</v>
      </c>
      <c r="J224" s="9">
        <f t="shared" si="35"/>
        <v>9942786</v>
      </c>
      <c r="K224" s="21">
        <f t="shared" si="36"/>
        <v>1064.2619352982822</v>
      </c>
      <c r="L224" s="4" t="str">
        <f t="shared" si="32"/>
        <v>SELL</v>
      </c>
      <c r="M224" s="4">
        <f t="shared" si="37"/>
        <v>0</v>
      </c>
      <c r="N224" s="4">
        <f t="shared" si="33"/>
        <v>-1</v>
      </c>
      <c r="O224" s="4">
        <f t="shared" si="38"/>
        <v>1064.75</v>
      </c>
      <c r="P224" s="4">
        <f t="shared" si="39"/>
        <v>0</v>
      </c>
    </row>
    <row r="225" spans="1:16" x14ac:dyDescent="0.25">
      <c r="A225" s="1">
        <v>41591</v>
      </c>
      <c r="B225">
        <v>1016</v>
      </c>
      <c r="C225">
        <v>1043</v>
      </c>
      <c r="D225">
        <v>1011.5</v>
      </c>
      <c r="E225" s="7">
        <v>1039.0999999999999</v>
      </c>
      <c r="F225">
        <v>1110618</v>
      </c>
      <c r="G225" s="8">
        <f t="shared" si="30"/>
        <v>1031.2</v>
      </c>
      <c r="H225" s="9">
        <f t="shared" si="31"/>
        <v>1145269281.6000001</v>
      </c>
      <c r="I225" s="9">
        <f t="shared" si="34"/>
        <v>11533335795.216667</v>
      </c>
      <c r="J225" s="9">
        <f t="shared" si="35"/>
        <v>10873921</v>
      </c>
      <c r="K225" s="21">
        <f t="shared" si="36"/>
        <v>1060.6418600260813</v>
      </c>
      <c r="L225" s="4" t="str">
        <f t="shared" si="32"/>
        <v>SELL</v>
      </c>
      <c r="M225" s="4">
        <f t="shared" si="37"/>
        <v>0</v>
      </c>
      <c r="N225" s="4">
        <f t="shared" si="33"/>
        <v>-1</v>
      </c>
      <c r="O225" s="4">
        <f t="shared" si="38"/>
        <v>1064.75</v>
      </c>
      <c r="P225" s="4">
        <f t="shared" si="39"/>
        <v>0</v>
      </c>
    </row>
    <row r="226" spans="1:16" x14ac:dyDescent="0.25">
      <c r="A226" s="1">
        <v>41592</v>
      </c>
      <c r="B226">
        <v>1034</v>
      </c>
      <c r="C226">
        <v>1045</v>
      </c>
      <c r="D226">
        <v>1012.4</v>
      </c>
      <c r="E226" s="7">
        <v>1030.05</v>
      </c>
      <c r="F226">
        <v>842224</v>
      </c>
      <c r="G226" s="8">
        <f t="shared" si="30"/>
        <v>1029.1499999999999</v>
      </c>
      <c r="H226" s="9">
        <f t="shared" si="31"/>
        <v>866774829.5999999</v>
      </c>
      <c r="I226" s="9">
        <f t="shared" si="34"/>
        <v>11196123989.333334</v>
      </c>
      <c r="J226" s="9">
        <f t="shared" si="35"/>
        <v>10591852</v>
      </c>
      <c r="K226" s="21">
        <f t="shared" si="36"/>
        <v>1057.0506450933542</v>
      </c>
      <c r="L226" s="4" t="str">
        <f t="shared" si="32"/>
        <v>SELL</v>
      </c>
      <c r="M226" s="4">
        <f t="shared" si="37"/>
        <v>0</v>
      </c>
      <c r="N226" s="4">
        <f t="shared" si="33"/>
        <v>-1</v>
      </c>
      <c r="O226" s="4">
        <f t="shared" si="38"/>
        <v>1064.75</v>
      </c>
      <c r="P226" s="4">
        <f t="shared" si="39"/>
        <v>0</v>
      </c>
    </row>
    <row r="227" spans="1:16" x14ac:dyDescent="0.25">
      <c r="A227" s="1">
        <v>41593</v>
      </c>
      <c r="B227">
        <v>1025</v>
      </c>
      <c r="C227">
        <v>1034.5</v>
      </c>
      <c r="D227">
        <v>998.95</v>
      </c>
      <c r="E227" s="7">
        <v>1004.75</v>
      </c>
      <c r="F227">
        <v>1504304</v>
      </c>
      <c r="G227" s="8">
        <f t="shared" si="30"/>
        <v>1012.7333333333332</v>
      </c>
      <c r="H227" s="9">
        <f t="shared" si="31"/>
        <v>1523458804.2666664</v>
      </c>
      <c r="I227" s="9">
        <f t="shared" si="34"/>
        <v>10816688891.300001</v>
      </c>
      <c r="J227" s="9">
        <f t="shared" si="35"/>
        <v>10344113</v>
      </c>
      <c r="K227" s="21">
        <f t="shared" si="36"/>
        <v>1045.6854919604998</v>
      </c>
      <c r="L227" s="4" t="str">
        <f t="shared" si="32"/>
        <v>SELL</v>
      </c>
      <c r="M227" s="4">
        <f t="shared" si="37"/>
        <v>0</v>
      </c>
      <c r="N227" s="4">
        <f t="shared" si="33"/>
        <v>-1</v>
      </c>
      <c r="O227" s="4">
        <f t="shared" si="38"/>
        <v>1064.75</v>
      </c>
      <c r="P227" s="4">
        <f t="shared" si="39"/>
        <v>0</v>
      </c>
    </row>
    <row r="228" spans="1:16" x14ac:dyDescent="0.25">
      <c r="A228" s="1">
        <v>41596</v>
      </c>
      <c r="B228">
        <v>1010.05</v>
      </c>
      <c r="C228">
        <v>1041.9000000000001</v>
      </c>
      <c r="D228">
        <v>1007.1</v>
      </c>
      <c r="E228" s="7">
        <v>1021.8</v>
      </c>
      <c r="F228">
        <v>2927503</v>
      </c>
      <c r="G228" s="8">
        <f t="shared" si="30"/>
        <v>1023.6</v>
      </c>
      <c r="H228" s="9">
        <f t="shared" si="31"/>
        <v>2996592070.8000002</v>
      </c>
      <c r="I228" s="9">
        <f t="shared" si="34"/>
        <v>12969648936.5</v>
      </c>
      <c r="J228" s="9">
        <f t="shared" si="35"/>
        <v>12501504</v>
      </c>
      <c r="K228" s="21">
        <f t="shared" si="36"/>
        <v>1037.4470892862171</v>
      </c>
      <c r="L228" s="4" t="str">
        <f t="shared" si="32"/>
        <v>SELL</v>
      </c>
      <c r="M228" s="4">
        <f t="shared" si="37"/>
        <v>0</v>
      </c>
      <c r="N228" s="4">
        <f t="shared" si="33"/>
        <v>-1</v>
      </c>
      <c r="O228" s="4">
        <f t="shared" si="38"/>
        <v>1064.75</v>
      </c>
      <c r="P228" s="4">
        <f t="shared" si="39"/>
        <v>0</v>
      </c>
    </row>
    <row r="229" spans="1:16" x14ac:dyDescent="0.25">
      <c r="A229" s="1">
        <v>41597</v>
      </c>
      <c r="B229">
        <v>1025</v>
      </c>
      <c r="C229">
        <v>1054</v>
      </c>
      <c r="D229">
        <v>1025</v>
      </c>
      <c r="E229" s="7">
        <v>1047.25</v>
      </c>
      <c r="F229">
        <v>1808913</v>
      </c>
      <c r="G229" s="8">
        <f t="shared" si="30"/>
        <v>1042.0833333333333</v>
      </c>
      <c r="H229" s="9">
        <f t="shared" si="31"/>
        <v>1885038088.7499998</v>
      </c>
      <c r="I229" s="9">
        <f t="shared" si="34"/>
        <v>13823262617.25</v>
      </c>
      <c r="J229" s="9">
        <f t="shared" si="35"/>
        <v>13347369</v>
      </c>
      <c r="K229" s="21">
        <f t="shared" si="36"/>
        <v>1035.6544887048526</v>
      </c>
      <c r="L229" s="4" t="str">
        <f t="shared" si="32"/>
        <v>BUY</v>
      </c>
      <c r="M229" s="4" t="str">
        <f t="shared" si="37"/>
        <v>BUY</v>
      </c>
      <c r="N229" s="4">
        <f t="shared" si="33"/>
        <v>1</v>
      </c>
      <c r="O229" s="4">
        <f t="shared" si="38"/>
        <v>1047.25</v>
      </c>
      <c r="P229" s="4">
        <f t="shared" si="39"/>
        <v>1.6435783047663771E-2</v>
      </c>
    </row>
    <row r="230" spans="1:16" x14ac:dyDescent="0.25">
      <c r="A230" s="1">
        <v>41598</v>
      </c>
      <c r="B230">
        <v>1055</v>
      </c>
      <c r="C230">
        <v>1078.5</v>
      </c>
      <c r="D230">
        <v>1050.25</v>
      </c>
      <c r="E230" s="7">
        <v>1071.3</v>
      </c>
      <c r="F230">
        <v>2259446</v>
      </c>
      <c r="G230" s="8">
        <f t="shared" si="30"/>
        <v>1066.6833333333334</v>
      </c>
      <c r="H230" s="9">
        <f t="shared" si="31"/>
        <v>2410113390.7666669</v>
      </c>
      <c r="I230" s="9">
        <f t="shared" si="34"/>
        <v>15279943438.016666</v>
      </c>
      <c r="J230" s="9">
        <f t="shared" si="35"/>
        <v>14705650</v>
      </c>
      <c r="K230" s="21">
        <f t="shared" si="36"/>
        <v>1039.0525708157522</v>
      </c>
      <c r="L230" s="4" t="str">
        <f t="shared" si="32"/>
        <v>BUY</v>
      </c>
      <c r="M230" s="4">
        <f t="shared" si="37"/>
        <v>0</v>
      </c>
      <c r="N230" s="4">
        <f t="shared" si="33"/>
        <v>1</v>
      </c>
      <c r="O230" s="4">
        <f t="shared" si="38"/>
        <v>1047.25</v>
      </c>
      <c r="P230" s="4">
        <f t="shared" si="39"/>
        <v>0</v>
      </c>
    </row>
    <row r="231" spans="1:16" x14ac:dyDescent="0.25">
      <c r="A231" s="1">
        <v>41599</v>
      </c>
      <c r="B231">
        <v>1060.5</v>
      </c>
      <c r="C231">
        <v>1086.05</v>
      </c>
      <c r="D231">
        <v>1053.0999999999999</v>
      </c>
      <c r="E231" s="7">
        <v>1076</v>
      </c>
      <c r="F231">
        <v>2404204</v>
      </c>
      <c r="G231" s="8">
        <f t="shared" si="30"/>
        <v>1071.7166666666665</v>
      </c>
      <c r="H231" s="9">
        <f t="shared" si="31"/>
        <v>2576625496.8666663</v>
      </c>
      <c r="I231" s="9">
        <f t="shared" si="34"/>
        <v>17115824035.783335</v>
      </c>
      <c r="J231" s="9">
        <f t="shared" si="35"/>
        <v>16415156</v>
      </c>
      <c r="K231" s="21">
        <f t="shared" si="36"/>
        <v>1042.6842142580513</v>
      </c>
      <c r="L231" s="4" t="str">
        <f t="shared" si="32"/>
        <v>BUY</v>
      </c>
      <c r="M231" s="4">
        <f t="shared" si="37"/>
        <v>0</v>
      </c>
      <c r="N231" s="4">
        <f t="shared" si="33"/>
        <v>1</v>
      </c>
      <c r="O231" s="4">
        <f t="shared" si="38"/>
        <v>1047.25</v>
      </c>
      <c r="P231" s="4">
        <f t="shared" si="39"/>
        <v>0</v>
      </c>
    </row>
    <row r="232" spans="1:16" x14ac:dyDescent="0.25">
      <c r="A232" s="1">
        <v>41600</v>
      </c>
      <c r="B232">
        <v>1064</v>
      </c>
      <c r="C232">
        <v>1093.2</v>
      </c>
      <c r="D232">
        <v>1064</v>
      </c>
      <c r="E232" s="7">
        <v>1081.9000000000001</v>
      </c>
      <c r="F232">
        <v>1888016</v>
      </c>
      <c r="G232" s="8">
        <f t="shared" si="30"/>
        <v>1079.7</v>
      </c>
      <c r="H232" s="9">
        <f t="shared" si="31"/>
        <v>2038490875.2</v>
      </c>
      <c r="I232" s="9">
        <f t="shared" si="34"/>
        <v>18008102415.983334</v>
      </c>
      <c r="J232" s="9">
        <f t="shared" si="35"/>
        <v>17214134</v>
      </c>
      <c r="K232" s="21">
        <f t="shared" si="36"/>
        <v>1046.1230530669352</v>
      </c>
      <c r="L232" s="4" t="str">
        <f t="shared" si="32"/>
        <v>BUY</v>
      </c>
      <c r="M232" s="4">
        <f t="shared" si="37"/>
        <v>0</v>
      </c>
      <c r="N232" s="4">
        <f t="shared" si="33"/>
        <v>1</v>
      </c>
      <c r="O232" s="4">
        <f t="shared" si="38"/>
        <v>1047.25</v>
      </c>
      <c r="P232" s="4">
        <f t="shared" si="39"/>
        <v>0</v>
      </c>
    </row>
    <row r="233" spans="1:16" x14ac:dyDescent="0.25">
      <c r="A233" s="1">
        <v>41603</v>
      </c>
      <c r="B233">
        <v>1091</v>
      </c>
      <c r="C233">
        <v>1099.2</v>
      </c>
      <c r="D233">
        <v>1075.05</v>
      </c>
      <c r="E233" s="7">
        <v>1095.8</v>
      </c>
      <c r="F233">
        <v>2047858</v>
      </c>
      <c r="G233" s="8">
        <f t="shared" si="30"/>
        <v>1090.0166666666667</v>
      </c>
      <c r="H233" s="9">
        <f t="shared" si="31"/>
        <v>2232199350.9666667</v>
      </c>
      <c r="I233" s="9">
        <f t="shared" si="34"/>
        <v>18786380638.950001</v>
      </c>
      <c r="J233" s="9">
        <f t="shared" si="35"/>
        <v>17879412</v>
      </c>
      <c r="K233" s="21">
        <f t="shared" si="36"/>
        <v>1050.7269835803324</v>
      </c>
      <c r="L233" s="4" t="str">
        <f t="shared" si="32"/>
        <v>BUY</v>
      </c>
      <c r="M233" s="4">
        <f t="shared" si="37"/>
        <v>0</v>
      </c>
      <c r="N233" s="4">
        <f t="shared" si="33"/>
        <v>1</v>
      </c>
      <c r="O233" s="4">
        <f t="shared" si="38"/>
        <v>1047.25</v>
      </c>
      <c r="P233" s="4">
        <f t="shared" si="39"/>
        <v>0</v>
      </c>
    </row>
    <row r="234" spans="1:16" x14ac:dyDescent="0.25">
      <c r="A234" s="1">
        <v>41604</v>
      </c>
      <c r="B234">
        <v>1093.05</v>
      </c>
      <c r="C234">
        <v>1113</v>
      </c>
      <c r="D234">
        <v>1091.1500000000001</v>
      </c>
      <c r="E234" s="7">
        <v>1097.3499999999999</v>
      </c>
      <c r="F234">
        <v>1015056</v>
      </c>
      <c r="G234" s="8">
        <f t="shared" si="30"/>
        <v>1100.5</v>
      </c>
      <c r="H234" s="9">
        <f t="shared" si="31"/>
        <v>1117069128</v>
      </c>
      <c r="I234" s="9">
        <f t="shared" si="34"/>
        <v>18791631316.816666</v>
      </c>
      <c r="J234" s="9">
        <f t="shared" si="35"/>
        <v>17808142</v>
      </c>
      <c r="K234" s="21">
        <f t="shared" si="36"/>
        <v>1055.2269471355667</v>
      </c>
      <c r="L234" s="4" t="str">
        <f t="shared" si="32"/>
        <v>BUY</v>
      </c>
      <c r="M234" s="4">
        <f t="shared" si="37"/>
        <v>0</v>
      </c>
      <c r="N234" s="4">
        <f t="shared" si="33"/>
        <v>1</v>
      </c>
      <c r="O234" s="4">
        <f t="shared" si="38"/>
        <v>1047.25</v>
      </c>
      <c r="P234" s="4">
        <f t="shared" si="39"/>
        <v>0</v>
      </c>
    </row>
    <row r="235" spans="1:16" x14ac:dyDescent="0.25">
      <c r="A235" s="1">
        <v>41605</v>
      </c>
      <c r="B235">
        <v>1100</v>
      </c>
      <c r="C235">
        <v>1110</v>
      </c>
      <c r="D235">
        <v>1095.3</v>
      </c>
      <c r="E235" s="7">
        <v>1101.7</v>
      </c>
      <c r="F235">
        <v>965477</v>
      </c>
      <c r="G235" s="8">
        <f t="shared" si="30"/>
        <v>1102.3333333333333</v>
      </c>
      <c r="H235" s="9">
        <f t="shared" si="31"/>
        <v>1064277479.6666666</v>
      </c>
      <c r="I235" s="9">
        <f t="shared" si="34"/>
        <v>18710639514.883335</v>
      </c>
      <c r="J235" s="9">
        <f t="shared" si="35"/>
        <v>17663001</v>
      </c>
      <c r="K235" s="21">
        <f t="shared" si="36"/>
        <v>1059.3126001002511</v>
      </c>
      <c r="L235" s="4" t="str">
        <f t="shared" si="32"/>
        <v>BUY</v>
      </c>
      <c r="M235" s="4">
        <f t="shared" si="37"/>
        <v>0</v>
      </c>
      <c r="N235" s="4">
        <f t="shared" si="33"/>
        <v>1</v>
      </c>
      <c r="O235" s="4">
        <f t="shared" si="38"/>
        <v>1047.25</v>
      </c>
      <c r="P235" s="4">
        <f t="shared" si="39"/>
        <v>0</v>
      </c>
    </row>
    <row r="236" spans="1:16" x14ac:dyDescent="0.25">
      <c r="A236" s="1">
        <v>41606</v>
      </c>
      <c r="B236">
        <v>1100</v>
      </c>
      <c r="C236">
        <v>1100</v>
      </c>
      <c r="D236">
        <v>1082.0999999999999</v>
      </c>
      <c r="E236" s="7">
        <v>1087.5</v>
      </c>
      <c r="F236">
        <v>1079162</v>
      </c>
      <c r="G236" s="8">
        <f t="shared" si="30"/>
        <v>1089.8666666666666</v>
      </c>
      <c r="H236" s="9">
        <f t="shared" si="31"/>
        <v>1176142691.7333331</v>
      </c>
      <c r="I236" s="9">
        <f t="shared" si="34"/>
        <v>19020007377.01667</v>
      </c>
      <c r="J236" s="9">
        <f t="shared" si="35"/>
        <v>17899939</v>
      </c>
      <c r="K236" s="21">
        <f t="shared" si="36"/>
        <v>1062.5738655878476</v>
      </c>
      <c r="L236" s="4" t="str">
        <f t="shared" si="32"/>
        <v>BUY</v>
      </c>
      <c r="M236" s="4">
        <f t="shared" si="37"/>
        <v>0</v>
      </c>
      <c r="N236" s="4">
        <f t="shared" si="33"/>
        <v>1</v>
      </c>
      <c r="O236" s="4">
        <f t="shared" si="38"/>
        <v>1047.25</v>
      </c>
      <c r="P236" s="4">
        <f t="shared" si="39"/>
        <v>0</v>
      </c>
    </row>
    <row r="237" spans="1:16" x14ac:dyDescent="0.25">
      <c r="A237" s="1">
        <v>41607</v>
      </c>
      <c r="B237">
        <v>1090.95</v>
      </c>
      <c r="C237">
        <v>1092.95</v>
      </c>
      <c r="D237">
        <v>1071.25</v>
      </c>
      <c r="E237" s="7">
        <v>1079.1500000000001</v>
      </c>
      <c r="F237">
        <v>992066</v>
      </c>
      <c r="G237" s="8">
        <f t="shared" si="30"/>
        <v>1081.1166666666666</v>
      </c>
      <c r="H237" s="9">
        <f t="shared" si="31"/>
        <v>1072539087.0333332</v>
      </c>
      <c r="I237" s="9">
        <f t="shared" si="34"/>
        <v>18569087659.783333</v>
      </c>
      <c r="J237" s="9">
        <f t="shared" si="35"/>
        <v>17387701</v>
      </c>
      <c r="K237" s="21">
        <f t="shared" si="36"/>
        <v>1067.943810385475</v>
      </c>
      <c r="L237" s="4" t="str">
        <f t="shared" si="32"/>
        <v>BUY</v>
      </c>
      <c r="M237" s="4">
        <f t="shared" si="37"/>
        <v>0</v>
      </c>
      <c r="N237" s="4">
        <f t="shared" si="33"/>
        <v>1</v>
      </c>
      <c r="O237" s="4">
        <f t="shared" si="38"/>
        <v>1047.25</v>
      </c>
      <c r="P237" s="4">
        <f t="shared" si="39"/>
        <v>0</v>
      </c>
    </row>
    <row r="238" spans="1:16" x14ac:dyDescent="0.25">
      <c r="A238" s="1">
        <v>41610</v>
      </c>
      <c r="B238">
        <v>1083.7</v>
      </c>
      <c r="C238">
        <v>1097.3</v>
      </c>
      <c r="D238">
        <v>1068.0999999999999</v>
      </c>
      <c r="E238" s="7">
        <v>1072.5999999999999</v>
      </c>
      <c r="F238">
        <v>1289951</v>
      </c>
      <c r="G238" s="8">
        <f t="shared" si="30"/>
        <v>1079.3333333333333</v>
      </c>
      <c r="H238" s="9">
        <f t="shared" si="31"/>
        <v>1392287112.6666665</v>
      </c>
      <c r="I238" s="9">
        <f t="shared" si="34"/>
        <v>16964782701.65</v>
      </c>
      <c r="J238" s="9">
        <f t="shared" si="35"/>
        <v>15750149</v>
      </c>
      <c r="K238" s="21">
        <f t="shared" si="36"/>
        <v>1077.1188705357645</v>
      </c>
      <c r="L238" s="4" t="str">
        <f t="shared" si="32"/>
        <v>SELL</v>
      </c>
      <c r="M238" s="4" t="str">
        <f t="shared" si="37"/>
        <v>SELL</v>
      </c>
      <c r="N238" s="4">
        <f t="shared" si="33"/>
        <v>-1</v>
      </c>
      <c r="O238" s="4">
        <f t="shared" si="38"/>
        <v>1072.5999999999999</v>
      </c>
      <c r="P238" s="4">
        <f t="shared" si="39"/>
        <v>2.4206254476008507E-2</v>
      </c>
    </row>
    <row r="239" spans="1:16" x14ac:dyDescent="0.25">
      <c r="A239" s="1">
        <v>41611</v>
      </c>
      <c r="B239">
        <v>1067</v>
      </c>
      <c r="C239">
        <v>1083.8499999999999</v>
      </c>
      <c r="D239">
        <v>1057</v>
      </c>
      <c r="E239" s="7">
        <v>1074.9000000000001</v>
      </c>
      <c r="F239">
        <v>1122812</v>
      </c>
      <c r="G239" s="8">
        <f t="shared" si="30"/>
        <v>1071.9166666666667</v>
      </c>
      <c r="H239" s="9">
        <f t="shared" si="31"/>
        <v>1203560896.3333335</v>
      </c>
      <c r="I239" s="9">
        <f t="shared" si="34"/>
        <v>16283305509.233332</v>
      </c>
      <c r="J239" s="9">
        <f t="shared" si="35"/>
        <v>15064048</v>
      </c>
      <c r="K239" s="21">
        <f t="shared" si="36"/>
        <v>1080.9382384624193</v>
      </c>
      <c r="L239" s="4" t="str">
        <f t="shared" si="32"/>
        <v>SELL</v>
      </c>
      <c r="M239" s="4">
        <f t="shared" si="37"/>
        <v>0</v>
      </c>
      <c r="N239" s="4">
        <f t="shared" si="33"/>
        <v>-1</v>
      </c>
      <c r="O239" s="4">
        <f t="shared" si="38"/>
        <v>1072.5999999999999</v>
      </c>
      <c r="P239" s="4">
        <f t="shared" si="39"/>
        <v>0</v>
      </c>
    </row>
    <row r="240" spans="1:16" x14ac:dyDescent="0.25">
      <c r="A240" s="1">
        <v>41612</v>
      </c>
      <c r="B240">
        <v>1071</v>
      </c>
      <c r="C240">
        <v>1080.7</v>
      </c>
      <c r="D240">
        <v>1048.4000000000001</v>
      </c>
      <c r="E240" s="7">
        <v>1076.0999999999999</v>
      </c>
      <c r="F240">
        <v>1057533</v>
      </c>
      <c r="G240" s="8">
        <f t="shared" si="30"/>
        <v>1068.4000000000001</v>
      </c>
      <c r="H240" s="9">
        <f t="shared" si="31"/>
        <v>1129868257.2</v>
      </c>
      <c r="I240" s="9">
        <f t="shared" si="34"/>
        <v>15003060375.666666</v>
      </c>
      <c r="J240" s="9">
        <f t="shared" si="35"/>
        <v>13862135</v>
      </c>
      <c r="K240" s="21">
        <f t="shared" si="36"/>
        <v>1082.3051698505797</v>
      </c>
      <c r="L240" s="4" t="str">
        <f t="shared" si="32"/>
        <v>SELL</v>
      </c>
      <c r="M240" s="4">
        <f t="shared" si="37"/>
        <v>0</v>
      </c>
      <c r="N240" s="4">
        <f t="shared" si="33"/>
        <v>-1</v>
      </c>
      <c r="O240" s="4">
        <f t="shared" si="38"/>
        <v>1072.5999999999999</v>
      </c>
      <c r="P240" s="4">
        <f t="shared" si="39"/>
        <v>0</v>
      </c>
    </row>
    <row r="241" spans="1:16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 s="7">
        <v>1080.95</v>
      </c>
      <c r="F241">
        <v>1307670</v>
      </c>
      <c r="G241" s="8">
        <f t="shared" si="30"/>
        <v>1078.2333333333333</v>
      </c>
      <c r="H241" s="9">
        <f t="shared" si="31"/>
        <v>1409973383</v>
      </c>
      <c r="I241" s="9">
        <f t="shared" si="34"/>
        <v>13836408261.800001</v>
      </c>
      <c r="J241" s="9">
        <f t="shared" si="35"/>
        <v>12765601</v>
      </c>
      <c r="K241" s="21">
        <f t="shared" si="36"/>
        <v>1083.8822443063982</v>
      </c>
      <c r="L241" s="4" t="str">
        <f t="shared" si="32"/>
        <v>SELL</v>
      </c>
      <c r="M241" s="4">
        <f t="shared" si="37"/>
        <v>0</v>
      </c>
      <c r="N241" s="4">
        <f t="shared" si="33"/>
        <v>-1</v>
      </c>
      <c r="O241" s="4">
        <f t="shared" si="38"/>
        <v>1072.5999999999999</v>
      </c>
      <c r="P241" s="4">
        <f t="shared" si="39"/>
        <v>0</v>
      </c>
    </row>
    <row r="242" spans="1:16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 s="7">
        <v>1103.6500000000001</v>
      </c>
      <c r="F242">
        <v>1286017</v>
      </c>
      <c r="G242" s="8">
        <f t="shared" si="30"/>
        <v>1097.8500000000001</v>
      </c>
      <c r="H242" s="9">
        <f t="shared" si="31"/>
        <v>1411853763.4500003</v>
      </c>
      <c r="I242" s="9">
        <f t="shared" si="34"/>
        <v>13209771150.050001</v>
      </c>
      <c r="J242" s="9">
        <f t="shared" si="35"/>
        <v>12163602</v>
      </c>
      <c r="K242" s="21">
        <f t="shared" si="36"/>
        <v>1086.0081701168783</v>
      </c>
      <c r="L242" s="4" t="str">
        <f t="shared" si="32"/>
        <v>BUY</v>
      </c>
      <c r="M242" s="4" t="str">
        <f t="shared" si="37"/>
        <v>BUY</v>
      </c>
      <c r="N242" s="4">
        <f t="shared" si="33"/>
        <v>1</v>
      </c>
      <c r="O242" s="4">
        <f t="shared" si="38"/>
        <v>1103.6500000000001</v>
      </c>
      <c r="P242" s="4">
        <f t="shared" si="39"/>
        <v>-2.8948349804214232E-2</v>
      </c>
    </row>
    <row r="243" spans="1:16" x14ac:dyDescent="0.25">
      <c r="A243" s="1">
        <v>41617</v>
      </c>
      <c r="B243">
        <v>1109</v>
      </c>
      <c r="C243">
        <v>1144</v>
      </c>
      <c r="D243">
        <v>1104.1500000000001</v>
      </c>
      <c r="E243" s="7">
        <v>1140.7</v>
      </c>
      <c r="F243">
        <v>2257852</v>
      </c>
      <c r="G243" s="8">
        <f t="shared" si="30"/>
        <v>1129.6166666666668</v>
      </c>
      <c r="H243" s="9">
        <f t="shared" si="31"/>
        <v>2550507250.0666671</v>
      </c>
      <c r="I243" s="9">
        <f t="shared" si="34"/>
        <v>13528079049.15</v>
      </c>
      <c r="J243" s="9">
        <f t="shared" si="35"/>
        <v>12373596</v>
      </c>
      <c r="K243" s="21">
        <f t="shared" si="36"/>
        <v>1093.3021450797326</v>
      </c>
      <c r="L243" s="4" t="str">
        <f t="shared" si="32"/>
        <v>BUY</v>
      </c>
      <c r="M243" s="4">
        <f t="shared" si="37"/>
        <v>0</v>
      </c>
      <c r="N243" s="4">
        <f t="shared" si="33"/>
        <v>1</v>
      </c>
      <c r="O243" s="4">
        <f t="shared" si="38"/>
        <v>1103.6500000000001</v>
      </c>
      <c r="P243" s="4">
        <f t="shared" si="39"/>
        <v>0</v>
      </c>
    </row>
    <row r="244" spans="1:16" x14ac:dyDescent="0.25">
      <c r="A244" s="1">
        <v>41618</v>
      </c>
      <c r="B244">
        <v>1134.8</v>
      </c>
      <c r="C244">
        <v>1177</v>
      </c>
      <c r="D244">
        <v>1114.8499999999999</v>
      </c>
      <c r="E244" s="7">
        <v>1166.7</v>
      </c>
      <c r="F244">
        <v>2257023</v>
      </c>
      <c r="G244" s="8">
        <f t="shared" si="30"/>
        <v>1152.8500000000001</v>
      </c>
      <c r="H244" s="9">
        <f t="shared" si="31"/>
        <v>2602008965.5500002</v>
      </c>
      <c r="I244" s="9">
        <f t="shared" si="34"/>
        <v>15013018886.700001</v>
      </c>
      <c r="J244" s="9">
        <f t="shared" si="35"/>
        <v>13615563</v>
      </c>
      <c r="K244" s="21">
        <f t="shared" si="36"/>
        <v>1102.6366582637825</v>
      </c>
      <c r="L244" s="4" t="str">
        <f t="shared" si="32"/>
        <v>BUY</v>
      </c>
      <c r="M244" s="4">
        <f t="shared" si="37"/>
        <v>0</v>
      </c>
      <c r="N244" s="4">
        <f t="shared" si="33"/>
        <v>1</v>
      </c>
      <c r="O244" s="4">
        <f t="shared" si="38"/>
        <v>1103.6500000000001</v>
      </c>
      <c r="P244" s="4">
        <f t="shared" si="39"/>
        <v>0</v>
      </c>
    </row>
    <row r="245" spans="1:16" x14ac:dyDescent="0.25">
      <c r="A245" s="1">
        <v>41619</v>
      </c>
      <c r="B245">
        <v>1169</v>
      </c>
      <c r="C245">
        <v>1172.25</v>
      </c>
      <c r="D245">
        <v>1154</v>
      </c>
      <c r="E245" s="7">
        <v>1160.8</v>
      </c>
      <c r="F245">
        <v>1405321</v>
      </c>
      <c r="G245" s="8">
        <f t="shared" si="30"/>
        <v>1162.3500000000001</v>
      </c>
      <c r="H245" s="9">
        <f t="shared" si="31"/>
        <v>1633474864.3500001</v>
      </c>
      <c r="I245" s="9">
        <f t="shared" si="34"/>
        <v>15582216271.383333</v>
      </c>
      <c r="J245" s="9">
        <f t="shared" si="35"/>
        <v>14055407</v>
      </c>
      <c r="K245" s="21">
        <f t="shared" si="36"/>
        <v>1108.6278946873138</v>
      </c>
      <c r="L245" s="4" t="str">
        <f t="shared" si="32"/>
        <v>BUY</v>
      </c>
      <c r="M245" s="4">
        <f t="shared" si="37"/>
        <v>0</v>
      </c>
      <c r="N245" s="4">
        <f t="shared" si="33"/>
        <v>1</v>
      </c>
      <c r="O245" s="4">
        <f t="shared" si="38"/>
        <v>1103.6500000000001</v>
      </c>
      <c r="P245" s="4">
        <f t="shared" si="39"/>
        <v>0</v>
      </c>
    </row>
    <row r="246" spans="1:16" x14ac:dyDescent="0.25">
      <c r="A246" s="1">
        <v>41620</v>
      </c>
      <c r="B246">
        <v>1167</v>
      </c>
      <c r="C246">
        <v>1169</v>
      </c>
      <c r="D246">
        <v>1137.75</v>
      </c>
      <c r="E246" s="7">
        <v>1149.75</v>
      </c>
      <c r="F246">
        <v>1593418</v>
      </c>
      <c r="G246" s="8">
        <f t="shared" si="30"/>
        <v>1152.1666666666667</v>
      </c>
      <c r="H246" s="9">
        <f t="shared" si="31"/>
        <v>1835883105.6666667</v>
      </c>
      <c r="I246" s="9">
        <f t="shared" si="34"/>
        <v>16241956685.316669</v>
      </c>
      <c r="J246" s="9">
        <f t="shared" si="35"/>
        <v>14569663</v>
      </c>
      <c r="K246" s="21">
        <f t="shared" si="36"/>
        <v>1114.7791603221481</v>
      </c>
      <c r="L246" s="4" t="str">
        <f t="shared" si="32"/>
        <v>BUY</v>
      </c>
      <c r="M246" s="4">
        <f t="shared" si="37"/>
        <v>0</v>
      </c>
      <c r="N246" s="4">
        <f t="shared" si="33"/>
        <v>1</v>
      </c>
      <c r="O246" s="4">
        <f t="shared" si="38"/>
        <v>1103.6500000000001</v>
      </c>
      <c r="P246" s="4">
        <f t="shared" si="39"/>
        <v>0</v>
      </c>
    </row>
    <row r="247" spans="1:16" x14ac:dyDescent="0.25">
      <c r="A247" s="1">
        <v>41621</v>
      </c>
      <c r="B247">
        <v>1150</v>
      </c>
      <c r="C247">
        <v>1159.55</v>
      </c>
      <c r="D247">
        <v>1132.0999999999999</v>
      </c>
      <c r="E247" s="7">
        <v>1140</v>
      </c>
      <c r="F247">
        <v>1425462</v>
      </c>
      <c r="G247" s="8">
        <f t="shared" si="30"/>
        <v>1143.8833333333332</v>
      </c>
      <c r="H247" s="9">
        <f t="shared" si="31"/>
        <v>1630562224.0999999</v>
      </c>
      <c r="I247" s="9">
        <f t="shared" si="34"/>
        <v>16799979822.383333</v>
      </c>
      <c r="J247" s="9">
        <f t="shared" si="35"/>
        <v>15003059</v>
      </c>
      <c r="K247" s="21">
        <f t="shared" si="36"/>
        <v>1119.7702963364559</v>
      </c>
      <c r="L247" s="4" t="str">
        <f t="shared" si="32"/>
        <v>BUY</v>
      </c>
      <c r="M247" s="4">
        <f t="shared" si="37"/>
        <v>0</v>
      </c>
      <c r="N247" s="4">
        <f t="shared" si="33"/>
        <v>1</v>
      </c>
      <c r="O247" s="4">
        <f t="shared" si="38"/>
        <v>1103.6500000000001</v>
      </c>
      <c r="P247" s="4">
        <f t="shared" si="39"/>
        <v>0</v>
      </c>
    </row>
    <row r="248" spans="1:16" x14ac:dyDescent="0.25">
      <c r="A248" s="1">
        <v>41624</v>
      </c>
      <c r="B248">
        <v>1134</v>
      </c>
      <c r="C248">
        <v>1148.8</v>
      </c>
      <c r="D248">
        <v>1125.75</v>
      </c>
      <c r="E248" s="7">
        <v>1141.0999999999999</v>
      </c>
      <c r="F248">
        <v>812320</v>
      </c>
      <c r="G248" s="8">
        <f t="shared" si="30"/>
        <v>1138.55</v>
      </c>
      <c r="H248" s="9">
        <f t="shared" si="31"/>
        <v>924866936</v>
      </c>
      <c r="I248" s="9">
        <f t="shared" si="34"/>
        <v>16332559645.716669</v>
      </c>
      <c r="J248" s="9">
        <f t="shared" si="35"/>
        <v>14525428</v>
      </c>
      <c r="K248" s="21">
        <f t="shared" si="36"/>
        <v>1124.4115936354281</v>
      </c>
      <c r="L248" s="4" t="str">
        <f t="shared" si="32"/>
        <v>BUY</v>
      </c>
      <c r="M248" s="4">
        <f t="shared" si="37"/>
        <v>0</v>
      </c>
      <c r="N248" s="4">
        <f t="shared" si="33"/>
        <v>1</v>
      </c>
      <c r="O248" s="4">
        <f t="shared" si="38"/>
        <v>1103.6500000000001</v>
      </c>
      <c r="P248" s="4">
        <f t="shared" si="39"/>
        <v>0</v>
      </c>
    </row>
    <row r="249" spans="1:16" x14ac:dyDescent="0.25">
      <c r="A249" s="1">
        <v>41625</v>
      </c>
      <c r="B249">
        <v>1145</v>
      </c>
      <c r="C249">
        <v>1159.45</v>
      </c>
      <c r="D249">
        <v>1138.2</v>
      </c>
      <c r="E249" s="7">
        <v>1141.2</v>
      </c>
      <c r="F249">
        <v>832468</v>
      </c>
      <c r="G249" s="8">
        <f t="shared" si="30"/>
        <v>1146.2833333333335</v>
      </c>
      <c r="H249" s="9">
        <f t="shared" si="31"/>
        <v>954244193.93333352</v>
      </c>
      <c r="I249" s="9">
        <f t="shared" si="34"/>
        <v>16083242943.316668</v>
      </c>
      <c r="J249" s="9">
        <f t="shared" si="35"/>
        <v>14235084</v>
      </c>
      <c r="K249" s="21">
        <f t="shared" si="36"/>
        <v>1129.8312636101527</v>
      </c>
      <c r="L249" s="4" t="str">
        <f t="shared" si="32"/>
        <v>BUY</v>
      </c>
      <c r="M249" s="4">
        <f t="shared" si="37"/>
        <v>0</v>
      </c>
      <c r="N249" s="4">
        <f t="shared" si="33"/>
        <v>1</v>
      </c>
      <c r="O249" s="4">
        <f t="shared" si="38"/>
        <v>1103.6500000000001</v>
      </c>
      <c r="P249" s="4">
        <f t="shared" si="39"/>
        <v>0</v>
      </c>
    </row>
    <row r="250" spans="1:16" x14ac:dyDescent="0.25">
      <c r="A250" s="1">
        <v>41626</v>
      </c>
      <c r="B250">
        <v>1141.2</v>
      </c>
      <c r="C250">
        <v>1150.9000000000001</v>
      </c>
      <c r="D250">
        <v>1140.05</v>
      </c>
      <c r="E250" s="7">
        <v>1146.3499999999999</v>
      </c>
      <c r="F250">
        <v>506438</v>
      </c>
      <c r="G250" s="8">
        <f t="shared" si="30"/>
        <v>1145.7666666666667</v>
      </c>
      <c r="H250" s="9">
        <f t="shared" si="31"/>
        <v>580259779.13333333</v>
      </c>
      <c r="I250" s="9">
        <f t="shared" si="34"/>
        <v>15533634465.250002</v>
      </c>
      <c r="J250" s="9">
        <f t="shared" si="35"/>
        <v>13683989</v>
      </c>
      <c r="K250" s="21">
        <f t="shared" si="36"/>
        <v>1135.1685875551348</v>
      </c>
      <c r="L250" s="4" t="str">
        <f t="shared" si="32"/>
        <v>BUY</v>
      </c>
      <c r="M250" s="4">
        <f t="shared" si="37"/>
        <v>0</v>
      </c>
      <c r="N250" s="4">
        <f t="shared" si="33"/>
        <v>1</v>
      </c>
      <c r="O250" s="4">
        <f t="shared" si="38"/>
        <v>1103.6500000000001</v>
      </c>
      <c r="P250" s="4">
        <f t="shared" si="39"/>
        <v>0</v>
      </c>
    </row>
    <row r="251" spans="1:16" x14ac:dyDescent="0.25">
      <c r="A251" s="1">
        <v>41627</v>
      </c>
      <c r="B251">
        <v>1149</v>
      </c>
      <c r="C251">
        <v>1162</v>
      </c>
      <c r="D251">
        <v>1147.05</v>
      </c>
      <c r="E251" s="7">
        <v>1156.95</v>
      </c>
      <c r="F251">
        <v>521185</v>
      </c>
      <c r="G251" s="8">
        <f t="shared" si="30"/>
        <v>1155.3333333333333</v>
      </c>
      <c r="H251" s="9">
        <f t="shared" si="31"/>
        <v>602142403.33333325</v>
      </c>
      <c r="I251" s="9">
        <f t="shared" si="34"/>
        <v>14725803485.583336</v>
      </c>
      <c r="J251" s="9">
        <f t="shared" si="35"/>
        <v>12897504</v>
      </c>
      <c r="K251" s="21">
        <f t="shared" si="36"/>
        <v>1141.7560704445864</v>
      </c>
      <c r="L251" s="4" t="str">
        <f t="shared" si="32"/>
        <v>BUY</v>
      </c>
      <c r="M251" s="4">
        <f t="shared" si="37"/>
        <v>0</v>
      </c>
      <c r="N251" s="4">
        <f t="shared" si="33"/>
        <v>1</v>
      </c>
      <c r="O251" s="4">
        <f t="shared" si="38"/>
        <v>1103.6500000000001</v>
      </c>
      <c r="P251" s="4">
        <f t="shared" si="39"/>
        <v>0</v>
      </c>
    </row>
    <row r="252" spans="1:16" x14ac:dyDescent="0.25">
      <c r="A252" s="1">
        <v>41628</v>
      </c>
      <c r="B252">
        <v>1152.5</v>
      </c>
      <c r="C252">
        <v>1174.8</v>
      </c>
      <c r="D252">
        <v>1152.5</v>
      </c>
      <c r="E252" s="7">
        <v>1170.2</v>
      </c>
      <c r="F252">
        <v>1922776</v>
      </c>
      <c r="G252" s="8">
        <f t="shared" si="30"/>
        <v>1165.8333333333333</v>
      </c>
      <c r="H252" s="9">
        <f t="shared" si="31"/>
        <v>2241636353.333333</v>
      </c>
      <c r="I252" s="9">
        <f t="shared" si="34"/>
        <v>15555586075.466667</v>
      </c>
      <c r="J252" s="9">
        <f t="shared" si="35"/>
        <v>13534263</v>
      </c>
      <c r="K252" s="21">
        <f t="shared" si="36"/>
        <v>1149.3485885021348</v>
      </c>
      <c r="L252" s="4" t="str">
        <f t="shared" si="32"/>
        <v>BUY</v>
      </c>
      <c r="M252" s="4">
        <f t="shared" si="37"/>
        <v>0</v>
      </c>
      <c r="N252" s="4">
        <f t="shared" si="33"/>
        <v>1</v>
      </c>
      <c r="O252" s="4">
        <f t="shared" si="38"/>
        <v>1103.6500000000001</v>
      </c>
      <c r="P252" s="4">
        <f t="shared" si="39"/>
        <v>0</v>
      </c>
    </row>
    <row r="253" spans="1:16" x14ac:dyDescent="0.25">
      <c r="A253" s="1">
        <v>41631</v>
      </c>
      <c r="B253">
        <v>1172.5</v>
      </c>
      <c r="C253">
        <v>1180</v>
      </c>
      <c r="D253">
        <v>1161.8</v>
      </c>
      <c r="E253" s="7">
        <v>1165.6500000000001</v>
      </c>
      <c r="F253">
        <v>766490</v>
      </c>
      <c r="G253" s="8">
        <f t="shared" si="30"/>
        <v>1169.1500000000001</v>
      </c>
      <c r="H253" s="9">
        <f t="shared" si="31"/>
        <v>896141783.50000012</v>
      </c>
      <c r="I253" s="9">
        <f t="shared" si="34"/>
        <v>13901220608.900002</v>
      </c>
      <c r="J253" s="9">
        <f t="shared" si="35"/>
        <v>12042901</v>
      </c>
      <c r="K253" s="21">
        <f t="shared" si="36"/>
        <v>1154.3083023683414</v>
      </c>
      <c r="L253" s="4" t="str">
        <f t="shared" si="32"/>
        <v>BUY</v>
      </c>
      <c r="M253" s="4">
        <f t="shared" si="37"/>
        <v>0</v>
      </c>
      <c r="N253" s="4">
        <f t="shared" si="33"/>
        <v>1</v>
      </c>
      <c r="O253" s="4">
        <f t="shared" si="38"/>
        <v>1103.6500000000001</v>
      </c>
      <c r="P253" s="4">
        <f t="shared" si="39"/>
        <v>0</v>
      </c>
    </row>
    <row r="254" spans="1:16" x14ac:dyDescent="0.25">
      <c r="A254" s="1">
        <v>41632</v>
      </c>
      <c r="B254">
        <v>1167</v>
      </c>
      <c r="C254">
        <v>1176.95</v>
      </c>
      <c r="D254">
        <v>1154.55</v>
      </c>
      <c r="E254" s="7">
        <v>1158.05</v>
      </c>
      <c r="F254">
        <v>702521</v>
      </c>
      <c r="G254" s="8">
        <f t="shared" si="30"/>
        <v>1163.1833333333334</v>
      </c>
      <c r="H254" s="9">
        <f t="shared" si="31"/>
        <v>817160718.51666665</v>
      </c>
      <c r="I254" s="9">
        <f t="shared" si="34"/>
        <v>12116372361.866665</v>
      </c>
      <c r="J254" s="9">
        <f t="shared" si="35"/>
        <v>10488399</v>
      </c>
      <c r="K254" s="21">
        <f t="shared" si="36"/>
        <v>1155.2165742232598</v>
      </c>
      <c r="L254" s="4" t="str">
        <f t="shared" si="32"/>
        <v>BUY</v>
      </c>
      <c r="M254" s="4">
        <f t="shared" si="37"/>
        <v>0</v>
      </c>
      <c r="N254" s="4">
        <f t="shared" si="33"/>
        <v>1</v>
      </c>
      <c r="O254" s="4">
        <f t="shared" si="38"/>
        <v>1103.6500000000001</v>
      </c>
      <c r="P254" s="4">
        <f t="shared" si="39"/>
        <v>0</v>
      </c>
    </row>
    <row r="255" spans="1:16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 s="7">
        <v>1144.75</v>
      </c>
      <c r="F255">
        <v>1251434</v>
      </c>
      <c r="G255" s="8">
        <f t="shared" si="30"/>
        <v>1149.6666666666667</v>
      </c>
      <c r="H255" s="9">
        <f t="shared" si="31"/>
        <v>1438731955.3333335</v>
      </c>
      <c r="I255" s="9">
        <f t="shared" si="34"/>
        <v>11921629452.85</v>
      </c>
      <c r="J255" s="9">
        <f t="shared" si="35"/>
        <v>10334512</v>
      </c>
      <c r="K255" s="21">
        <f t="shared" si="36"/>
        <v>1153.5744941657622</v>
      </c>
      <c r="L255" s="4" t="str">
        <f t="shared" si="32"/>
        <v>SELL</v>
      </c>
      <c r="M255" s="4" t="str">
        <f t="shared" si="37"/>
        <v>SELL</v>
      </c>
      <c r="N255" s="4">
        <f t="shared" si="33"/>
        <v>-1</v>
      </c>
      <c r="O255" s="4">
        <f t="shared" si="38"/>
        <v>1144.75</v>
      </c>
      <c r="P255" s="4">
        <f t="shared" si="39"/>
        <v>3.7240067050242291E-2</v>
      </c>
    </row>
    <row r="256" spans="1:16" x14ac:dyDescent="0.25">
      <c r="A256" s="1">
        <v>41634</v>
      </c>
      <c r="B256">
        <v>1145.25</v>
      </c>
      <c r="C256">
        <v>1165.9000000000001</v>
      </c>
      <c r="D256">
        <v>1141.75</v>
      </c>
      <c r="E256" s="7">
        <v>1158.95</v>
      </c>
      <c r="F256">
        <v>1534837</v>
      </c>
      <c r="G256" s="8">
        <f t="shared" si="30"/>
        <v>1155.5333333333335</v>
      </c>
      <c r="H256" s="9">
        <f t="shared" si="31"/>
        <v>1773555314.7333336</v>
      </c>
      <c r="I256" s="9">
        <f t="shared" si="34"/>
        <v>11859301661.916668</v>
      </c>
      <c r="J256" s="9">
        <f t="shared" si="35"/>
        <v>10275931</v>
      </c>
      <c r="K256" s="21">
        <f t="shared" si="36"/>
        <v>1154.0853730836327</v>
      </c>
      <c r="L256" s="4" t="str">
        <f t="shared" si="32"/>
        <v>BUY</v>
      </c>
      <c r="M256" s="4" t="str">
        <f t="shared" si="37"/>
        <v>BUY</v>
      </c>
      <c r="N256" s="4">
        <f t="shared" si="33"/>
        <v>1</v>
      </c>
      <c r="O256" s="4">
        <f t="shared" si="38"/>
        <v>1158.95</v>
      </c>
      <c r="P256" s="4">
        <f t="shared" si="39"/>
        <v>-1.2404455121205544E-2</v>
      </c>
    </row>
    <row r="257" spans="1:16" x14ac:dyDescent="0.25">
      <c r="A257" s="1">
        <v>41635</v>
      </c>
      <c r="B257">
        <v>1168</v>
      </c>
      <c r="C257">
        <v>1182</v>
      </c>
      <c r="D257">
        <v>1153.0999999999999</v>
      </c>
      <c r="E257" s="7">
        <v>1171.7</v>
      </c>
      <c r="F257">
        <v>1423360</v>
      </c>
      <c r="G257" s="8">
        <f t="shared" si="30"/>
        <v>1168.9333333333334</v>
      </c>
      <c r="H257" s="9">
        <f t="shared" si="31"/>
        <v>1663812949.3333335</v>
      </c>
      <c r="I257" s="9">
        <f t="shared" si="34"/>
        <v>11892552387.15</v>
      </c>
      <c r="J257" s="9">
        <f t="shared" si="35"/>
        <v>10273829</v>
      </c>
      <c r="K257" s="21">
        <f t="shared" si="36"/>
        <v>1157.5579452558534</v>
      </c>
      <c r="L257" s="4" t="str">
        <f t="shared" si="32"/>
        <v>BUY</v>
      </c>
      <c r="M257" s="4">
        <f t="shared" si="37"/>
        <v>0</v>
      </c>
      <c r="N257" s="4">
        <f t="shared" si="33"/>
        <v>1</v>
      </c>
      <c r="O257" s="4">
        <f t="shared" si="38"/>
        <v>1158.95</v>
      </c>
      <c r="P257" s="4">
        <f t="shared" si="39"/>
        <v>0</v>
      </c>
    </row>
    <row r="258" spans="1:16" x14ac:dyDescent="0.25">
      <c r="A258" s="1">
        <v>41638</v>
      </c>
      <c r="B258">
        <v>1176</v>
      </c>
      <c r="C258">
        <v>1186.8499999999999</v>
      </c>
      <c r="D258">
        <v>1138.1500000000001</v>
      </c>
      <c r="E258" s="7">
        <v>1142.6500000000001</v>
      </c>
      <c r="F258">
        <v>1266362</v>
      </c>
      <c r="G258" s="8">
        <f t="shared" ref="G258:G321" si="40">AVERAGE(C258:E258)</f>
        <v>1155.8833333333334</v>
      </c>
      <c r="H258" s="9">
        <f t="shared" si="31"/>
        <v>1463766729.7666669</v>
      </c>
      <c r="I258" s="9">
        <f t="shared" si="34"/>
        <v>12431452180.916668</v>
      </c>
      <c r="J258" s="9">
        <f t="shared" si="35"/>
        <v>10727871</v>
      </c>
      <c r="K258" s="21">
        <f t="shared" si="36"/>
        <v>1158.7995587304013</v>
      </c>
      <c r="L258" s="4" t="str">
        <f t="shared" si="32"/>
        <v>SELL</v>
      </c>
      <c r="M258" s="4" t="str">
        <f t="shared" si="37"/>
        <v>SELL</v>
      </c>
      <c r="N258" s="4">
        <f t="shared" si="33"/>
        <v>-1</v>
      </c>
      <c r="O258" s="4">
        <f t="shared" si="38"/>
        <v>1142.6500000000001</v>
      </c>
      <c r="P258" s="4">
        <f t="shared" si="39"/>
        <v>-1.4064454894516548E-2</v>
      </c>
    </row>
    <row r="259" spans="1:16" x14ac:dyDescent="0.25">
      <c r="A259" s="1">
        <v>41639</v>
      </c>
      <c r="B259">
        <v>1147.5</v>
      </c>
      <c r="C259">
        <v>1149</v>
      </c>
      <c r="D259">
        <v>1121</v>
      </c>
      <c r="E259" s="7">
        <v>1130.9000000000001</v>
      </c>
      <c r="F259">
        <v>1976213</v>
      </c>
      <c r="G259" s="8">
        <f t="shared" si="40"/>
        <v>1133.6333333333334</v>
      </c>
      <c r="H259" s="9">
        <f t="shared" ref="H259:H322" si="41">G259*F259</f>
        <v>2240300930.5666671</v>
      </c>
      <c r="I259" s="9">
        <f t="shared" si="34"/>
        <v>13717508917.550001</v>
      </c>
      <c r="J259" s="9">
        <f t="shared" si="35"/>
        <v>11871616</v>
      </c>
      <c r="K259" s="21">
        <f t="shared" si="36"/>
        <v>1155.4879232574572</v>
      </c>
      <c r="L259" s="4" t="str">
        <f t="shared" si="32"/>
        <v>SELL</v>
      </c>
      <c r="M259" s="4">
        <f t="shared" si="37"/>
        <v>0</v>
      </c>
      <c r="N259" s="4">
        <f t="shared" si="33"/>
        <v>-1</v>
      </c>
      <c r="O259" s="4">
        <f t="shared" si="38"/>
        <v>1142.6500000000001</v>
      </c>
      <c r="P259" s="4">
        <f t="shared" si="39"/>
        <v>0</v>
      </c>
    </row>
    <row r="260" spans="1:16" x14ac:dyDescent="0.25">
      <c r="A260" s="1">
        <v>41640</v>
      </c>
      <c r="B260">
        <v>1123</v>
      </c>
      <c r="C260">
        <v>1135.55</v>
      </c>
      <c r="D260">
        <v>1087.8</v>
      </c>
      <c r="E260" s="7">
        <v>1098.5</v>
      </c>
      <c r="F260">
        <v>1884365</v>
      </c>
      <c r="G260" s="8">
        <f t="shared" si="40"/>
        <v>1107.2833333333333</v>
      </c>
      <c r="H260" s="9">
        <f t="shared" si="41"/>
        <v>2086525958.4166665</v>
      </c>
      <c r="I260" s="9">
        <f t="shared" si="34"/>
        <v>15223775096.833334</v>
      </c>
      <c r="J260" s="9">
        <f t="shared" si="35"/>
        <v>13249543</v>
      </c>
      <c r="K260" s="21">
        <f t="shared" si="36"/>
        <v>1149.0037880426014</v>
      </c>
      <c r="L260" s="4" t="str">
        <f t="shared" si="32"/>
        <v>SELL</v>
      </c>
      <c r="M260" s="4">
        <f t="shared" si="37"/>
        <v>0</v>
      </c>
      <c r="N260" s="4">
        <f t="shared" si="33"/>
        <v>-1</v>
      </c>
      <c r="O260" s="4">
        <f t="shared" si="38"/>
        <v>1142.6500000000001</v>
      </c>
      <c r="P260" s="4">
        <f t="shared" si="39"/>
        <v>0</v>
      </c>
    </row>
    <row r="261" spans="1:16" x14ac:dyDescent="0.25">
      <c r="A261" s="1">
        <v>41641</v>
      </c>
      <c r="B261">
        <v>1109.9000000000001</v>
      </c>
      <c r="C261">
        <v>1151.5999999999999</v>
      </c>
      <c r="D261">
        <v>1108</v>
      </c>
      <c r="E261" s="7">
        <v>1135.95</v>
      </c>
      <c r="F261">
        <v>1580437</v>
      </c>
      <c r="G261" s="8">
        <f t="shared" si="40"/>
        <v>1131.8500000000001</v>
      </c>
      <c r="H261" s="9">
        <f t="shared" si="41"/>
        <v>1788817618.4500003</v>
      </c>
      <c r="I261" s="9">
        <f t="shared" si="34"/>
        <v>16410450311.950001</v>
      </c>
      <c r="J261" s="9">
        <f t="shared" si="35"/>
        <v>14308795</v>
      </c>
      <c r="K261" s="21">
        <f t="shared" si="36"/>
        <v>1146.8785674789526</v>
      </c>
      <c r="L261" s="4" t="str">
        <f t="shared" si="32"/>
        <v>SELL</v>
      </c>
      <c r="M261" s="4">
        <f t="shared" si="37"/>
        <v>0</v>
      </c>
      <c r="N261" s="4">
        <f t="shared" si="33"/>
        <v>-1</v>
      </c>
      <c r="O261" s="4">
        <f t="shared" si="38"/>
        <v>1142.6500000000001</v>
      </c>
      <c r="P261" s="4">
        <f t="shared" si="39"/>
        <v>0</v>
      </c>
    </row>
    <row r="262" spans="1:16" x14ac:dyDescent="0.25">
      <c r="A262" s="1">
        <v>41642</v>
      </c>
      <c r="B262">
        <v>1128.95</v>
      </c>
      <c r="C262">
        <v>1155.95</v>
      </c>
      <c r="D262">
        <v>1116.2</v>
      </c>
      <c r="E262" s="7">
        <v>1124.25</v>
      </c>
      <c r="F262">
        <v>2794599</v>
      </c>
      <c r="G262" s="8">
        <f t="shared" si="40"/>
        <v>1132.1333333333334</v>
      </c>
      <c r="H262" s="9">
        <f t="shared" si="41"/>
        <v>3163858681.2000003</v>
      </c>
      <c r="I262" s="9">
        <f t="shared" si="34"/>
        <v>17332672639.816669</v>
      </c>
      <c r="J262" s="9">
        <f t="shared" si="35"/>
        <v>15180618</v>
      </c>
      <c r="K262" s="21">
        <f t="shared" si="36"/>
        <v>1141.7633089651995</v>
      </c>
      <c r="L262" s="4" t="str">
        <f t="shared" si="32"/>
        <v>SELL</v>
      </c>
      <c r="M262" s="4">
        <f t="shared" si="37"/>
        <v>0</v>
      </c>
      <c r="N262" s="4">
        <f t="shared" si="33"/>
        <v>-1</v>
      </c>
      <c r="O262" s="4">
        <f t="shared" si="38"/>
        <v>1142.6500000000001</v>
      </c>
      <c r="P262" s="4">
        <f t="shared" si="39"/>
        <v>0</v>
      </c>
    </row>
    <row r="263" spans="1:16" x14ac:dyDescent="0.25">
      <c r="A263" s="1">
        <v>41645</v>
      </c>
      <c r="B263">
        <v>1129.9000000000001</v>
      </c>
      <c r="C263">
        <v>1150</v>
      </c>
      <c r="D263">
        <v>1120</v>
      </c>
      <c r="E263" s="7">
        <v>1120.1500000000001</v>
      </c>
      <c r="F263">
        <v>1575846</v>
      </c>
      <c r="G263" s="8">
        <f t="shared" si="40"/>
        <v>1130.05</v>
      </c>
      <c r="H263" s="9">
        <f t="shared" si="41"/>
        <v>1780784772.3</v>
      </c>
      <c r="I263" s="9">
        <f t="shared" si="34"/>
        <v>18217315628.616669</v>
      </c>
      <c r="J263" s="9">
        <f t="shared" si="35"/>
        <v>15989974</v>
      </c>
      <c r="K263" s="21">
        <f t="shared" si="36"/>
        <v>1139.296138231161</v>
      </c>
      <c r="L263" s="4" t="str">
        <f t="shared" si="32"/>
        <v>SELL</v>
      </c>
      <c r="M263" s="4">
        <f t="shared" si="37"/>
        <v>0</v>
      </c>
      <c r="N263" s="4">
        <f t="shared" si="33"/>
        <v>-1</v>
      </c>
      <c r="O263" s="4">
        <f t="shared" si="38"/>
        <v>1142.6500000000001</v>
      </c>
      <c r="P263" s="4">
        <f t="shared" si="39"/>
        <v>0</v>
      </c>
    </row>
    <row r="264" spans="1:16" x14ac:dyDescent="0.25">
      <c r="A264" s="1">
        <v>41646</v>
      </c>
      <c r="B264">
        <v>1121.2</v>
      </c>
      <c r="C264">
        <v>1146.55</v>
      </c>
      <c r="D264">
        <v>1120</v>
      </c>
      <c r="E264" s="7">
        <v>1137.4000000000001</v>
      </c>
      <c r="F264">
        <v>1500106</v>
      </c>
      <c r="G264" s="8">
        <f t="shared" si="40"/>
        <v>1134.6500000000001</v>
      </c>
      <c r="H264" s="9">
        <f t="shared" si="41"/>
        <v>1702095272.9000001</v>
      </c>
      <c r="I264" s="9">
        <f t="shared" si="34"/>
        <v>19102250183.000004</v>
      </c>
      <c r="J264" s="9">
        <f t="shared" si="35"/>
        <v>16787559</v>
      </c>
      <c r="K264" s="21">
        <f t="shared" si="36"/>
        <v>1137.8813431422641</v>
      </c>
      <c r="L264" s="4" t="str">
        <f t="shared" si="32"/>
        <v>SELL</v>
      </c>
      <c r="M264" s="4">
        <f t="shared" si="37"/>
        <v>0</v>
      </c>
      <c r="N264" s="4">
        <f t="shared" si="33"/>
        <v>-1</v>
      </c>
      <c r="O264" s="4">
        <f t="shared" si="38"/>
        <v>1142.6500000000001</v>
      </c>
      <c r="P264" s="4">
        <f t="shared" si="39"/>
        <v>0</v>
      </c>
    </row>
    <row r="265" spans="1:16" x14ac:dyDescent="0.25">
      <c r="A265" s="1">
        <v>41647</v>
      </c>
      <c r="B265">
        <v>1174</v>
      </c>
      <c r="C265">
        <v>1208.9000000000001</v>
      </c>
      <c r="D265">
        <v>1164.3499999999999</v>
      </c>
      <c r="E265" s="7">
        <v>1202.55</v>
      </c>
      <c r="F265">
        <v>4240685</v>
      </c>
      <c r="G265" s="8">
        <f t="shared" si="40"/>
        <v>1191.9333333333334</v>
      </c>
      <c r="H265" s="9">
        <f t="shared" si="41"/>
        <v>5054613807.666667</v>
      </c>
      <c r="I265" s="9">
        <f t="shared" si="34"/>
        <v>22718132035.333336</v>
      </c>
      <c r="J265" s="9">
        <f t="shared" si="35"/>
        <v>19776810</v>
      </c>
      <c r="K265" s="21">
        <f t="shared" si="36"/>
        <v>1148.7258074145091</v>
      </c>
      <c r="L265" s="4" t="str">
        <f t="shared" si="32"/>
        <v>BUY</v>
      </c>
      <c r="M265" s="4" t="str">
        <f t="shared" si="37"/>
        <v>BUY</v>
      </c>
      <c r="N265" s="4">
        <f t="shared" si="33"/>
        <v>1</v>
      </c>
      <c r="O265" s="4">
        <f t="shared" si="38"/>
        <v>1202.55</v>
      </c>
      <c r="P265" s="4">
        <f t="shared" si="39"/>
        <v>-5.2422001487769536E-2</v>
      </c>
    </row>
    <row r="266" spans="1:16" x14ac:dyDescent="0.25">
      <c r="A266" s="1">
        <v>41648</v>
      </c>
      <c r="B266">
        <v>1203.45</v>
      </c>
      <c r="C266">
        <v>1209</v>
      </c>
      <c r="D266">
        <v>1185</v>
      </c>
      <c r="E266" s="7">
        <v>1193</v>
      </c>
      <c r="F266">
        <v>1476020</v>
      </c>
      <c r="G266" s="8">
        <f t="shared" si="40"/>
        <v>1195.6666666666667</v>
      </c>
      <c r="H266" s="9">
        <f t="shared" si="41"/>
        <v>1764827913.3333335</v>
      </c>
      <c r="I266" s="9">
        <f t="shared" si="34"/>
        <v>22709404633.933334</v>
      </c>
      <c r="J266" s="9">
        <f t="shared" si="35"/>
        <v>19717993</v>
      </c>
      <c r="K266" s="21">
        <f t="shared" si="36"/>
        <v>1151.7097421595258</v>
      </c>
      <c r="L266" s="4" t="str">
        <f t="shared" si="32"/>
        <v>BUY</v>
      </c>
      <c r="M266" s="4">
        <f t="shared" si="37"/>
        <v>0</v>
      </c>
      <c r="N266" s="4">
        <f t="shared" si="33"/>
        <v>1</v>
      </c>
      <c r="O266" s="4">
        <f t="shared" si="38"/>
        <v>1202.55</v>
      </c>
      <c r="P266" s="4">
        <f t="shared" si="39"/>
        <v>0</v>
      </c>
    </row>
    <row r="267" spans="1:16" x14ac:dyDescent="0.25">
      <c r="A267" s="1">
        <v>41649</v>
      </c>
      <c r="B267">
        <v>1180</v>
      </c>
      <c r="C267">
        <v>1218.75</v>
      </c>
      <c r="D267">
        <v>1180</v>
      </c>
      <c r="E267" s="7">
        <v>1212.2</v>
      </c>
      <c r="F267">
        <v>2272604</v>
      </c>
      <c r="G267" s="8">
        <f t="shared" si="40"/>
        <v>1203.6499999999999</v>
      </c>
      <c r="H267" s="9">
        <f t="shared" si="41"/>
        <v>2735419804.5999999</v>
      </c>
      <c r="I267" s="9">
        <f t="shared" si="34"/>
        <v>23781011489.199997</v>
      </c>
      <c r="J267" s="9">
        <f t="shared" si="35"/>
        <v>20567237</v>
      </c>
      <c r="K267" s="21">
        <f t="shared" si="36"/>
        <v>1156.2569872268209</v>
      </c>
      <c r="L267" s="4" t="str">
        <f t="shared" ref="L267:L330" si="42">IF(E267&gt;K267,"BUY",IF(E267&lt;K267,"SELL",0))</f>
        <v>BUY</v>
      </c>
      <c r="M267" s="4">
        <f t="shared" si="37"/>
        <v>0</v>
      </c>
      <c r="N267" s="4">
        <f t="shared" ref="N267:N330" si="43">IF(M267="BUY",1,IF(M267="SELL",-1,N266))</f>
        <v>1</v>
      </c>
      <c r="O267" s="4">
        <f t="shared" si="38"/>
        <v>1202.55</v>
      </c>
      <c r="P267" s="4">
        <f t="shared" si="39"/>
        <v>0</v>
      </c>
    </row>
    <row r="268" spans="1:16" x14ac:dyDescent="0.25">
      <c r="A268" s="1">
        <v>41652</v>
      </c>
      <c r="B268">
        <v>1210</v>
      </c>
      <c r="C268">
        <v>1220</v>
      </c>
      <c r="D268">
        <v>1204</v>
      </c>
      <c r="E268" s="7">
        <v>1211.6500000000001</v>
      </c>
      <c r="F268">
        <v>1298702</v>
      </c>
      <c r="G268" s="8">
        <f t="shared" si="40"/>
        <v>1211.8833333333334</v>
      </c>
      <c r="H268" s="9">
        <f t="shared" si="41"/>
        <v>1573875308.7666669</v>
      </c>
      <c r="I268" s="9">
        <f t="shared" ref="I268:I331" si="44">SUM(H259:H268)</f>
        <v>23891120068.199997</v>
      </c>
      <c r="J268" s="9">
        <f t="shared" ref="J268:J331" si="45">SUM(F259:F268)</f>
        <v>20599577</v>
      </c>
      <c r="K268" s="21">
        <f t="shared" ref="K268:K331" si="46">I268/J268</f>
        <v>1159.7869251489969</v>
      </c>
      <c r="L268" s="4" t="str">
        <f t="shared" si="42"/>
        <v>BUY</v>
      </c>
      <c r="M268" s="4">
        <f t="shared" ref="M268:M331" si="47">IF(L268&lt;&gt;L267,L268,0)</f>
        <v>0</v>
      </c>
      <c r="N268" s="4">
        <f t="shared" si="43"/>
        <v>1</v>
      </c>
      <c r="O268" s="4">
        <f t="shared" ref="O268:O331" si="48">IF(M268&lt;&gt;0,E268,O267)</f>
        <v>1202.55</v>
      </c>
      <c r="P268" s="4">
        <f t="shared" ref="P268:P331" si="49">IF(M268="BUY",(O267-O268)/O267,IF(M268="SELL",(O268-O267)/O267,0))</f>
        <v>0</v>
      </c>
    </row>
    <row r="269" spans="1:16" x14ac:dyDescent="0.25">
      <c r="A269" s="1">
        <v>41653</v>
      </c>
      <c r="B269">
        <v>1200</v>
      </c>
      <c r="C269">
        <v>1220</v>
      </c>
      <c r="D269">
        <v>1198.25</v>
      </c>
      <c r="E269" s="7">
        <v>1209.2</v>
      </c>
      <c r="F269">
        <v>1008339</v>
      </c>
      <c r="G269" s="8">
        <f t="shared" si="40"/>
        <v>1209.1499999999999</v>
      </c>
      <c r="H269" s="9">
        <f t="shared" si="41"/>
        <v>1219233101.8499999</v>
      </c>
      <c r="I269" s="9">
        <f t="shared" si="44"/>
        <v>22870052239.48333</v>
      </c>
      <c r="J269" s="9">
        <f t="shared" si="45"/>
        <v>19631703</v>
      </c>
      <c r="K269" s="21">
        <f t="shared" si="46"/>
        <v>1164.9550851234521</v>
      </c>
      <c r="L269" s="4" t="str">
        <f t="shared" si="42"/>
        <v>BUY</v>
      </c>
      <c r="M269" s="4">
        <f t="shared" si="47"/>
        <v>0</v>
      </c>
      <c r="N269" s="4">
        <f t="shared" si="43"/>
        <v>1</v>
      </c>
      <c r="O269" s="4">
        <f t="shared" si="48"/>
        <v>1202.55</v>
      </c>
      <c r="P269" s="4">
        <f t="shared" si="49"/>
        <v>0</v>
      </c>
    </row>
    <row r="270" spans="1:16" x14ac:dyDescent="0.25">
      <c r="A270" s="1">
        <v>41654</v>
      </c>
      <c r="B270">
        <v>1214.8</v>
      </c>
      <c r="C270">
        <v>1219.3</v>
      </c>
      <c r="D270">
        <v>1180</v>
      </c>
      <c r="E270" s="7">
        <v>1188.55</v>
      </c>
      <c r="F270">
        <v>1233547</v>
      </c>
      <c r="G270" s="8">
        <f t="shared" si="40"/>
        <v>1195.95</v>
      </c>
      <c r="H270" s="9">
        <f t="shared" si="41"/>
        <v>1475260534.6500001</v>
      </c>
      <c r="I270" s="9">
        <f t="shared" si="44"/>
        <v>22258786815.716667</v>
      </c>
      <c r="J270" s="9">
        <f t="shared" si="45"/>
        <v>18980885</v>
      </c>
      <c r="K270" s="21">
        <f t="shared" si="46"/>
        <v>1172.6948883424914</v>
      </c>
      <c r="L270" s="4" t="str">
        <f t="shared" si="42"/>
        <v>BUY</v>
      </c>
      <c r="M270" s="4">
        <f t="shared" si="47"/>
        <v>0</v>
      </c>
      <c r="N270" s="4">
        <f t="shared" si="43"/>
        <v>1</v>
      </c>
      <c r="O270" s="4">
        <f t="shared" si="48"/>
        <v>1202.55</v>
      </c>
      <c r="P270" s="4">
        <f t="shared" si="49"/>
        <v>0</v>
      </c>
    </row>
    <row r="271" spans="1:16" x14ac:dyDescent="0.25">
      <c r="A271" s="1">
        <v>41655</v>
      </c>
      <c r="B271">
        <v>1187.55</v>
      </c>
      <c r="C271">
        <v>1209.95</v>
      </c>
      <c r="D271">
        <v>1181.5999999999999</v>
      </c>
      <c r="E271" s="7">
        <v>1199.4000000000001</v>
      </c>
      <c r="F271">
        <v>2357059</v>
      </c>
      <c r="G271" s="8">
        <f t="shared" si="40"/>
        <v>1196.9833333333333</v>
      </c>
      <c r="H271" s="9">
        <f t="shared" si="41"/>
        <v>2821360338.6833334</v>
      </c>
      <c r="I271" s="9">
        <f t="shared" si="44"/>
        <v>23291329535.950001</v>
      </c>
      <c r="J271" s="9">
        <f t="shared" si="45"/>
        <v>19757507</v>
      </c>
      <c r="K271" s="21">
        <f t="shared" si="46"/>
        <v>1178.8597385262219</v>
      </c>
      <c r="L271" s="4" t="str">
        <f t="shared" si="42"/>
        <v>BUY</v>
      </c>
      <c r="M271" s="4">
        <f t="shared" si="47"/>
        <v>0</v>
      </c>
      <c r="N271" s="4">
        <f t="shared" si="43"/>
        <v>1</v>
      </c>
      <c r="O271" s="4">
        <f t="shared" si="48"/>
        <v>1202.55</v>
      </c>
      <c r="P271" s="4">
        <f t="shared" si="49"/>
        <v>0</v>
      </c>
    </row>
    <row r="272" spans="1:16" x14ac:dyDescent="0.25">
      <c r="A272" s="1">
        <v>41656</v>
      </c>
      <c r="B272">
        <v>1195</v>
      </c>
      <c r="C272">
        <v>1203.5999999999999</v>
      </c>
      <c r="D272">
        <v>1165.25</v>
      </c>
      <c r="E272" s="7">
        <v>1181.3499999999999</v>
      </c>
      <c r="F272">
        <v>1507289</v>
      </c>
      <c r="G272" s="8">
        <f t="shared" si="40"/>
        <v>1183.3999999999999</v>
      </c>
      <c r="H272" s="9">
        <f t="shared" si="41"/>
        <v>1783725802.5999999</v>
      </c>
      <c r="I272" s="9">
        <f t="shared" si="44"/>
        <v>21911196657.350002</v>
      </c>
      <c r="J272" s="9">
        <f t="shared" si="45"/>
        <v>18470197</v>
      </c>
      <c r="K272" s="21">
        <f t="shared" si="46"/>
        <v>1186.3001059138678</v>
      </c>
      <c r="L272" s="4" t="str">
        <f t="shared" si="42"/>
        <v>SELL</v>
      </c>
      <c r="M272" s="4" t="str">
        <f t="shared" si="47"/>
        <v>SELL</v>
      </c>
      <c r="N272" s="4">
        <f t="shared" si="43"/>
        <v>-1</v>
      </c>
      <c r="O272" s="4">
        <f t="shared" si="48"/>
        <v>1181.3499999999999</v>
      </c>
      <c r="P272" s="4">
        <f t="shared" si="49"/>
        <v>-1.7629204606877093E-2</v>
      </c>
    </row>
    <row r="273" spans="1:16" x14ac:dyDescent="0.25">
      <c r="A273" s="1">
        <v>41659</v>
      </c>
      <c r="B273">
        <v>1169</v>
      </c>
      <c r="C273">
        <v>1169</v>
      </c>
      <c r="D273">
        <v>1128.55</v>
      </c>
      <c r="E273" s="7">
        <v>1159.5</v>
      </c>
      <c r="F273">
        <v>2970408</v>
      </c>
      <c r="G273" s="8">
        <f t="shared" si="40"/>
        <v>1152.3500000000001</v>
      </c>
      <c r="H273" s="9">
        <f t="shared" si="41"/>
        <v>3422949658.8000002</v>
      </c>
      <c r="I273" s="9">
        <f t="shared" si="44"/>
        <v>23553361543.849998</v>
      </c>
      <c r="J273" s="9">
        <f t="shared" si="45"/>
        <v>19864759</v>
      </c>
      <c r="K273" s="21">
        <f t="shared" si="46"/>
        <v>1185.6857434741594</v>
      </c>
      <c r="L273" s="4" t="str">
        <f t="shared" si="42"/>
        <v>SELL</v>
      </c>
      <c r="M273" s="4">
        <f t="shared" si="47"/>
        <v>0</v>
      </c>
      <c r="N273" s="4">
        <f t="shared" si="43"/>
        <v>-1</v>
      </c>
      <c r="O273" s="4">
        <f t="shared" si="48"/>
        <v>1181.3499999999999</v>
      </c>
      <c r="P273" s="4">
        <f t="shared" si="49"/>
        <v>0</v>
      </c>
    </row>
    <row r="274" spans="1:16" x14ac:dyDescent="0.25">
      <c r="A274" s="1">
        <v>41660</v>
      </c>
      <c r="B274">
        <v>1165</v>
      </c>
      <c r="C274">
        <v>1165</v>
      </c>
      <c r="D274">
        <v>1133</v>
      </c>
      <c r="E274" s="7">
        <v>1150.1500000000001</v>
      </c>
      <c r="F274">
        <v>2106354</v>
      </c>
      <c r="G274" s="8">
        <f t="shared" si="40"/>
        <v>1149.3833333333334</v>
      </c>
      <c r="H274" s="9">
        <f t="shared" si="41"/>
        <v>2421008181.7000003</v>
      </c>
      <c r="I274" s="9">
        <f t="shared" si="44"/>
        <v>24272274452.649998</v>
      </c>
      <c r="J274" s="9">
        <f t="shared" si="45"/>
        <v>20471007</v>
      </c>
      <c r="K274" s="21">
        <f t="shared" si="46"/>
        <v>1185.6903010511401</v>
      </c>
      <c r="L274" s="4" t="str">
        <f t="shared" si="42"/>
        <v>SELL</v>
      </c>
      <c r="M274" s="4">
        <f t="shared" si="47"/>
        <v>0</v>
      </c>
      <c r="N274" s="4">
        <f t="shared" si="43"/>
        <v>-1</v>
      </c>
      <c r="O274" s="4">
        <f t="shared" si="48"/>
        <v>1181.3499999999999</v>
      </c>
      <c r="P274" s="4">
        <f t="shared" si="49"/>
        <v>0</v>
      </c>
    </row>
    <row r="275" spans="1:16" x14ac:dyDescent="0.25">
      <c r="A275" s="1">
        <v>41661</v>
      </c>
      <c r="B275">
        <v>1170</v>
      </c>
      <c r="C275">
        <v>1198.9000000000001</v>
      </c>
      <c r="D275">
        <v>1162.3499999999999</v>
      </c>
      <c r="E275" s="7">
        <v>1182.45</v>
      </c>
      <c r="F275">
        <v>1968809</v>
      </c>
      <c r="G275" s="8">
        <f t="shared" si="40"/>
        <v>1181.2333333333333</v>
      </c>
      <c r="H275" s="9">
        <f t="shared" si="41"/>
        <v>2325622817.7666669</v>
      </c>
      <c r="I275" s="9">
        <f t="shared" si="44"/>
        <v>21543283462.750004</v>
      </c>
      <c r="J275" s="9">
        <f t="shared" si="45"/>
        <v>18199131</v>
      </c>
      <c r="K275" s="21">
        <f t="shared" si="46"/>
        <v>1183.7534145311665</v>
      </c>
      <c r="L275" s="4" t="str">
        <f t="shared" si="42"/>
        <v>SELL</v>
      </c>
      <c r="M275" s="4">
        <f t="shared" si="47"/>
        <v>0</v>
      </c>
      <c r="N275" s="4">
        <f t="shared" si="43"/>
        <v>-1</v>
      </c>
      <c r="O275" s="4">
        <f t="shared" si="48"/>
        <v>1181.3499999999999</v>
      </c>
      <c r="P275" s="4">
        <f t="shared" si="49"/>
        <v>0</v>
      </c>
    </row>
    <row r="276" spans="1:16" x14ac:dyDescent="0.25">
      <c r="A276" s="1">
        <v>41662</v>
      </c>
      <c r="B276">
        <v>1184.7</v>
      </c>
      <c r="C276">
        <v>1195.7</v>
      </c>
      <c r="D276">
        <v>1170.6500000000001</v>
      </c>
      <c r="E276" s="7">
        <v>1183.7</v>
      </c>
      <c r="F276">
        <v>941706</v>
      </c>
      <c r="G276" s="8">
        <f t="shared" si="40"/>
        <v>1183.3500000000001</v>
      </c>
      <c r="H276" s="9">
        <f t="shared" si="41"/>
        <v>1114367795.1000001</v>
      </c>
      <c r="I276" s="9">
        <f t="shared" si="44"/>
        <v>20892823344.516666</v>
      </c>
      <c r="J276" s="9">
        <f t="shared" si="45"/>
        <v>17664817</v>
      </c>
      <c r="K276" s="21">
        <f t="shared" si="46"/>
        <v>1182.736472419537</v>
      </c>
      <c r="L276" s="4" t="str">
        <f t="shared" si="42"/>
        <v>BUY</v>
      </c>
      <c r="M276" s="4" t="str">
        <f t="shared" si="47"/>
        <v>BUY</v>
      </c>
      <c r="N276" s="4">
        <f t="shared" si="43"/>
        <v>1</v>
      </c>
      <c r="O276" s="4">
        <f t="shared" si="48"/>
        <v>1183.7</v>
      </c>
      <c r="P276" s="4">
        <f t="shared" si="49"/>
        <v>-1.9892495873366375E-3</v>
      </c>
    </row>
    <row r="277" spans="1:16" x14ac:dyDescent="0.25">
      <c r="A277" s="1">
        <v>41663</v>
      </c>
      <c r="B277">
        <v>1176</v>
      </c>
      <c r="C277">
        <v>1183.0999999999999</v>
      </c>
      <c r="D277">
        <v>1140.25</v>
      </c>
      <c r="E277" s="7">
        <v>1148.8</v>
      </c>
      <c r="F277">
        <v>1728800</v>
      </c>
      <c r="G277" s="8">
        <f t="shared" si="40"/>
        <v>1157.3833333333332</v>
      </c>
      <c r="H277" s="9">
        <f t="shared" si="41"/>
        <v>2000884306.6666665</v>
      </c>
      <c r="I277" s="9">
        <f t="shared" si="44"/>
        <v>20158287846.583336</v>
      </c>
      <c r="J277" s="9">
        <f t="shared" si="45"/>
        <v>17121013</v>
      </c>
      <c r="K277" s="21">
        <f t="shared" si="46"/>
        <v>1177.4004170537885</v>
      </c>
      <c r="L277" s="4" t="str">
        <f t="shared" si="42"/>
        <v>SELL</v>
      </c>
      <c r="M277" s="4" t="str">
        <f t="shared" si="47"/>
        <v>SELL</v>
      </c>
      <c r="N277" s="4">
        <f t="shared" si="43"/>
        <v>-1</v>
      </c>
      <c r="O277" s="4">
        <f t="shared" si="48"/>
        <v>1148.8</v>
      </c>
      <c r="P277" s="4">
        <f t="shared" si="49"/>
        <v>-2.9483821914336478E-2</v>
      </c>
    </row>
    <row r="278" spans="1:16" x14ac:dyDescent="0.25">
      <c r="A278" s="1">
        <v>41666</v>
      </c>
      <c r="B278">
        <v>1173.5</v>
      </c>
      <c r="C278">
        <v>1173.5</v>
      </c>
      <c r="D278">
        <v>1126.5</v>
      </c>
      <c r="E278" s="7">
        <v>1131.1500000000001</v>
      </c>
      <c r="F278">
        <v>1289191</v>
      </c>
      <c r="G278" s="8">
        <f t="shared" si="40"/>
        <v>1143.7166666666667</v>
      </c>
      <c r="H278" s="9">
        <f t="shared" si="41"/>
        <v>1474469233.2166667</v>
      </c>
      <c r="I278" s="9">
        <f t="shared" si="44"/>
        <v>20058881771.033333</v>
      </c>
      <c r="J278" s="9">
        <f t="shared" si="45"/>
        <v>17111502</v>
      </c>
      <c r="K278" s="21">
        <f t="shared" si="46"/>
        <v>1172.2455323345275</v>
      </c>
      <c r="L278" s="4" t="str">
        <f t="shared" si="42"/>
        <v>SELL</v>
      </c>
      <c r="M278" s="4">
        <f t="shared" si="47"/>
        <v>0</v>
      </c>
      <c r="N278" s="4">
        <f t="shared" si="43"/>
        <v>-1</v>
      </c>
      <c r="O278" s="4">
        <f t="shared" si="48"/>
        <v>1148.8</v>
      </c>
      <c r="P278" s="4">
        <f t="shared" si="49"/>
        <v>0</v>
      </c>
    </row>
    <row r="279" spans="1:16" x14ac:dyDescent="0.25">
      <c r="A279" s="1">
        <v>41667</v>
      </c>
      <c r="B279">
        <v>1132</v>
      </c>
      <c r="C279">
        <v>1149.9000000000001</v>
      </c>
      <c r="D279">
        <v>1118.5</v>
      </c>
      <c r="E279" s="7">
        <v>1125.0999999999999</v>
      </c>
      <c r="F279">
        <v>2644319</v>
      </c>
      <c r="G279" s="8">
        <f t="shared" si="40"/>
        <v>1131.1666666666667</v>
      </c>
      <c r="H279" s="9">
        <f t="shared" si="41"/>
        <v>2991165508.8333335</v>
      </c>
      <c r="I279" s="9">
        <f t="shared" si="44"/>
        <v>21830814178.016666</v>
      </c>
      <c r="J279" s="9">
        <f t="shared" si="45"/>
        <v>18747482</v>
      </c>
      <c r="K279" s="21">
        <f t="shared" si="46"/>
        <v>1164.4664695779768</v>
      </c>
      <c r="L279" s="4" t="str">
        <f t="shared" si="42"/>
        <v>SELL</v>
      </c>
      <c r="M279" s="4">
        <f t="shared" si="47"/>
        <v>0</v>
      </c>
      <c r="N279" s="4">
        <f t="shared" si="43"/>
        <v>-1</v>
      </c>
      <c r="O279" s="4">
        <f t="shared" si="48"/>
        <v>1148.8</v>
      </c>
      <c r="P279" s="4">
        <f t="shared" si="49"/>
        <v>0</v>
      </c>
    </row>
    <row r="280" spans="1:16" x14ac:dyDescent="0.25">
      <c r="A280" s="1">
        <v>41668</v>
      </c>
      <c r="B280">
        <v>1122.5</v>
      </c>
      <c r="C280">
        <v>1129.5999999999999</v>
      </c>
      <c r="D280">
        <v>1083.7</v>
      </c>
      <c r="E280" s="7">
        <v>1098.3</v>
      </c>
      <c r="F280">
        <v>3006366</v>
      </c>
      <c r="G280" s="8">
        <f t="shared" si="40"/>
        <v>1103.8666666666668</v>
      </c>
      <c r="H280" s="9">
        <f t="shared" si="41"/>
        <v>3318627215.2000003</v>
      </c>
      <c r="I280" s="9">
        <f t="shared" si="44"/>
        <v>23674180858.566666</v>
      </c>
      <c r="J280" s="9">
        <f t="shared" si="45"/>
        <v>20520301</v>
      </c>
      <c r="K280" s="21">
        <f t="shared" si="46"/>
        <v>1153.6955943563726</v>
      </c>
      <c r="L280" s="4" t="str">
        <f t="shared" si="42"/>
        <v>SELL</v>
      </c>
      <c r="M280" s="4">
        <f t="shared" si="47"/>
        <v>0</v>
      </c>
      <c r="N280" s="4">
        <f t="shared" si="43"/>
        <v>-1</v>
      </c>
      <c r="O280" s="4">
        <f t="shared" si="48"/>
        <v>1148.8</v>
      </c>
      <c r="P280" s="4">
        <f t="shared" si="49"/>
        <v>0</v>
      </c>
    </row>
    <row r="281" spans="1:16" x14ac:dyDescent="0.25">
      <c r="A281" s="1">
        <v>41669</v>
      </c>
      <c r="B281">
        <v>1100</v>
      </c>
      <c r="C281">
        <v>1114.5</v>
      </c>
      <c r="D281">
        <v>1072</v>
      </c>
      <c r="E281" s="7">
        <v>1090.75</v>
      </c>
      <c r="F281">
        <v>2275911</v>
      </c>
      <c r="G281" s="8">
        <f t="shared" si="40"/>
        <v>1092.4166666666667</v>
      </c>
      <c r="H281" s="9">
        <f t="shared" si="41"/>
        <v>2486243108.25</v>
      </c>
      <c r="I281" s="9">
        <f t="shared" si="44"/>
        <v>23339063628.133335</v>
      </c>
      <c r="J281" s="9">
        <f t="shared" si="45"/>
        <v>20439153</v>
      </c>
      <c r="K281" s="21">
        <f t="shared" si="46"/>
        <v>1141.8801761566801</v>
      </c>
      <c r="L281" s="4" t="str">
        <f t="shared" si="42"/>
        <v>SELL</v>
      </c>
      <c r="M281" s="4">
        <f t="shared" si="47"/>
        <v>0</v>
      </c>
      <c r="N281" s="4">
        <f t="shared" si="43"/>
        <v>-1</v>
      </c>
      <c r="O281" s="4">
        <f t="shared" si="48"/>
        <v>1148.8</v>
      </c>
      <c r="P281" s="4">
        <f t="shared" si="49"/>
        <v>0</v>
      </c>
    </row>
    <row r="282" spans="1:16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 s="7">
        <v>1089.5999999999999</v>
      </c>
      <c r="F282">
        <v>1472528</v>
      </c>
      <c r="G282" s="8">
        <f t="shared" si="40"/>
        <v>1083.2333333333333</v>
      </c>
      <c r="H282" s="9">
        <f t="shared" si="41"/>
        <v>1595091413.8666668</v>
      </c>
      <c r="I282" s="9">
        <f t="shared" si="44"/>
        <v>23150429239.400002</v>
      </c>
      <c r="J282" s="9">
        <f t="shared" si="45"/>
        <v>20404392</v>
      </c>
      <c r="K282" s="21">
        <f t="shared" si="46"/>
        <v>1134.5806941662365</v>
      </c>
      <c r="L282" s="4" t="str">
        <f t="shared" si="42"/>
        <v>SELL</v>
      </c>
      <c r="M282" s="4">
        <f t="shared" si="47"/>
        <v>0</v>
      </c>
      <c r="N282" s="4">
        <f t="shared" si="43"/>
        <v>-1</v>
      </c>
      <c r="O282" s="4">
        <f t="shared" si="48"/>
        <v>1148.8</v>
      </c>
      <c r="P282" s="4">
        <f t="shared" si="49"/>
        <v>0</v>
      </c>
    </row>
    <row r="283" spans="1:16" x14ac:dyDescent="0.25">
      <c r="A283" s="1">
        <v>41673</v>
      </c>
      <c r="B283">
        <v>1091</v>
      </c>
      <c r="C283">
        <v>1120</v>
      </c>
      <c r="D283">
        <v>1087</v>
      </c>
      <c r="E283" s="7">
        <v>1112.3</v>
      </c>
      <c r="F283">
        <v>1231274</v>
      </c>
      <c r="G283" s="8">
        <f t="shared" si="40"/>
        <v>1106.4333333333334</v>
      </c>
      <c r="H283" s="9">
        <f t="shared" si="41"/>
        <v>1362322596.0666668</v>
      </c>
      <c r="I283" s="9">
        <f t="shared" si="44"/>
        <v>21089802176.666672</v>
      </c>
      <c r="J283" s="9">
        <f t="shared" si="45"/>
        <v>18665258</v>
      </c>
      <c r="K283" s="21">
        <f t="shared" si="46"/>
        <v>1129.8960976948013</v>
      </c>
      <c r="L283" s="4" t="str">
        <f t="shared" si="42"/>
        <v>SELL</v>
      </c>
      <c r="M283" s="4">
        <f t="shared" si="47"/>
        <v>0</v>
      </c>
      <c r="N283" s="4">
        <f t="shared" si="43"/>
        <v>-1</v>
      </c>
      <c r="O283" s="4">
        <f t="shared" si="48"/>
        <v>1148.8</v>
      </c>
      <c r="P283" s="4">
        <f t="shared" si="49"/>
        <v>0</v>
      </c>
    </row>
    <row r="284" spans="1:16" x14ac:dyDescent="0.25">
      <c r="A284" s="1">
        <v>41674</v>
      </c>
      <c r="B284">
        <v>1119</v>
      </c>
      <c r="C284">
        <v>1119</v>
      </c>
      <c r="D284">
        <v>1076.55</v>
      </c>
      <c r="E284" s="7">
        <v>1097.7</v>
      </c>
      <c r="F284">
        <v>1812713</v>
      </c>
      <c r="G284" s="8">
        <f t="shared" si="40"/>
        <v>1097.75</v>
      </c>
      <c r="H284" s="9">
        <f t="shared" si="41"/>
        <v>1989905695.75</v>
      </c>
      <c r="I284" s="9">
        <f t="shared" si="44"/>
        <v>20658699690.716667</v>
      </c>
      <c r="J284" s="9">
        <f t="shared" si="45"/>
        <v>18371617</v>
      </c>
      <c r="K284" s="21">
        <f t="shared" si="46"/>
        <v>1124.4900049199082</v>
      </c>
      <c r="L284" s="4" t="str">
        <f t="shared" si="42"/>
        <v>SELL</v>
      </c>
      <c r="M284" s="4">
        <f t="shared" si="47"/>
        <v>0</v>
      </c>
      <c r="N284" s="4">
        <f t="shared" si="43"/>
        <v>-1</v>
      </c>
      <c r="O284" s="4">
        <f t="shared" si="48"/>
        <v>1148.8</v>
      </c>
      <c r="P284" s="4">
        <f t="shared" si="49"/>
        <v>0</v>
      </c>
    </row>
    <row r="285" spans="1:16" x14ac:dyDescent="0.25">
      <c r="A285" s="1">
        <v>41675</v>
      </c>
      <c r="B285">
        <v>1105</v>
      </c>
      <c r="C285">
        <v>1109.7</v>
      </c>
      <c r="D285">
        <v>1081</v>
      </c>
      <c r="E285" s="7">
        <v>1096.5</v>
      </c>
      <c r="F285">
        <v>1232296</v>
      </c>
      <c r="G285" s="8">
        <f t="shared" si="40"/>
        <v>1095.7333333333333</v>
      </c>
      <c r="H285" s="9">
        <f t="shared" si="41"/>
        <v>1350267803.7333333</v>
      </c>
      <c r="I285" s="9">
        <f t="shared" si="44"/>
        <v>19683344676.683338</v>
      </c>
      <c r="J285" s="9">
        <f t="shared" si="45"/>
        <v>17635104</v>
      </c>
      <c r="K285" s="21">
        <f t="shared" si="46"/>
        <v>1116.1456533901551</v>
      </c>
      <c r="L285" s="4" t="str">
        <f t="shared" si="42"/>
        <v>SELL</v>
      </c>
      <c r="M285" s="4">
        <f t="shared" si="47"/>
        <v>0</v>
      </c>
      <c r="N285" s="4">
        <f t="shared" si="43"/>
        <v>-1</v>
      </c>
      <c r="O285" s="4">
        <f t="shared" si="48"/>
        <v>1148.8</v>
      </c>
      <c r="P285" s="4">
        <f t="shared" si="49"/>
        <v>0</v>
      </c>
    </row>
    <row r="286" spans="1:16" x14ac:dyDescent="0.25">
      <c r="A286" s="1">
        <v>41676</v>
      </c>
      <c r="B286">
        <v>1105</v>
      </c>
      <c r="C286">
        <v>1114.45</v>
      </c>
      <c r="D286">
        <v>1092.4000000000001</v>
      </c>
      <c r="E286" s="7">
        <v>1109.2</v>
      </c>
      <c r="F286">
        <v>738880</v>
      </c>
      <c r="G286" s="8">
        <f t="shared" si="40"/>
        <v>1105.3500000000001</v>
      </c>
      <c r="H286" s="9">
        <f t="shared" si="41"/>
        <v>816721008.00000012</v>
      </c>
      <c r="I286" s="9">
        <f t="shared" si="44"/>
        <v>19385697889.583336</v>
      </c>
      <c r="J286" s="9">
        <f t="shared" si="45"/>
        <v>17432278</v>
      </c>
      <c r="K286" s="21">
        <f t="shared" si="46"/>
        <v>1112.0576375378671</v>
      </c>
      <c r="L286" s="4" t="str">
        <f t="shared" si="42"/>
        <v>SELL</v>
      </c>
      <c r="M286" s="4">
        <f t="shared" si="47"/>
        <v>0</v>
      </c>
      <c r="N286" s="4">
        <f t="shared" si="43"/>
        <v>-1</v>
      </c>
      <c r="O286" s="4">
        <f t="shared" si="48"/>
        <v>1148.8</v>
      </c>
      <c r="P286" s="4">
        <f t="shared" si="49"/>
        <v>0</v>
      </c>
    </row>
    <row r="287" spans="1:16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 s="7">
        <v>1089.7</v>
      </c>
      <c r="F287">
        <v>2038464</v>
      </c>
      <c r="G287" s="8">
        <f t="shared" si="40"/>
        <v>1101.3999999999999</v>
      </c>
      <c r="H287" s="9">
        <f t="shared" si="41"/>
        <v>2245164249.5999999</v>
      </c>
      <c r="I287" s="9">
        <f t="shared" si="44"/>
        <v>19629977832.516666</v>
      </c>
      <c r="J287" s="9">
        <f t="shared" si="45"/>
        <v>17741942</v>
      </c>
      <c r="K287" s="21">
        <f t="shared" si="46"/>
        <v>1106.4165260215971</v>
      </c>
      <c r="L287" s="4" t="str">
        <f t="shared" si="42"/>
        <v>SELL</v>
      </c>
      <c r="M287" s="4">
        <f t="shared" si="47"/>
        <v>0</v>
      </c>
      <c r="N287" s="4">
        <f t="shared" si="43"/>
        <v>-1</v>
      </c>
      <c r="O287" s="4">
        <f t="shared" si="48"/>
        <v>1148.8</v>
      </c>
      <c r="P287" s="4">
        <f t="shared" si="49"/>
        <v>0</v>
      </c>
    </row>
    <row r="288" spans="1:16" x14ac:dyDescent="0.25">
      <c r="A288" s="1">
        <v>41680</v>
      </c>
      <c r="B288">
        <v>1090</v>
      </c>
      <c r="C288">
        <v>1148</v>
      </c>
      <c r="D288">
        <v>1058.2</v>
      </c>
      <c r="E288" s="7">
        <v>1138.5999999999999</v>
      </c>
      <c r="F288">
        <v>2828900</v>
      </c>
      <c r="G288" s="8">
        <f t="shared" si="40"/>
        <v>1114.9333333333332</v>
      </c>
      <c r="H288" s="9">
        <f t="shared" si="41"/>
        <v>3154034906.666666</v>
      </c>
      <c r="I288" s="9">
        <f t="shared" si="44"/>
        <v>21309543505.966667</v>
      </c>
      <c r="J288" s="9">
        <f t="shared" si="45"/>
        <v>19281651</v>
      </c>
      <c r="K288" s="21">
        <f t="shared" si="46"/>
        <v>1105.1721403922656</v>
      </c>
      <c r="L288" s="4" t="str">
        <f t="shared" si="42"/>
        <v>BUY</v>
      </c>
      <c r="M288" s="4" t="str">
        <f t="shared" si="47"/>
        <v>BUY</v>
      </c>
      <c r="N288" s="4">
        <f t="shared" si="43"/>
        <v>1</v>
      </c>
      <c r="O288" s="4">
        <f t="shared" si="48"/>
        <v>1138.5999999999999</v>
      </c>
      <c r="P288" s="4">
        <f t="shared" si="49"/>
        <v>8.878830083565499E-3</v>
      </c>
    </row>
    <row r="289" spans="1:16" x14ac:dyDescent="0.25">
      <c r="A289" s="1">
        <v>41681</v>
      </c>
      <c r="B289">
        <v>1122.6500000000001</v>
      </c>
      <c r="C289">
        <v>1147.7</v>
      </c>
      <c r="D289">
        <v>1120</v>
      </c>
      <c r="E289" s="7">
        <v>1138.75</v>
      </c>
      <c r="F289">
        <v>1652700</v>
      </c>
      <c r="G289" s="8">
        <f t="shared" si="40"/>
        <v>1135.4833333333333</v>
      </c>
      <c r="H289" s="9">
        <f t="shared" si="41"/>
        <v>1876613305</v>
      </c>
      <c r="I289" s="9">
        <f t="shared" si="44"/>
        <v>20194991302.133335</v>
      </c>
      <c r="J289" s="9">
        <f t="shared" si="45"/>
        <v>18290032</v>
      </c>
      <c r="K289" s="21">
        <f t="shared" si="46"/>
        <v>1104.1528687392856</v>
      </c>
      <c r="L289" s="4" t="str">
        <f t="shared" si="42"/>
        <v>BUY</v>
      </c>
      <c r="M289" s="4">
        <f t="shared" si="47"/>
        <v>0</v>
      </c>
      <c r="N289" s="4">
        <f t="shared" si="43"/>
        <v>1</v>
      </c>
      <c r="O289" s="4">
        <f t="shared" si="48"/>
        <v>1138.5999999999999</v>
      </c>
      <c r="P289" s="4">
        <f t="shared" si="49"/>
        <v>0</v>
      </c>
    </row>
    <row r="290" spans="1:16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 s="7">
        <v>1125.55</v>
      </c>
      <c r="F290">
        <v>939672</v>
      </c>
      <c r="G290" s="8">
        <f t="shared" si="40"/>
        <v>1131.2</v>
      </c>
      <c r="H290" s="9">
        <f t="shared" si="41"/>
        <v>1062956966.4000001</v>
      </c>
      <c r="I290" s="9">
        <f t="shared" si="44"/>
        <v>17939321053.333332</v>
      </c>
      <c r="J290" s="9">
        <f t="shared" si="45"/>
        <v>16223338</v>
      </c>
      <c r="K290" s="21">
        <f t="shared" si="46"/>
        <v>1105.7725021406404</v>
      </c>
      <c r="L290" s="4" t="str">
        <f t="shared" si="42"/>
        <v>BUY</v>
      </c>
      <c r="M290" s="4">
        <f t="shared" si="47"/>
        <v>0</v>
      </c>
      <c r="N290" s="4">
        <f t="shared" si="43"/>
        <v>1</v>
      </c>
      <c r="O290" s="4">
        <f t="shared" si="48"/>
        <v>1138.5999999999999</v>
      </c>
      <c r="P290" s="4">
        <f t="shared" si="49"/>
        <v>0</v>
      </c>
    </row>
    <row r="291" spans="1:16" x14ac:dyDescent="0.25">
      <c r="A291" s="1">
        <v>41683</v>
      </c>
      <c r="B291">
        <v>1119</v>
      </c>
      <c r="C291">
        <v>1138.75</v>
      </c>
      <c r="D291">
        <v>1091.3</v>
      </c>
      <c r="E291" s="7">
        <v>1111.8</v>
      </c>
      <c r="F291">
        <v>2689415</v>
      </c>
      <c r="G291" s="8">
        <f t="shared" si="40"/>
        <v>1113.95</v>
      </c>
      <c r="H291" s="9">
        <f t="shared" si="41"/>
        <v>2995873839.25</v>
      </c>
      <c r="I291" s="9">
        <f t="shared" si="44"/>
        <v>18448951784.333332</v>
      </c>
      <c r="J291" s="9">
        <f t="shared" si="45"/>
        <v>16636842</v>
      </c>
      <c r="K291" s="21">
        <f t="shared" si="46"/>
        <v>1108.921499905651</v>
      </c>
      <c r="L291" s="4" t="str">
        <f t="shared" si="42"/>
        <v>BUY</v>
      </c>
      <c r="M291" s="4">
        <f t="shared" si="47"/>
        <v>0</v>
      </c>
      <c r="N291" s="4">
        <f t="shared" si="43"/>
        <v>1</v>
      </c>
      <c r="O291" s="4">
        <f t="shared" si="48"/>
        <v>1138.5999999999999</v>
      </c>
      <c r="P291" s="4">
        <f t="shared" si="49"/>
        <v>0</v>
      </c>
    </row>
    <row r="292" spans="1:16" x14ac:dyDescent="0.25">
      <c r="A292" s="1">
        <v>41684</v>
      </c>
      <c r="B292">
        <v>1105.3</v>
      </c>
      <c r="C292">
        <v>1117</v>
      </c>
      <c r="D292">
        <v>1088.25</v>
      </c>
      <c r="E292" s="7">
        <v>1110.05</v>
      </c>
      <c r="F292">
        <v>1535237</v>
      </c>
      <c r="G292" s="8">
        <f t="shared" si="40"/>
        <v>1105.1000000000001</v>
      </c>
      <c r="H292" s="9">
        <f t="shared" si="41"/>
        <v>1696590408.7000003</v>
      </c>
      <c r="I292" s="9">
        <f t="shared" si="44"/>
        <v>18550450779.166664</v>
      </c>
      <c r="J292" s="9">
        <f t="shared" si="45"/>
        <v>16699551</v>
      </c>
      <c r="K292" s="21">
        <f t="shared" si="46"/>
        <v>1110.8353020489392</v>
      </c>
      <c r="L292" s="4" t="str">
        <f t="shared" si="42"/>
        <v>SELL</v>
      </c>
      <c r="M292" s="4" t="str">
        <f t="shared" si="47"/>
        <v>SELL</v>
      </c>
      <c r="N292" s="4">
        <f t="shared" si="43"/>
        <v>-1</v>
      </c>
      <c r="O292" s="4">
        <f t="shared" si="48"/>
        <v>1110.05</v>
      </c>
      <c r="P292" s="4">
        <f t="shared" si="49"/>
        <v>-2.5074653082733142E-2</v>
      </c>
    </row>
    <row r="293" spans="1:16" x14ac:dyDescent="0.25">
      <c r="A293" s="1">
        <v>41687</v>
      </c>
      <c r="B293">
        <v>1101.2</v>
      </c>
      <c r="C293">
        <v>1148.25</v>
      </c>
      <c r="D293">
        <v>1100</v>
      </c>
      <c r="E293" s="7">
        <v>1110.25</v>
      </c>
      <c r="F293">
        <v>1614698</v>
      </c>
      <c r="G293" s="8">
        <f t="shared" si="40"/>
        <v>1119.5</v>
      </c>
      <c r="H293" s="9">
        <f t="shared" si="41"/>
        <v>1807654411</v>
      </c>
      <c r="I293" s="9">
        <f t="shared" si="44"/>
        <v>18995782594.099998</v>
      </c>
      <c r="J293" s="9">
        <f t="shared" si="45"/>
        <v>17082975</v>
      </c>
      <c r="K293" s="21">
        <f t="shared" si="46"/>
        <v>1111.9715736925214</v>
      </c>
      <c r="L293" s="4" t="str">
        <f t="shared" si="42"/>
        <v>SELL</v>
      </c>
      <c r="M293" s="4">
        <f t="shared" si="47"/>
        <v>0</v>
      </c>
      <c r="N293" s="4">
        <f t="shared" si="43"/>
        <v>-1</v>
      </c>
      <c r="O293" s="4">
        <f t="shared" si="48"/>
        <v>1110.05</v>
      </c>
      <c r="P293" s="4">
        <f t="shared" si="49"/>
        <v>0</v>
      </c>
    </row>
    <row r="294" spans="1:16" x14ac:dyDescent="0.25">
      <c r="A294" s="1">
        <v>41688</v>
      </c>
      <c r="B294">
        <v>1113</v>
      </c>
      <c r="C294">
        <v>1132</v>
      </c>
      <c r="D294">
        <v>1097.5999999999999</v>
      </c>
      <c r="E294" s="7">
        <v>1124.5</v>
      </c>
      <c r="F294">
        <v>1583902</v>
      </c>
      <c r="G294" s="8">
        <f t="shared" si="40"/>
        <v>1118.0333333333333</v>
      </c>
      <c r="H294" s="9">
        <f t="shared" si="41"/>
        <v>1770855232.7333333</v>
      </c>
      <c r="I294" s="9">
        <f t="shared" si="44"/>
        <v>18776732131.083332</v>
      </c>
      <c r="J294" s="9">
        <f t="shared" si="45"/>
        <v>16854164</v>
      </c>
      <c r="K294" s="21">
        <f t="shared" si="46"/>
        <v>1114.0708095093494</v>
      </c>
      <c r="L294" s="4" t="str">
        <f t="shared" si="42"/>
        <v>BUY</v>
      </c>
      <c r="M294" s="4" t="str">
        <f t="shared" si="47"/>
        <v>BUY</v>
      </c>
      <c r="N294" s="4">
        <f t="shared" si="43"/>
        <v>1</v>
      </c>
      <c r="O294" s="4">
        <f t="shared" si="48"/>
        <v>1124.5</v>
      </c>
      <c r="P294" s="4">
        <f t="shared" si="49"/>
        <v>-1.3017431647223139E-2</v>
      </c>
    </row>
    <row r="295" spans="1:16" x14ac:dyDescent="0.25">
      <c r="A295" s="1">
        <v>41689</v>
      </c>
      <c r="B295">
        <v>1119.9000000000001</v>
      </c>
      <c r="C295">
        <v>1155</v>
      </c>
      <c r="D295">
        <v>1107</v>
      </c>
      <c r="E295" s="7">
        <v>1150.2</v>
      </c>
      <c r="F295">
        <v>1726300</v>
      </c>
      <c r="G295" s="8">
        <f t="shared" si="40"/>
        <v>1137.3999999999999</v>
      </c>
      <c r="H295" s="9">
        <f t="shared" si="41"/>
        <v>1963493619.9999998</v>
      </c>
      <c r="I295" s="9">
        <f t="shared" si="44"/>
        <v>19389957947.349998</v>
      </c>
      <c r="J295" s="9">
        <f t="shared" si="45"/>
        <v>17348168</v>
      </c>
      <c r="K295" s="21">
        <f t="shared" si="46"/>
        <v>1117.6948452049805</v>
      </c>
      <c r="L295" s="4" t="str">
        <f t="shared" si="42"/>
        <v>BUY</v>
      </c>
      <c r="M295" s="4">
        <f t="shared" si="47"/>
        <v>0</v>
      </c>
      <c r="N295" s="4">
        <f t="shared" si="43"/>
        <v>1</v>
      </c>
      <c r="O295" s="4">
        <f t="shared" si="48"/>
        <v>1124.5</v>
      </c>
      <c r="P295" s="4">
        <f t="shared" si="49"/>
        <v>0</v>
      </c>
    </row>
    <row r="296" spans="1:16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 s="7">
        <v>1135.55</v>
      </c>
      <c r="F296">
        <v>1030599</v>
      </c>
      <c r="G296" s="8">
        <f t="shared" si="40"/>
        <v>1143.8</v>
      </c>
      <c r="H296" s="9">
        <f t="shared" si="41"/>
        <v>1178799136.2</v>
      </c>
      <c r="I296" s="9">
        <f t="shared" si="44"/>
        <v>19752036075.549999</v>
      </c>
      <c r="J296" s="9">
        <f t="shared" si="45"/>
        <v>17639887</v>
      </c>
      <c r="K296" s="21">
        <f t="shared" si="46"/>
        <v>1119.7371091747923</v>
      </c>
      <c r="L296" s="4" t="str">
        <f t="shared" si="42"/>
        <v>BUY</v>
      </c>
      <c r="M296" s="4">
        <f t="shared" si="47"/>
        <v>0</v>
      </c>
      <c r="N296" s="4">
        <f t="shared" si="43"/>
        <v>1</v>
      </c>
      <c r="O296" s="4">
        <f t="shared" si="48"/>
        <v>1124.5</v>
      </c>
      <c r="P296" s="4">
        <f t="shared" si="49"/>
        <v>0</v>
      </c>
    </row>
    <row r="297" spans="1:16" x14ac:dyDescent="0.25">
      <c r="A297" s="1">
        <v>41691</v>
      </c>
      <c r="B297">
        <v>1124</v>
      </c>
      <c r="C297">
        <v>1125</v>
      </c>
      <c r="D297">
        <v>1094.45</v>
      </c>
      <c r="E297" s="7">
        <v>1108.25</v>
      </c>
      <c r="F297">
        <v>2092294</v>
      </c>
      <c r="G297" s="8">
        <f t="shared" si="40"/>
        <v>1109.2333333333333</v>
      </c>
      <c r="H297" s="9">
        <f t="shared" si="41"/>
        <v>2320842247.9333334</v>
      </c>
      <c r="I297" s="9">
        <f t="shared" si="44"/>
        <v>19827714073.883335</v>
      </c>
      <c r="J297" s="9">
        <f t="shared" si="45"/>
        <v>17693717</v>
      </c>
      <c r="K297" s="21">
        <f t="shared" si="46"/>
        <v>1120.6076187317417</v>
      </c>
      <c r="L297" s="4" t="str">
        <f t="shared" si="42"/>
        <v>SELL</v>
      </c>
      <c r="M297" s="4" t="str">
        <f t="shared" si="47"/>
        <v>SELL</v>
      </c>
      <c r="N297" s="4">
        <f t="shared" si="43"/>
        <v>-1</v>
      </c>
      <c r="O297" s="4">
        <f t="shared" si="48"/>
        <v>1108.25</v>
      </c>
      <c r="P297" s="4">
        <f t="shared" si="49"/>
        <v>-1.4450867052023121E-2</v>
      </c>
    </row>
    <row r="298" spans="1:16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 s="7">
        <v>1117.7</v>
      </c>
      <c r="F298">
        <v>1973951</v>
      </c>
      <c r="G298" s="8">
        <f t="shared" si="40"/>
        <v>1117.2166666666665</v>
      </c>
      <c r="H298" s="9">
        <f t="shared" si="41"/>
        <v>2205330956.3833327</v>
      </c>
      <c r="I298" s="9">
        <f t="shared" si="44"/>
        <v>18879010123.599998</v>
      </c>
      <c r="J298" s="9">
        <f t="shared" si="45"/>
        <v>16838768</v>
      </c>
      <c r="K298" s="21">
        <f t="shared" si="46"/>
        <v>1121.1633846134112</v>
      </c>
      <c r="L298" s="4" t="str">
        <f t="shared" si="42"/>
        <v>SELL</v>
      </c>
      <c r="M298" s="4">
        <f t="shared" si="47"/>
        <v>0</v>
      </c>
      <c r="N298" s="4">
        <f t="shared" si="43"/>
        <v>-1</v>
      </c>
      <c r="O298" s="4">
        <f t="shared" si="48"/>
        <v>1108.25</v>
      </c>
      <c r="P298" s="4">
        <f t="shared" si="49"/>
        <v>0</v>
      </c>
    </row>
    <row r="299" spans="1:16" x14ac:dyDescent="0.25">
      <c r="A299" s="1">
        <v>41695</v>
      </c>
      <c r="B299">
        <v>1122.55</v>
      </c>
      <c r="C299">
        <v>1138</v>
      </c>
      <c r="D299">
        <v>1118.5</v>
      </c>
      <c r="E299" s="7">
        <v>1126.7</v>
      </c>
      <c r="F299">
        <v>1212243</v>
      </c>
      <c r="G299" s="8">
        <f t="shared" si="40"/>
        <v>1127.7333333333333</v>
      </c>
      <c r="H299" s="9">
        <f t="shared" si="41"/>
        <v>1367086839.2</v>
      </c>
      <c r="I299" s="9">
        <f t="shared" si="44"/>
        <v>18369483657.799999</v>
      </c>
      <c r="J299" s="9">
        <f t="shared" si="45"/>
        <v>16398311</v>
      </c>
      <c r="K299" s="21">
        <f t="shared" si="46"/>
        <v>1120.2058344789289</v>
      </c>
      <c r="L299" s="4" t="str">
        <f t="shared" si="42"/>
        <v>BUY</v>
      </c>
      <c r="M299" s="4" t="str">
        <f t="shared" si="47"/>
        <v>BUY</v>
      </c>
      <c r="N299" s="4">
        <f t="shared" si="43"/>
        <v>1</v>
      </c>
      <c r="O299" s="4">
        <f t="shared" si="48"/>
        <v>1126.7</v>
      </c>
      <c r="P299" s="4">
        <f t="shared" si="49"/>
        <v>-1.6647868260771529E-2</v>
      </c>
    </row>
    <row r="300" spans="1:16" x14ac:dyDescent="0.25">
      <c r="A300" s="1">
        <v>41696</v>
      </c>
      <c r="B300">
        <v>1122</v>
      </c>
      <c r="C300">
        <v>1122</v>
      </c>
      <c r="D300">
        <v>1100</v>
      </c>
      <c r="E300" s="7">
        <v>1108.55</v>
      </c>
      <c r="F300">
        <v>935662</v>
      </c>
      <c r="G300" s="8">
        <f t="shared" si="40"/>
        <v>1110.1833333333334</v>
      </c>
      <c r="H300" s="9">
        <f t="shared" si="41"/>
        <v>1038756358.0333334</v>
      </c>
      <c r="I300" s="9">
        <f t="shared" si="44"/>
        <v>18345283049.433334</v>
      </c>
      <c r="J300" s="9">
        <f t="shared" si="45"/>
        <v>16394301</v>
      </c>
      <c r="K300" s="21">
        <f t="shared" si="46"/>
        <v>1119.0036738640663</v>
      </c>
      <c r="L300" s="4" t="str">
        <f t="shared" si="42"/>
        <v>SELL</v>
      </c>
      <c r="M300" s="4" t="str">
        <f t="shared" si="47"/>
        <v>SELL</v>
      </c>
      <c r="N300" s="4">
        <f t="shared" si="43"/>
        <v>-1</v>
      </c>
      <c r="O300" s="4">
        <f t="shared" si="48"/>
        <v>1108.55</v>
      </c>
      <c r="P300" s="4">
        <f t="shared" si="49"/>
        <v>-1.6108990858258711E-2</v>
      </c>
    </row>
    <row r="301" spans="1:16" x14ac:dyDescent="0.25">
      <c r="A301" s="1">
        <v>41697</v>
      </c>
      <c r="B301">
        <v>1100</v>
      </c>
      <c r="C301">
        <v>1102.4000000000001</v>
      </c>
      <c r="D301">
        <v>1063.3</v>
      </c>
      <c r="E301" s="7">
        <v>1077.05</v>
      </c>
      <c r="F301">
        <v>2506441</v>
      </c>
      <c r="G301" s="8">
        <f t="shared" si="40"/>
        <v>1080.9166666666667</v>
      </c>
      <c r="H301" s="9">
        <f t="shared" si="41"/>
        <v>2709253850.916667</v>
      </c>
      <c r="I301" s="9">
        <f t="shared" si="44"/>
        <v>18058663061.099998</v>
      </c>
      <c r="J301" s="9">
        <f t="shared" si="45"/>
        <v>16211327</v>
      </c>
      <c r="K301" s="21">
        <f t="shared" si="46"/>
        <v>1113.9534142454841</v>
      </c>
      <c r="L301" s="4" t="str">
        <f t="shared" si="42"/>
        <v>SELL</v>
      </c>
      <c r="M301" s="4">
        <f t="shared" si="47"/>
        <v>0</v>
      </c>
      <c r="N301" s="4">
        <f t="shared" si="43"/>
        <v>-1</v>
      </c>
      <c r="O301" s="4">
        <f t="shared" si="48"/>
        <v>1108.55</v>
      </c>
      <c r="P301" s="4">
        <f t="shared" si="49"/>
        <v>0</v>
      </c>
    </row>
    <row r="302" spans="1:16" x14ac:dyDescent="0.25">
      <c r="A302" s="1">
        <v>41698</v>
      </c>
      <c r="B302">
        <v>1071</v>
      </c>
      <c r="C302">
        <v>1102</v>
      </c>
      <c r="D302">
        <v>1058.4000000000001</v>
      </c>
      <c r="E302" s="7">
        <v>1097.55</v>
      </c>
      <c r="F302">
        <v>1624309</v>
      </c>
      <c r="G302" s="8">
        <f t="shared" si="40"/>
        <v>1085.9833333333333</v>
      </c>
      <c r="H302" s="9">
        <f t="shared" si="41"/>
        <v>1763972502.1833334</v>
      </c>
      <c r="I302" s="9">
        <f t="shared" si="44"/>
        <v>18126045154.583336</v>
      </c>
      <c r="J302" s="9">
        <f t="shared" si="45"/>
        <v>16300399</v>
      </c>
      <c r="K302" s="21">
        <f t="shared" si="46"/>
        <v>1112.0000899722354</v>
      </c>
      <c r="L302" s="4" t="str">
        <f t="shared" si="42"/>
        <v>SELL</v>
      </c>
      <c r="M302" s="4">
        <f t="shared" si="47"/>
        <v>0</v>
      </c>
      <c r="N302" s="4">
        <f t="shared" si="43"/>
        <v>-1</v>
      </c>
      <c r="O302" s="4">
        <f t="shared" si="48"/>
        <v>1108.55</v>
      </c>
      <c r="P302" s="4">
        <f t="shared" si="49"/>
        <v>0</v>
      </c>
    </row>
    <row r="303" spans="1:16" x14ac:dyDescent="0.25">
      <c r="A303" s="1">
        <v>41701</v>
      </c>
      <c r="B303">
        <v>1075</v>
      </c>
      <c r="C303">
        <v>1095.45</v>
      </c>
      <c r="D303">
        <v>1065.6500000000001</v>
      </c>
      <c r="E303" s="7">
        <v>1089.8</v>
      </c>
      <c r="F303">
        <v>1705934</v>
      </c>
      <c r="G303" s="8">
        <f t="shared" si="40"/>
        <v>1083.6333333333334</v>
      </c>
      <c r="H303" s="9">
        <f t="shared" si="41"/>
        <v>1848606946.8666668</v>
      </c>
      <c r="I303" s="9">
        <f t="shared" si="44"/>
        <v>18166997690.450005</v>
      </c>
      <c r="J303" s="9">
        <f t="shared" si="45"/>
        <v>16391635</v>
      </c>
      <c r="K303" s="21">
        <f t="shared" si="46"/>
        <v>1108.3090668167029</v>
      </c>
      <c r="L303" s="4" t="str">
        <f t="shared" si="42"/>
        <v>SELL</v>
      </c>
      <c r="M303" s="4">
        <f t="shared" si="47"/>
        <v>0</v>
      </c>
      <c r="N303" s="4">
        <f t="shared" si="43"/>
        <v>-1</v>
      </c>
      <c r="O303" s="4">
        <f t="shared" si="48"/>
        <v>1108.55</v>
      </c>
      <c r="P303" s="4">
        <f t="shared" si="49"/>
        <v>0</v>
      </c>
    </row>
    <row r="304" spans="1:16" x14ac:dyDescent="0.25">
      <c r="A304" s="1">
        <v>41702</v>
      </c>
      <c r="B304">
        <v>1092</v>
      </c>
      <c r="C304">
        <v>1123.45</v>
      </c>
      <c r="D304">
        <v>1091.1500000000001</v>
      </c>
      <c r="E304" s="7">
        <v>1114.8499999999999</v>
      </c>
      <c r="F304">
        <v>1338937</v>
      </c>
      <c r="G304" s="8">
        <f t="shared" si="40"/>
        <v>1109.8166666666668</v>
      </c>
      <c r="H304" s="9">
        <f t="shared" si="41"/>
        <v>1485974598.2166669</v>
      </c>
      <c r="I304" s="9">
        <f t="shared" si="44"/>
        <v>17882117055.933334</v>
      </c>
      <c r="J304" s="9">
        <f t="shared" si="45"/>
        <v>16146670</v>
      </c>
      <c r="K304" s="21">
        <f t="shared" si="46"/>
        <v>1107.4801835879059</v>
      </c>
      <c r="L304" s="4" t="str">
        <f t="shared" si="42"/>
        <v>BUY</v>
      </c>
      <c r="M304" s="4" t="str">
        <f t="shared" si="47"/>
        <v>BUY</v>
      </c>
      <c r="N304" s="4">
        <f t="shared" si="43"/>
        <v>1</v>
      </c>
      <c r="O304" s="4">
        <f t="shared" si="48"/>
        <v>1114.8499999999999</v>
      </c>
      <c r="P304" s="4">
        <f t="shared" si="49"/>
        <v>-5.6830995444499162E-3</v>
      </c>
    </row>
    <row r="305" spans="1:16" x14ac:dyDescent="0.25">
      <c r="A305" s="1">
        <v>41703</v>
      </c>
      <c r="B305">
        <v>1105</v>
      </c>
      <c r="C305">
        <v>1118.9000000000001</v>
      </c>
      <c r="D305">
        <v>1092.6500000000001</v>
      </c>
      <c r="E305" s="7">
        <v>1098</v>
      </c>
      <c r="F305">
        <v>1028051</v>
      </c>
      <c r="G305" s="8">
        <f t="shared" si="40"/>
        <v>1103.1833333333334</v>
      </c>
      <c r="H305" s="9">
        <f t="shared" si="41"/>
        <v>1134128729.0166667</v>
      </c>
      <c r="I305" s="9">
        <f t="shared" si="44"/>
        <v>17052752164.950003</v>
      </c>
      <c r="J305" s="9">
        <f t="shared" si="45"/>
        <v>15448421</v>
      </c>
      <c r="K305" s="21">
        <f t="shared" si="46"/>
        <v>1103.8508184719981</v>
      </c>
      <c r="L305" s="4" t="str">
        <f t="shared" si="42"/>
        <v>SELL</v>
      </c>
      <c r="M305" s="4" t="str">
        <f t="shared" si="47"/>
        <v>SELL</v>
      </c>
      <c r="N305" s="4">
        <f t="shared" si="43"/>
        <v>-1</v>
      </c>
      <c r="O305" s="4">
        <f t="shared" si="48"/>
        <v>1098</v>
      </c>
      <c r="P305" s="4">
        <f t="shared" si="49"/>
        <v>-1.5114140915818192E-2</v>
      </c>
    </row>
    <row r="306" spans="1:16" x14ac:dyDescent="0.25">
      <c r="A306" s="1">
        <v>41704</v>
      </c>
      <c r="B306">
        <v>1093.5</v>
      </c>
      <c r="C306">
        <v>1109</v>
      </c>
      <c r="D306">
        <v>1076.0999999999999</v>
      </c>
      <c r="E306" s="7">
        <v>1082.75</v>
      </c>
      <c r="F306">
        <v>1105674</v>
      </c>
      <c r="G306" s="8">
        <f t="shared" si="40"/>
        <v>1089.2833333333333</v>
      </c>
      <c r="H306" s="9">
        <f t="shared" si="41"/>
        <v>1204392260.3</v>
      </c>
      <c r="I306" s="9">
        <f t="shared" si="44"/>
        <v>17078345289.050001</v>
      </c>
      <c r="J306" s="9">
        <f t="shared" si="45"/>
        <v>15523496</v>
      </c>
      <c r="K306" s="21">
        <f t="shared" si="46"/>
        <v>1100.1610261663998</v>
      </c>
      <c r="L306" s="4" t="str">
        <f t="shared" si="42"/>
        <v>SELL</v>
      </c>
      <c r="M306" s="4">
        <f t="shared" si="47"/>
        <v>0</v>
      </c>
      <c r="N306" s="4">
        <f t="shared" si="43"/>
        <v>-1</v>
      </c>
      <c r="O306" s="4">
        <f t="shared" si="48"/>
        <v>1098</v>
      </c>
      <c r="P306" s="4">
        <f t="shared" si="49"/>
        <v>0</v>
      </c>
    </row>
    <row r="307" spans="1:16" x14ac:dyDescent="0.25">
      <c r="A307" s="1">
        <v>41705</v>
      </c>
      <c r="B307">
        <v>1091.5</v>
      </c>
      <c r="C307">
        <v>1091.5</v>
      </c>
      <c r="D307">
        <v>1066.5</v>
      </c>
      <c r="E307" s="7">
        <v>1070.8</v>
      </c>
      <c r="F307">
        <v>1309545</v>
      </c>
      <c r="G307" s="8">
        <f t="shared" si="40"/>
        <v>1076.2666666666667</v>
      </c>
      <c r="H307" s="9">
        <f t="shared" si="41"/>
        <v>1409419632</v>
      </c>
      <c r="I307" s="9">
        <f t="shared" si="44"/>
        <v>16166922673.116667</v>
      </c>
      <c r="J307" s="9">
        <f t="shared" si="45"/>
        <v>14740747</v>
      </c>
      <c r="K307" s="21">
        <f t="shared" si="46"/>
        <v>1096.7505699077983</v>
      </c>
      <c r="L307" s="4" t="str">
        <f t="shared" si="42"/>
        <v>SELL</v>
      </c>
      <c r="M307" s="4">
        <f t="shared" si="47"/>
        <v>0</v>
      </c>
      <c r="N307" s="4">
        <f t="shared" si="43"/>
        <v>-1</v>
      </c>
      <c r="O307" s="4">
        <f t="shared" si="48"/>
        <v>1098</v>
      </c>
      <c r="P307" s="4">
        <f t="shared" si="49"/>
        <v>0</v>
      </c>
    </row>
    <row r="308" spans="1:16" x14ac:dyDescent="0.25">
      <c r="A308" s="1">
        <v>41708</v>
      </c>
      <c r="B308">
        <v>1075.0999999999999</v>
      </c>
      <c r="C308">
        <v>1080</v>
      </c>
      <c r="D308">
        <v>1063</v>
      </c>
      <c r="E308" s="7">
        <v>1069.5</v>
      </c>
      <c r="F308">
        <v>1328887</v>
      </c>
      <c r="G308" s="8">
        <f t="shared" si="40"/>
        <v>1070.8333333333333</v>
      </c>
      <c r="H308" s="9">
        <f t="shared" si="41"/>
        <v>1423016495.8333333</v>
      </c>
      <c r="I308" s="9">
        <f t="shared" si="44"/>
        <v>15384608212.566668</v>
      </c>
      <c r="J308" s="9">
        <f t="shared" si="45"/>
        <v>14095683</v>
      </c>
      <c r="K308" s="21">
        <f t="shared" si="46"/>
        <v>1091.4411321939253</v>
      </c>
      <c r="L308" s="4" t="str">
        <f t="shared" si="42"/>
        <v>SELL</v>
      </c>
      <c r="M308" s="4">
        <f t="shared" si="47"/>
        <v>0</v>
      </c>
      <c r="N308" s="4">
        <f t="shared" si="43"/>
        <v>-1</v>
      </c>
      <c r="O308" s="4">
        <f t="shared" si="48"/>
        <v>1098</v>
      </c>
      <c r="P308" s="4">
        <f t="shared" si="49"/>
        <v>0</v>
      </c>
    </row>
    <row r="309" spans="1:16" x14ac:dyDescent="0.25">
      <c r="A309" s="1">
        <v>41709</v>
      </c>
      <c r="B309">
        <v>1071</v>
      </c>
      <c r="C309">
        <v>1071</v>
      </c>
      <c r="D309">
        <v>1057.25</v>
      </c>
      <c r="E309" s="7">
        <v>1064.3499999999999</v>
      </c>
      <c r="F309">
        <v>2176124</v>
      </c>
      <c r="G309" s="8">
        <f t="shared" si="40"/>
        <v>1064.2</v>
      </c>
      <c r="H309" s="9">
        <f t="shared" si="41"/>
        <v>2315831160.8000002</v>
      </c>
      <c r="I309" s="9">
        <f t="shared" si="44"/>
        <v>16333352534.166668</v>
      </c>
      <c r="J309" s="9">
        <f t="shared" si="45"/>
        <v>15059564</v>
      </c>
      <c r="K309" s="21">
        <f t="shared" si="46"/>
        <v>1084.5833607245647</v>
      </c>
      <c r="L309" s="4" t="str">
        <f t="shared" si="42"/>
        <v>SELL</v>
      </c>
      <c r="M309" s="4">
        <f t="shared" si="47"/>
        <v>0</v>
      </c>
      <c r="N309" s="4">
        <f t="shared" si="43"/>
        <v>-1</v>
      </c>
      <c r="O309" s="4">
        <f t="shared" si="48"/>
        <v>1098</v>
      </c>
      <c r="P309" s="4">
        <f t="shared" si="49"/>
        <v>0</v>
      </c>
    </row>
    <row r="310" spans="1:16" x14ac:dyDescent="0.25">
      <c r="A310" s="1">
        <v>41710</v>
      </c>
      <c r="B310">
        <v>1071</v>
      </c>
      <c r="C310">
        <v>1095.55</v>
      </c>
      <c r="D310">
        <v>1070</v>
      </c>
      <c r="E310" s="7">
        <v>1093.4000000000001</v>
      </c>
      <c r="F310">
        <v>1547417</v>
      </c>
      <c r="G310" s="8">
        <f t="shared" si="40"/>
        <v>1086.3166666666668</v>
      </c>
      <c r="H310" s="9">
        <f t="shared" si="41"/>
        <v>1680984877.3833337</v>
      </c>
      <c r="I310" s="9">
        <f t="shared" si="44"/>
        <v>16975581053.516668</v>
      </c>
      <c r="J310" s="9">
        <f t="shared" si="45"/>
        <v>15671319</v>
      </c>
      <c r="K310" s="21">
        <f t="shared" si="46"/>
        <v>1083.22605477667</v>
      </c>
      <c r="L310" s="4" t="str">
        <f t="shared" si="42"/>
        <v>BUY</v>
      </c>
      <c r="M310" s="4" t="str">
        <f t="shared" si="47"/>
        <v>BUY</v>
      </c>
      <c r="N310" s="4">
        <f t="shared" si="43"/>
        <v>1</v>
      </c>
      <c r="O310" s="4">
        <f t="shared" si="48"/>
        <v>1093.4000000000001</v>
      </c>
      <c r="P310" s="4">
        <f t="shared" si="49"/>
        <v>4.1894353369762377E-3</v>
      </c>
    </row>
    <row r="311" spans="1:16" x14ac:dyDescent="0.25">
      <c r="A311" s="1">
        <v>41711</v>
      </c>
      <c r="B311">
        <v>1116.8499999999999</v>
      </c>
      <c r="C311">
        <v>1128.5</v>
      </c>
      <c r="D311">
        <v>1103.75</v>
      </c>
      <c r="E311" s="7">
        <v>1119.6500000000001</v>
      </c>
      <c r="F311">
        <v>2073217</v>
      </c>
      <c r="G311" s="8">
        <f t="shared" si="40"/>
        <v>1117.3</v>
      </c>
      <c r="H311" s="9">
        <f t="shared" si="41"/>
        <v>2316405354.0999999</v>
      </c>
      <c r="I311" s="9">
        <f t="shared" si="44"/>
        <v>16582732556.700001</v>
      </c>
      <c r="J311" s="9">
        <f t="shared" si="45"/>
        <v>15238095</v>
      </c>
      <c r="K311" s="21">
        <f t="shared" si="46"/>
        <v>1088.2418410372163</v>
      </c>
      <c r="L311" s="4" t="str">
        <f t="shared" si="42"/>
        <v>BUY</v>
      </c>
      <c r="M311" s="4">
        <f t="shared" si="47"/>
        <v>0</v>
      </c>
      <c r="N311" s="4">
        <f t="shared" si="43"/>
        <v>1</v>
      </c>
      <c r="O311" s="4">
        <f t="shared" si="48"/>
        <v>1093.4000000000001</v>
      </c>
      <c r="P311" s="4">
        <f t="shared" si="49"/>
        <v>0</v>
      </c>
    </row>
    <row r="312" spans="1:16" x14ac:dyDescent="0.25">
      <c r="A312" s="1">
        <v>41712</v>
      </c>
      <c r="B312">
        <v>1123.8499999999999</v>
      </c>
      <c r="C312">
        <v>1126.7</v>
      </c>
      <c r="D312">
        <v>1108</v>
      </c>
      <c r="E312" s="7">
        <v>1119.9000000000001</v>
      </c>
      <c r="F312">
        <v>1124321</v>
      </c>
      <c r="G312" s="8">
        <f t="shared" si="40"/>
        <v>1118.2</v>
      </c>
      <c r="H312" s="9">
        <f t="shared" si="41"/>
        <v>1257215742.2</v>
      </c>
      <c r="I312" s="9">
        <f t="shared" si="44"/>
        <v>16075975796.716667</v>
      </c>
      <c r="J312" s="9">
        <f t="shared" si="45"/>
        <v>14738107</v>
      </c>
      <c r="K312" s="21">
        <f t="shared" si="46"/>
        <v>1090.7761625503647</v>
      </c>
      <c r="L312" s="4" t="str">
        <f t="shared" si="42"/>
        <v>BUY</v>
      </c>
      <c r="M312" s="4">
        <f t="shared" si="47"/>
        <v>0</v>
      </c>
      <c r="N312" s="4">
        <f t="shared" si="43"/>
        <v>1</v>
      </c>
      <c r="O312" s="4">
        <f t="shared" si="48"/>
        <v>1093.4000000000001</v>
      </c>
      <c r="P312" s="4">
        <f t="shared" si="49"/>
        <v>0</v>
      </c>
    </row>
    <row r="313" spans="1:16" x14ac:dyDescent="0.25">
      <c r="A313" s="1">
        <v>41715</v>
      </c>
      <c r="B313">
        <v>1120</v>
      </c>
      <c r="C313">
        <v>1151.9000000000001</v>
      </c>
      <c r="D313">
        <v>1119.1500000000001</v>
      </c>
      <c r="E313" s="7">
        <v>1138.7</v>
      </c>
      <c r="F313">
        <v>1579794</v>
      </c>
      <c r="G313" s="8">
        <f t="shared" si="40"/>
        <v>1136.5833333333333</v>
      </c>
      <c r="H313" s="9">
        <f t="shared" si="41"/>
        <v>1795567530.4999998</v>
      </c>
      <c r="I313" s="9">
        <f t="shared" si="44"/>
        <v>16022936380.350002</v>
      </c>
      <c r="J313" s="9">
        <f t="shared" si="45"/>
        <v>14611967</v>
      </c>
      <c r="K313" s="21">
        <f t="shared" si="46"/>
        <v>1096.5625901256144</v>
      </c>
      <c r="L313" s="4" t="str">
        <f t="shared" si="42"/>
        <v>BUY</v>
      </c>
      <c r="M313" s="4">
        <f t="shared" si="47"/>
        <v>0</v>
      </c>
      <c r="N313" s="4">
        <f t="shared" si="43"/>
        <v>1</v>
      </c>
      <c r="O313" s="4">
        <f t="shared" si="48"/>
        <v>1093.4000000000001</v>
      </c>
      <c r="P313" s="4">
        <f t="shared" si="49"/>
        <v>0</v>
      </c>
    </row>
    <row r="314" spans="1:16" x14ac:dyDescent="0.25">
      <c r="A314" s="1">
        <v>41716</v>
      </c>
      <c r="B314">
        <v>1148</v>
      </c>
      <c r="C314">
        <v>1164</v>
      </c>
      <c r="D314">
        <v>1144.9000000000001</v>
      </c>
      <c r="E314" s="7">
        <v>1151.95</v>
      </c>
      <c r="F314">
        <v>1147385</v>
      </c>
      <c r="G314" s="8">
        <f t="shared" si="40"/>
        <v>1153.6166666666668</v>
      </c>
      <c r="H314" s="9">
        <f t="shared" si="41"/>
        <v>1323642459.0833335</v>
      </c>
      <c r="I314" s="9">
        <f t="shared" si="44"/>
        <v>15860604241.216669</v>
      </c>
      <c r="J314" s="9">
        <f t="shared" si="45"/>
        <v>14420415</v>
      </c>
      <c r="K314" s="21">
        <f t="shared" si="46"/>
        <v>1099.8715530181807</v>
      </c>
      <c r="L314" s="4" t="str">
        <f t="shared" si="42"/>
        <v>BUY</v>
      </c>
      <c r="M314" s="4">
        <f t="shared" si="47"/>
        <v>0</v>
      </c>
      <c r="N314" s="4">
        <f t="shared" si="43"/>
        <v>1</v>
      </c>
      <c r="O314" s="4">
        <f t="shared" si="48"/>
        <v>1093.4000000000001</v>
      </c>
      <c r="P314" s="4">
        <f t="shared" si="49"/>
        <v>0</v>
      </c>
    </row>
    <row r="315" spans="1:16" x14ac:dyDescent="0.25">
      <c r="A315" s="1">
        <v>41717</v>
      </c>
      <c r="B315">
        <v>1152</v>
      </c>
      <c r="C315">
        <v>1198</v>
      </c>
      <c r="D315">
        <v>1152</v>
      </c>
      <c r="E315" s="7">
        <v>1183.9000000000001</v>
      </c>
      <c r="F315">
        <v>3697063</v>
      </c>
      <c r="G315" s="8">
        <f t="shared" si="40"/>
        <v>1177.9666666666667</v>
      </c>
      <c r="H315" s="9">
        <f t="shared" si="41"/>
        <v>4355016978.5666666</v>
      </c>
      <c r="I315" s="9">
        <f t="shared" si="44"/>
        <v>19081492490.76667</v>
      </c>
      <c r="J315" s="9">
        <f t="shared" si="45"/>
        <v>17089427</v>
      </c>
      <c r="K315" s="21">
        <f t="shared" si="46"/>
        <v>1116.5671318743846</v>
      </c>
      <c r="L315" s="4" t="str">
        <f t="shared" si="42"/>
        <v>BUY</v>
      </c>
      <c r="M315" s="4">
        <f t="shared" si="47"/>
        <v>0</v>
      </c>
      <c r="N315" s="4">
        <f t="shared" si="43"/>
        <v>1</v>
      </c>
      <c r="O315" s="4">
        <f t="shared" si="48"/>
        <v>1093.4000000000001</v>
      </c>
      <c r="P315" s="4">
        <f t="shared" si="49"/>
        <v>0</v>
      </c>
    </row>
    <row r="316" spans="1:16" x14ac:dyDescent="0.25">
      <c r="A316" s="1">
        <v>41718</v>
      </c>
      <c r="B316">
        <v>1185</v>
      </c>
      <c r="C316">
        <v>1198.75</v>
      </c>
      <c r="D316">
        <v>1172.55</v>
      </c>
      <c r="E316" s="7">
        <v>1180.1500000000001</v>
      </c>
      <c r="F316">
        <v>899812</v>
      </c>
      <c r="G316" s="8">
        <f t="shared" si="40"/>
        <v>1183.8166666666668</v>
      </c>
      <c r="H316" s="9">
        <f t="shared" si="41"/>
        <v>1065212442.4666668</v>
      </c>
      <c r="I316" s="9">
        <f t="shared" si="44"/>
        <v>18942312672.933334</v>
      </c>
      <c r="J316" s="9">
        <f t="shared" si="45"/>
        <v>16883565</v>
      </c>
      <c r="K316" s="21">
        <f t="shared" si="46"/>
        <v>1121.9379718047305</v>
      </c>
      <c r="L316" s="4" t="str">
        <f t="shared" si="42"/>
        <v>BUY</v>
      </c>
      <c r="M316" s="4">
        <f t="shared" si="47"/>
        <v>0</v>
      </c>
      <c r="N316" s="4">
        <f t="shared" si="43"/>
        <v>1</v>
      </c>
      <c r="O316" s="4">
        <f t="shared" si="48"/>
        <v>1093.4000000000001</v>
      </c>
      <c r="P316" s="4">
        <f t="shared" si="49"/>
        <v>0</v>
      </c>
    </row>
    <row r="317" spans="1:16" x14ac:dyDescent="0.25">
      <c r="A317" s="1">
        <v>41719</v>
      </c>
      <c r="B317">
        <v>1185</v>
      </c>
      <c r="C317">
        <v>1216</v>
      </c>
      <c r="D317">
        <v>1184</v>
      </c>
      <c r="E317" s="7">
        <v>1213.2</v>
      </c>
      <c r="F317">
        <v>1155808</v>
      </c>
      <c r="G317" s="8">
        <f t="shared" si="40"/>
        <v>1204.3999999999999</v>
      </c>
      <c r="H317" s="9">
        <f t="shared" si="41"/>
        <v>1392055155.1999998</v>
      </c>
      <c r="I317" s="9">
        <f t="shared" si="44"/>
        <v>18924948196.133335</v>
      </c>
      <c r="J317" s="9">
        <f t="shared" si="45"/>
        <v>16729828</v>
      </c>
      <c r="K317" s="21">
        <f t="shared" si="46"/>
        <v>1131.2099679765588</v>
      </c>
      <c r="L317" s="4" t="str">
        <f t="shared" si="42"/>
        <v>BUY</v>
      </c>
      <c r="M317" s="4">
        <f t="shared" si="47"/>
        <v>0</v>
      </c>
      <c r="N317" s="4">
        <f t="shared" si="43"/>
        <v>1</v>
      </c>
      <c r="O317" s="4">
        <f t="shared" si="48"/>
        <v>1093.4000000000001</v>
      </c>
      <c r="P317" s="4">
        <f t="shared" si="49"/>
        <v>0</v>
      </c>
    </row>
    <row r="318" spans="1:16" x14ac:dyDescent="0.25">
      <c r="A318" s="1">
        <v>41722</v>
      </c>
      <c r="B318">
        <v>1215.05</v>
      </c>
      <c r="C318">
        <v>1243.95</v>
      </c>
      <c r="D318">
        <v>1203.75</v>
      </c>
      <c r="E318" s="7">
        <v>1239.8499999999999</v>
      </c>
      <c r="F318">
        <v>1445507</v>
      </c>
      <c r="G318" s="8">
        <f t="shared" si="40"/>
        <v>1229.1833333333332</v>
      </c>
      <c r="H318" s="9">
        <f t="shared" si="41"/>
        <v>1776793112.6166663</v>
      </c>
      <c r="I318" s="9">
        <f t="shared" si="44"/>
        <v>19278724812.916668</v>
      </c>
      <c r="J318" s="9">
        <f t="shared" si="45"/>
        <v>16846448</v>
      </c>
      <c r="K318" s="21">
        <f t="shared" si="46"/>
        <v>1144.3792075882504</v>
      </c>
      <c r="L318" s="4" t="str">
        <f t="shared" si="42"/>
        <v>BUY</v>
      </c>
      <c r="M318" s="4">
        <f t="shared" si="47"/>
        <v>0</v>
      </c>
      <c r="N318" s="4">
        <f t="shared" si="43"/>
        <v>1</v>
      </c>
      <c r="O318" s="4">
        <f t="shared" si="48"/>
        <v>1093.4000000000001</v>
      </c>
      <c r="P318" s="4">
        <f t="shared" si="49"/>
        <v>0</v>
      </c>
    </row>
    <row r="319" spans="1:16" x14ac:dyDescent="0.25">
      <c r="A319" s="1">
        <v>41723</v>
      </c>
      <c r="B319">
        <v>1239</v>
      </c>
      <c r="C319">
        <v>1246.95</v>
      </c>
      <c r="D319">
        <v>1214.1500000000001</v>
      </c>
      <c r="E319" s="7">
        <v>1221.8499999999999</v>
      </c>
      <c r="F319">
        <v>1211176</v>
      </c>
      <c r="G319" s="8">
        <f t="shared" si="40"/>
        <v>1227.6500000000001</v>
      </c>
      <c r="H319" s="9">
        <f t="shared" si="41"/>
        <v>1486900216.4000001</v>
      </c>
      <c r="I319" s="9">
        <f t="shared" si="44"/>
        <v>18449793868.516666</v>
      </c>
      <c r="J319" s="9">
        <f t="shared" si="45"/>
        <v>15881500</v>
      </c>
      <c r="K319" s="21">
        <f t="shared" si="46"/>
        <v>1161.7160764736748</v>
      </c>
      <c r="L319" s="4" t="str">
        <f t="shared" si="42"/>
        <v>BUY</v>
      </c>
      <c r="M319" s="4">
        <f t="shared" si="47"/>
        <v>0</v>
      </c>
      <c r="N319" s="4">
        <f t="shared" si="43"/>
        <v>1</v>
      </c>
      <c r="O319" s="4">
        <f t="shared" si="48"/>
        <v>1093.4000000000001</v>
      </c>
      <c r="P319" s="4">
        <f t="shared" si="49"/>
        <v>0</v>
      </c>
    </row>
    <row r="320" spans="1:16" x14ac:dyDescent="0.25">
      <c r="A320" s="1">
        <v>41724</v>
      </c>
      <c r="B320">
        <v>1220</v>
      </c>
      <c r="C320">
        <v>1220</v>
      </c>
      <c r="D320">
        <v>1195.1500000000001</v>
      </c>
      <c r="E320" s="7">
        <v>1199.2</v>
      </c>
      <c r="F320">
        <v>1074508</v>
      </c>
      <c r="G320" s="8">
        <f t="shared" si="40"/>
        <v>1204.7833333333335</v>
      </c>
      <c r="H320" s="9">
        <f t="shared" si="41"/>
        <v>1294549329.9333336</v>
      </c>
      <c r="I320" s="9">
        <f t="shared" si="44"/>
        <v>18063358321.066669</v>
      </c>
      <c r="J320" s="9">
        <f t="shared" si="45"/>
        <v>15408591</v>
      </c>
      <c r="K320" s="21">
        <f t="shared" si="46"/>
        <v>1172.291374407087</v>
      </c>
      <c r="L320" s="4" t="str">
        <f t="shared" si="42"/>
        <v>BUY</v>
      </c>
      <c r="M320" s="4">
        <f t="shared" si="47"/>
        <v>0</v>
      </c>
      <c r="N320" s="4">
        <f t="shared" si="43"/>
        <v>1</v>
      </c>
      <c r="O320" s="4">
        <f t="shared" si="48"/>
        <v>1093.4000000000001</v>
      </c>
      <c r="P320" s="4">
        <f t="shared" si="49"/>
        <v>0</v>
      </c>
    </row>
    <row r="321" spans="1:16" x14ac:dyDescent="0.25">
      <c r="A321" s="1">
        <v>41725</v>
      </c>
      <c r="B321">
        <v>1196.9000000000001</v>
      </c>
      <c r="C321">
        <v>1214</v>
      </c>
      <c r="D321">
        <v>1184.75</v>
      </c>
      <c r="E321" s="7">
        <v>1196</v>
      </c>
      <c r="F321">
        <v>991884</v>
      </c>
      <c r="G321" s="8">
        <f t="shared" si="40"/>
        <v>1198.25</v>
      </c>
      <c r="H321" s="9">
        <f t="shared" si="41"/>
        <v>1188525003</v>
      </c>
      <c r="I321" s="9">
        <f t="shared" si="44"/>
        <v>16935477969.966667</v>
      </c>
      <c r="J321" s="9">
        <f t="shared" si="45"/>
        <v>14327258</v>
      </c>
      <c r="K321" s="21">
        <f t="shared" si="46"/>
        <v>1182.0459972150056</v>
      </c>
      <c r="L321" s="4" t="str">
        <f t="shared" si="42"/>
        <v>BUY</v>
      </c>
      <c r="M321" s="4">
        <f t="shared" si="47"/>
        <v>0</v>
      </c>
      <c r="N321" s="4">
        <f t="shared" si="43"/>
        <v>1</v>
      </c>
      <c r="O321" s="4">
        <f t="shared" si="48"/>
        <v>1093.4000000000001</v>
      </c>
      <c r="P321" s="4">
        <f t="shared" si="49"/>
        <v>0</v>
      </c>
    </row>
    <row r="322" spans="1:16" x14ac:dyDescent="0.25">
      <c r="A322" s="1">
        <v>41726</v>
      </c>
      <c r="B322">
        <v>1180.1500000000001</v>
      </c>
      <c r="C322">
        <v>1195</v>
      </c>
      <c r="D322">
        <v>1175.3</v>
      </c>
      <c r="E322" s="7">
        <v>1178.4000000000001</v>
      </c>
      <c r="F322">
        <v>1128116</v>
      </c>
      <c r="G322" s="8">
        <f t="shared" ref="G322:G385" si="50">AVERAGE(C322:E322)</f>
        <v>1182.9000000000001</v>
      </c>
      <c r="H322" s="9">
        <f t="shared" si="41"/>
        <v>1334448416.4000001</v>
      </c>
      <c r="I322" s="9">
        <f t="shared" si="44"/>
        <v>17012710644.166666</v>
      </c>
      <c r="J322" s="9">
        <f t="shared" si="45"/>
        <v>14331053</v>
      </c>
      <c r="K322" s="21">
        <f t="shared" si="46"/>
        <v>1187.1221636097966</v>
      </c>
      <c r="L322" s="4" t="str">
        <f t="shared" si="42"/>
        <v>SELL</v>
      </c>
      <c r="M322" s="4" t="str">
        <f t="shared" si="47"/>
        <v>SELL</v>
      </c>
      <c r="N322" s="4">
        <f t="shared" si="43"/>
        <v>-1</v>
      </c>
      <c r="O322" s="4">
        <f t="shared" si="48"/>
        <v>1178.4000000000001</v>
      </c>
      <c r="P322" s="4">
        <f t="shared" si="49"/>
        <v>7.7739162246204488E-2</v>
      </c>
    </row>
    <row r="323" spans="1:16" x14ac:dyDescent="0.25">
      <c r="A323" s="1">
        <v>41729</v>
      </c>
      <c r="B323">
        <v>1175</v>
      </c>
      <c r="C323">
        <v>1221.4000000000001</v>
      </c>
      <c r="D323">
        <v>1174.3</v>
      </c>
      <c r="E323" s="7">
        <v>1210.0999999999999</v>
      </c>
      <c r="F323">
        <v>1878765</v>
      </c>
      <c r="G323" s="8">
        <f t="shared" si="50"/>
        <v>1201.9333333333332</v>
      </c>
      <c r="H323" s="9">
        <f t="shared" ref="H323:H386" si="51">G323*F323</f>
        <v>2258150278.9999995</v>
      </c>
      <c r="I323" s="9">
        <f t="shared" si="44"/>
        <v>17475293392.666664</v>
      </c>
      <c r="J323" s="9">
        <f t="shared" si="45"/>
        <v>14630024</v>
      </c>
      <c r="K323" s="21">
        <f t="shared" si="46"/>
        <v>1194.4815259815475</v>
      </c>
      <c r="L323" s="4" t="str">
        <f t="shared" si="42"/>
        <v>BUY</v>
      </c>
      <c r="M323" s="4" t="str">
        <f t="shared" si="47"/>
        <v>BUY</v>
      </c>
      <c r="N323" s="4">
        <f t="shared" si="43"/>
        <v>1</v>
      </c>
      <c r="O323" s="4">
        <f t="shared" si="48"/>
        <v>1210.0999999999999</v>
      </c>
      <c r="P323" s="4">
        <f t="shared" si="49"/>
        <v>-2.6900882552613557E-2</v>
      </c>
    </row>
    <row r="324" spans="1:16" x14ac:dyDescent="0.25">
      <c r="A324" s="1">
        <v>41730</v>
      </c>
      <c r="B324">
        <v>1216.9000000000001</v>
      </c>
      <c r="C324">
        <v>1219.9000000000001</v>
      </c>
      <c r="D324">
        <v>1180</v>
      </c>
      <c r="E324" s="7">
        <v>1191.4000000000001</v>
      </c>
      <c r="F324">
        <v>3783385</v>
      </c>
      <c r="G324" s="8">
        <f t="shared" si="50"/>
        <v>1197.1000000000001</v>
      </c>
      <c r="H324" s="9">
        <f t="shared" si="51"/>
        <v>4529090183.500001</v>
      </c>
      <c r="I324" s="9">
        <f t="shared" si="44"/>
        <v>20680741117.083336</v>
      </c>
      <c r="J324" s="9">
        <f t="shared" si="45"/>
        <v>17266024</v>
      </c>
      <c r="K324" s="21">
        <f t="shared" si="46"/>
        <v>1197.770900647615</v>
      </c>
      <c r="L324" s="4" t="str">
        <f t="shared" si="42"/>
        <v>SELL</v>
      </c>
      <c r="M324" s="4" t="str">
        <f t="shared" si="47"/>
        <v>SELL</v>
      </c>
      <c r="N324" s="4">
        <f t="shared" si="43"/>
        <v>-1</v>
      </c>
      <c r="O324" s="4">
        <f t="shared" si="48"/>
        <v>1191.4000000000001</v>
      </c>
      <c r="P324" s="4">
        <f t="shared" si="49"/>
        <v>-1.5453268324931674E-2</v>
      </c>
    </row>
    <row r="325" spans="1:16" x14ac:dyDescent="0.25">
      <c r="A325" s="1">
        <v>41731</v>
      </c>
      <c r="B325">
        <v>1198</v>
      </c>
      <c r="C325">
        <v>1212.5</v>
      </c>
      <c r="D325">
        <v>1140.05</v>
      </c>
      <c r="E325" s="7">
        <v>1144.5999999999999</v>
      </c>
      <c r="F325">
        <v>3882727</v>
      </c>
      <c r="G325" s="8">
        <f t="shared" si="50"/>
        <v>1165.7166666666667</v>
      </c>
      <c r="H325" s="9">
        <f t="shared" si="51"/>
        <v>4526159576.0166664</v>
      </c>
      <c r="I325" s="9">
        <f t="shared" si="44"/>
        <v>20851883714.533333</v>
      </c>
      <c r="J325" s="9">
        <f t="shared" si="45"/>
        <v>17451688</v>
      </c>
      <c r="K325" s="21">
        <f t="shared" si="46"/>
        <v>1194.8347755548536</v>
      </c>
      <c r="L325" s="4" t="str">
        <f t="shared" si="42"/>
        <v>SELL</v>
      </c>
      <c r="M325" s="4">
        <f t="shared" si="47"/>
        <v>0</v>
      </c>
      <c r="N325" s="4">
        <f t="shared" si="43"/>
        <v>-1</v>
      </c>
      <c r="O325" s="4">
        <f t="shared" si="48"/>
        <v>1191.4000000000001</v>
      </c>
      <c r="P325" s="4">
        <f t="shared" si="49"/>
        <v>0</v>
      </c>
    </row>
    <row r="326" spans="1:16" x14ac:dyDescent="0.25">
      <c r="A326" s="1">
        <v>41732</v>
      </c>
      <c r="B326">
        <v>1144.5999999999999</v>
      </c>
      <c r="C326">
        <v>1169.4000000000001</v>
      </c>
      <c r="D326">
        <v>1140</v>
      </c>
      <c r="E326" s="7">
        <v>1164.7</v>
      </c>
      <c r="F326">
        <v>1560112</v>
      </c>
      <c r="G326" s="8">
        <f t="shared" si="50"/>
        <v>1158.0333333333335</v>
      </c>
      <c r="H326" s="9">
        <f t="shared" si="51"/>
        <v>1806661699.7333336</v>
      </c>
      <c r="I326" s="9">
        <f t="shared" si="44"/>
        <v>21593332971.799999</v>
      </c>
      <c r="J326" s="9">
        <f t="shared" si="45"/>
        <v>18111988</v>
      </c>
      <c r="K326" s="21">
        <f t="shared" si="46"/>
        <v>1192.2121951383801</v>
      </c>
      <c r="L326" s="4" t="str">
        <f t="shared" si="42"/>
        <v>SELL</v>
      </c>
      <c r="M326" s="4">
        <f t="shared" si="47"/>
        <v>0</v>
      </c>
      <c r="N326" s="4">
        <f t="shared" si="43"/>
        <v>-1</v>
      </c>
      <c r="O326" s="4">
        <f t="shared" si="48"/>
        <v>1191.4000000000001</v>
      </c>
      <c r="P326" s="4">
        <f t="shared" si="49"/>
        <v>0</v>
      </c>
    </row>
    <row r="327" spans="1:16" x14ac:dyDescent="0.25">
      <c r="A327" s="1">
        <v>41733</v>
      </c>
      <c r="B327">
        <v>1179.8</v>
      </c>
      <c r="C327">
        <v>1224</v>
      </c>
      <c r="D327">
        <v>1179.55</v>
      </c>
      <c r="E327" s="7">
        <v>1218.7</v>
      </c>
      <c r="F327">
        <v>2669274</v>
      </c>
      <c r="G327" s="8">
        <f t="shared" si="50"/>
        <v>1207.4166666666667</v>
      </c>
      <c r="H327" s="9">
        <f t="shared" si="51"/>
        <v>3222925915.5</v>
      </c>
      <c r="I327" s="9">
        <f t="shared" si="44"/>
        <v>23424203732.100002</v>
      </c>
      <c r="J327" s="9">
        <f t="shared" si="45"/>
        <v>19625454</v>
      </c>
      <c r="K327" s="21">
        <f t="shared" si="46"/>
        <v>1193.5623875045135</v>
      </c>
      <c r="L327" s="4" t="str">
        <f t="shared" si="42"/>
        <v>BUY</v>
      </c>
      <c r="M327" s="4" t="str">
        <f t="shared" si="47"/>
        <v>BUY</v>
      </c>
      <c r="N327" s="4">
        <f t="shared" si="43"/>
        <v>1</v>
      </c>
      <c r="O327" s="4">
        <f t="shared" si="48"/>
        <v>1218.7</v>
      </c>
      <c r="P327" s="4">
        <f t="shared" si="49"/>
        <v>-2.291421856639244E-2</v>
      </c>
    </row>
    <row r="328" spans="1:16" x14ac:dyDescent="0.25">
      <c r="A328" s="1">
        <v>41736</v>
      </c>
      <c r="B328">
        <v>1241</v>
      </c>
      <c r="C328">
        <v>1245.8</v>
      </c>
      <c r="D328">
        <v>1170.8499999999999</v>
      </c>
      <c r="E328" s="7">
        <v>1192.0999999999999</v>
      </c>
      <c r="F328">
        <v>8666984</v>
      </c>
      <c r="G328" s="8">
        <f t="shared" si="50"/>
        <v>1202.9166666666665</v>
      </c>
      <c r="H328" s="9">
        <f t="shared" si="51"/>
        <v>10425659503.333332</v>
      </c>
      <c r="I328" s="9">
        <f t="shared" si="44"/>
        <v>32073070122.816666</v>
      </c>
      <c r="J328" s="9">
        <f t="shared" si="45"/>
        <v>26846931</v>
      </c>
      <c r="K328" s="21">
        <f t="shared" si="46"/>
        <v>1194.6643034474469</v>
      </c>
      <c r="L328" s="4" t="str">
        <f t="shared" si="42"/>
        <v>SELL</v>
      </c>
      <c r="M328" s="4" t="str">
        <f t="shared" si="47"/>
        <v>SELL</v>
      </c>
      <c r="N328" s="4">
        <f t="shared" si="43"/>
        <v>-1</v>
      </c>
      <c r="O328" s="4">
        <f t="shared" si="48"/>
        <v>1192.0999999999999</v>
      </c>
      <c r="P328" s="4">
        <f t="shared" si="49"/>
        <v>-2.1826536473291323E-2</v>
      </c>
    </row>
    <row r="329" spans="1:16" x14ac:dyDescent="0.25">
      <c r="A329" s="1">
        <v>41737</v>
      </c>
      <c r="B329">
        <v>1197</v>
      </c>
      <c r="C329">
        <v>1204</v>
      </c>
      <c r="D329">
        <v>1172.6500000000001</v>
      </c>
      <c r="E329" s="7">
        <v>1197.8499999999999</v>
      </c>
      <c r="F329">
        <v>2095776</v>
      </c>
      <c r="G329" s="8">
        <f t="shared" si="50"/>
        <v>1191.5</v>
      </c>
      <c r="H329" s="9">
        <f t="shared" si="51"/>
        <v>2497117104</v>
      </c>
      <c r="I329" s="9">
        <f t="shared" si="44"/>
        <v>33083287010.416668</v>
      </c>
      <c r="J329" s="9">
        <f t="shared" si="45"/>
        <v>27731531</v>
      </c>
      <c r="K329" s="21">
        <f t="shared" si="46"/>
        <v>1192.9845132032799</v>
      </c>
      <c r="L329" s="4" t="str">
        <f t="shared" si="42"/>
        <v>BUY</v>
      </c>
      <c r="M329" s="4" t="str">
        <f t="shared" si="47"/>
        <v>BUY</v>
      </c>
      <c r="N329" s="4">
        <f t="shared" si="43"/>
        <v>1</v>
      </c>
      <c r="O329" s="4">
        <f t="shared" si="48"/>
        <v>1197.8499999999999</v>
      </c>
      <c r="P329" s="4">
        <f t="shared" si="49"/>
        <v>-4.8234208539552053E-3</v>
      </c>
    </row>
    <row r="330" spans="1:16" x14ac:dyDescent="0.25">
      <c r="A330" s="1">
        <v>41738</v>
      </c>
      <c r="B330">
        <v>1200</v>
      </c>
      <c r="C330">
        <v>1202</v>
      </c>
      <c r="D330">
        <v>1180.3499999999999</v>
      </c>
      <c r="E330" s="7">
        <v>1189</v>
      </c>
      <c r="F330">
        <v>1577623</v>
      </c>
      <c r="G330" s="8">
        <f t="shared" si="50"/>
        <v>1190.45</v>
      </c>
      <c r="H330" s="9">
        <f t="shared" si="51"/>
        <v>1878081300.3500001</v>
      </c>
      <c r="I330" s="9">
        <f t="shared" si="44"/>
        <v>33666818980.833332</v>
      </c>
      <c r="J330" s="9">
        <f t="shared" si="45"/>
        <v>28234646</v>
      </c>
      <c r="K330" s="21">
        <f t="shared" si="46"/>
        <v>1192.3938759789421</v>
      </c>
      <c r="L330" s="4" t="str">
        <f t="shared" si="42"/>
        <v>SELL</v>
      </c>
      <c r="M330" s="4" t="str">
        <f t="shared" si="47"/>
        <v>SELL</v>
      </c>
      <c r="N330" s="4">
        <f t="shared" si="43"/>
        <v>-1</v>
      </c>
      <c r="O330" s="4">
        <f t="shared" si="48"/>
        <v>1189</v>
      </c>
      <c r="P330" s="4">
        <f t="shared" si="49"/>
        <v>-7.3882372584212624E-3</v>
      </c>
    </row>
    <row r="331" spans="1:16" x14ac:dyDescent="0.25">
      <c r="A331" s="1">
        <v>41739</v>
      </c>
      <c r="B331">
        <v>1194.95</v>
      </c>
      <c r="C331">
        <v>1194.95</v>
      </c>
      <c r="D331">
        <v>1176.05</v>
      </c>
      <c r="E331" s="7">
        <v>1180.5999999999999</v>
      </c>
      <c r="F331">
        <v>887239</v>
      </c>
      <c r="G331" s="8">
        <f t="shared" si="50"/>
        <v>1183.8666666666666</v>
      </c>
      <c r="H331" s="9">
        <f t="shared" si="51"/>
        <v>1050372677.4666666</v>
      </c>
      <c r="I331" s="9">
        <f t="shared" si="44"/>
        <v>33528666655.299999</v>
      </c>
      <c r="J331" s="9">
        <f t="shared" si="45"/>
        <v>28130001</v>
      </c>
      <c r="K331" s="21">
        <f t="shared" si="46"/>
        <v>1191.9184309769487</v>
      </c>
      <c r="L331" s="4" t="str">
        <f t="shared" ref="L331:L394" si="52">IF(E331&gt;K331,"BUY",IF(E331&lt;K331,"SELL",0))</f>
        <v>SELL</v>
      </c>
      <c r="M331" s="4">
        <f t="shared" si="47"/>
        <v>0</v>
      </c>
      <c r="N331" s="4">
        <f t="shared" ref="N331:N394" si="53">IF(M331="BUY",1,IF(M331="SELL",-1,N330))</f>
        <v>-1</v>
      </c>
      <c r="O331" s="4">
        <f t="shared" si="48"/>
        <v>1189</v>
      </c>
      <c r="P331" s="4">
        <f t="shared" si="49"/>
        <v>0</v>
      </c>
    </row>
    <row r="332" spans="1:16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 s="7">
        <v>1158.6500000000001</v>
      </c>
      <c r="F332">
        <v>1423097</v>
      </c>
      <c r="G332" s="8">
        <f t="shared" si="50"/>
        <v>1165.9166666666667</v>
      </c>
      <c r="H332" s="9">
        <f t="shared" si="51"/>
        <v>1659212510.5833335</v>
      </c>
      <c r="I332" s="9">
        <f t="shared" ref="I332:I395" si="54">SUM(H323:H332)</f>
        <v>33853430749.48333</v>
      </c>
      <c r="J332" s="9">
        <f t="shared" ref="J332:J395" si="55">SUM(F323:F332)</f>
        <v>28424982</v>
      </c>
      <c r="K332" s="21">
        <f t="shared" ref="K332:K395" si="56">I332/J332</f>
        <v>1190.9745712234164</v>
      </c>
      <c r="L332" s="4" t="str">
        <f t="shared" si="52"/>
        <v>SELL</v>
      </c>
      <c r="M332" s="4">
        <f t="shared" ref="M332:M395" si="57">IF(L332&lt;&gt;L331,L332,0)</f>
        <v>0</v>
      </c>
      <c r="N332" s="4">
        <f t="shared" si="53"/>
        <v>-1</v>
      </c>
      <c r="O332" s="4">
        <f t="shared" ref="O332:O395" si="58">IF(M332&lt;&gt;0,E332,O331)</f>
        <v>1189</v>
      </c>
      <c r="P332" s="4">
        <f t="shared" ref="P332:P395" si="59">IF(M332="BUY",(O331-O332)/O331,IF(M332="SELL",(O332-O331)/O331,0))</f>
        <v>0</v>
      </c>
    </row>
    <row r="333" spans="1:16" x14ac:dyDescent="0.25">
      <c r="A333" s="1">
        <v>41743</v>
      </c>
      <c r="B333">
        <v>1172</v>
      </c>
      <c r="C333">
        <v>1172</v>
      </c>
      <c r="D333">
        <v>1150.25</v>
      </c>
      <c r="E333" s="7">
        <v>1165.6500000000001</v>
      </c>
      <c r="F333">
        <v>933348</v>
      </c>
      <c r="G333" s="8">
        <f t="shared" si="50"/>
        <v>1162.6333333333334</v>
      </c>
      <c r="H333" s="9">
        <f t="shared" si="51"/>
        <v>1085141496.4000001</v>
      </c>
      <c r="I333" s="9">
        <f t="shared" si="54"/>
        <v>32680421966.883331</v>
      </c>
      <c r="J333" s="9">
        <f t="shared" si="55"/>
        <v>27479565</v>
      </c>
      <c r="K333" s="21">
        <f t="shared" si="56"/>
        <v>1189.262710922947</v>
      </c>
      <c r="L333" s="4" t="str">
        <f t="shared" si="52"/>
        <v>SELL</v>
      </c>
      <c r="M333" s="4">
        <f t="shared" si="57"/>
        <v>0</v>
      </c>
      <c r="N333" s="4">
        <f t="shared" si="53"/>
        <v>-1</v>
      </c>
      <c r="O333" s="4">
        <f t="shared" si="58"/>
        <v>1189</v>
      </c>
      <c r="P333" s="4">
        <f t="shared" si="59"/>
        <v>0</v>
      </c>
    </row>
    <row r="334" spans="1:16" x14ac:dyDescent="0.25">
      <c r="A334" s="1">
        <v>41744</v>
      </c>
      <c r="B334">
        <v>1170</v>
      </c>
      <c r="C334">
        <v>1177.5</v>
      </c>
      <c r="D334">
        <v>1152.5</v>
      </c>
      <c r="E334" s="7">
        <v>1158.45</v>
      </c>
      <c r="F334">
        <v>771535</v>
      </c>
      <c r="G334" s="8">
        <f t="shared" si="50"/>
        <v>1162.8166666666666</v>
      </c>
      <c r="H334" s="9">
        <f t="shared" si="51"/>
        <v>897153756.91666663</v>
      </c>
      <c r="I334" s="9">
        <f t="shared" si="54"/>
        <v>29048485540.299999</v>
      </c>
      <c r="J334" s="9">
        <f t="shared" si="55"/>
        <v>24467715</v>
      </c>
      <c r="K334" s="21">
        <f t="shared" si="56"/>
        <v>1187.2169322022919</v>
      </c>
      <c r="L334" s="4" t="str">
        <f t="shared" si="52"/>
        <v>SELL</v>
      </c>
      <c r="M334" s="4">
        <f t="shared" si="57"/>
        <v>0</v>
      </c>
      <c r="N334" s="4">
        <f t="shared" si="53"/>
        <v>-1</v>
      </c>
      <c r="O334" s="4">
        <f t="shared" si="58"/>
        <v>1189</v>
      </c>
      <c r="P334" s="4">
        <f t="shared" si="59"/>
        <v>0</v>
      </c>
    </row>
    <row r="335" spans="1:16" x14ac:dyDescent="0.25">
      <c r="A335" s="1">
        <v>41745</v>
      </c>
      <c r="B335">
        <v>1162</v>
      </c>
      <c r="C335">
        <v>1162</v>
      </c>
      <c r="D335">
        <v>1131</v>
      </c>
      <c r="E335" s="7">
        <v>1138.45</v>
      </c>
      <c r="F335">
        <v>1060078</v>
      </c>
      <c r="G335" s="8">
        <f t="shared" si="50"/>
        <v>1143.8166666666666</v>
      </c>
      <c r="H335" s="9">
        <f t="shared" si="51"/>
        <v>1212534884.3666666</v>
      </c>
      <c r="I335" s="9">
        <f t="shared" si="54"/>
        <v>25734860848.649998</v>
      </c>
      <c r="J335" s="9">
        <f t="shared" si="55"/>
        <v>21645066</v>
      </c>
      <c r="K335" s="21">
        <f t="shared" si="56"/>
        <v>1188.9481348151121</v>
      </c>
      <c r="L335" s="4" t="str">
        <f t="shared" si="52"/>
        <v>SELL</v>
      </c>
      <c r="M335" s="4">
        <f t="shared" si="57"/>
        <v>0</v>
      </c>
      <c r="N335" s="4">
        <f t="shared" si="53"/>
        <v>-1</v>
      </c>
      <c r="O335" s="4">
        <f t="shared" si="58"/>
        <v>1189</v>
      </c>
      <c r="P335" s="4">
        <f t="shared" si="59"/>
        <v>0</v>
      </c>
    </row>
    <row r="336" spans="1:16" x14ac:dyDescent="0.25">
      <c r="A336" s="1">
        <v>41746</v>
      </c>
      <c r="B336">
        <v>1146</v>
      </c>
      <c r="C336">
        <v>1146</v>
      </c>
      <c r="D336">
        <v>1115.1500000000001</v>
      </c>
      <c r="E336" s="7">
        <v>1137.05</v>
      </c>
      <c r="F336">
        <v>1361467</v>
      </c>
      <c r="G336" s="8">
        <f t="shared" si="50"/>
        <v>1132.7333333333333</v>
      </c>
      <c r="H336" s="9">
        <f t="shared" si="51"/>
        <v>1542179053.1333334</v>
      </c>
      <c r="I336" s="9">
        <f t="shared" si="54"/>
        <v>25470378202.049999</v>
      </c>
      <c r="J336" s="9">
        <f t="shared" si="55"/>
        <v>21446421</v>
      </c>
      <c r="K336" s="21">
        <f t="shared" si="56"/>
        <v>1187.6283787420755</v>
      </c>
      <c r="L336" s="4" t="str">
        <f t="shared" si="52"/>
        <v>SELL</v>
      </c>
      <c r="M336" s="4">
        <f t="shared" si="57"/>
        <v>0</v>
      </c>
      <c r="N336" s="4">
        <f t="shared" si="53"/>
        <v>-1</v>
      </c>
      <c r="O336" s="4">
        <f t="shared" si="58"/>
        <v>1189</v>
      </c>
      <c r="P336" s="4">
        <f t="shared" si="59"/>
        <v>0</v>
      </c>
    </row>
    <row r="337" spans="1:16" x14ac:dyDescent="0.25">
      <c r="A337" s="1">
        <v>41747</v>
      </c>
      <c r="B337">
        <v>1145</v>
      </c>
      <c r="C337">
        <v>1145</v>
      </c>
      <c r="D337">
        <v>1108.0999999999999</v>
      </c>
      <c r="E337" s="7">
        <v>1115</v>
      </c>
      <c r="F337">
        <v>942798</v>
      </c>
      <c r="G337" s="8">
        <f t="shared" si="50"/>
        <v>1122.7</v>
      </c>
      <c r="H337" s="9">
        <f t="shared" si="51"/>
        <v>1058479314.6</v>
      </c>
      <c r="I337" s="9">
        <f t="shared" si="54"/>
        <v>23305931601.150002</v>
      </c>
      <c r="J337" s="9">
        <f t="shared" si="55"/>
        <v>19719945</v>
      </c>
      <c r="K337" s="21">
        <f t="shared" si="56"/>
        <v>1181.8456695061777</v>
      </c>
      <c r="L337" s="4" t="str">
        <f t="shared" si="52"/>
        <v>SELL</v>
      </c>
      <c r="M337" s="4">
        <f t="shared" si="57"/>
        <v>0</v>
      </c>
      <c r="N337" s="4">
        <f t="shared" si="53"/>
        <v>-1</v>
      </c>
      <c r="O337" s="4">
        <f t="shared" si="58"/>
        <v>1189</v>
      </c>
      <c r="P337" s="4">
        <f t="shared" si="59"/>
        <v>0</v>
      </c>
    </row>
    <row r="338" spans="1:16" x14ac:dyDescent="0.25">
      <c r="A338" s="1">
        <v>41750</v>
      </c>
      <c r="B338">
        <v>1120</v>
      </c>
      <c r="C338">
        <v>1153.5</v>
      </c>
      <c r="D338">
        <v>1119.75</v>
      </c>
      <c r="E338" s="7">
        <v>1148.95</v>
      </c>
      <c r="F338">
        <v>1202674</v>
      </c>
      <c r="G338" s="8">
        <f t="shared" si="50"/>
        <v>1140.7333333333333</v>
      </c>
      <c r="H338" s="9">
        <f t="shared" si="51"/>
        <v>1371930320.9333334</v>
      </c>
      <c r="I338" s="9">
        <f t="shared" si="54"/>
        <v>14252202418.75</v>
      </c>
      <c r="J338" s="9">
        <f t="shared" si="55"/>
        <v>12255635</v>
      </c>
      <c r="K338" s="21">
        <f t="shared" si="56"/>
        <v>1162.9101567360647</v>
      </c>
      <c r="L338" s="4" t="str">
        <f t="shared" si="52"/>
        <v>SELL</v>
      </c>
      <c r="M338" s="4">
        <f t="shared" si="57"/>
        <v>0</v>
      </c>
      <c r="N338" s="4">
        <f t="shared" si="53"/>
        <v>-1</v>
      </c>
      <c r="O338" s="4">
        <f t="shared" si="58"/>
        <v>1189</v>
      </c>
      <c r="P338" s="4">
        <f t="shared" si="59"/>
        <v>0</v>
      </c>
    </row>
    <row r="339" spans="1:16" x14ac:dyDescent="0.25">
      <c r="A339" s="1">
        <v>41751</v>
      </c>
      <c r="B339">
        <v>1150</v>
      </c>
      <c r="C339">
        <v>1151.95</v>
      </c>
      <c r="D339">
        <v>1124.5</v>
      </c>
      <c r="E339" s="7">
        <v>1135.55</v>
      </c>
      <c r="F339">
        <v>506116</v>
      </c>
      <c r="G339" s="8">
        <f t="shared" si="50"/>
        <v>1137.3333333333333</v>
      </c>
      <c r="H339" s="9">
        <f t="shared" si="51"/>
        <v>575622597.33333325</v>
      </c>
      <c r="I339" s="9">
        <f t="shared" si="54"/>
        <v>12330707912.083334</v>
      </c>
      <c r="J339" s="9">
        <f t="shared" si="55"/>
        <v>10665975</v>
      </c>
      <c r="K339" s="21">
        <f t="shared" si="56"/>
        <v>1156.0788312445261</v>
      </c>
      <c r="L339" s="4" t="str">
        <f t="shared" si="52"/>
        <v>SELL</v>
      </c>
      <c r="M339" s="4">
        <f t="shared" si="57"/>
        <v>0</v>
      </c>
      <c r="N339" s="4">
        <f t="shared" si="53"/>
        <v>-1</v>
      </c>
      <c r="O339" s="4">
        <f t="shared" si="58"/>
        <v>1189</v>
      </c>
      <c r="P339" s="4">
        <f t="shared" si="59"/>
        <v>0</v>
      </c>
    </row>
    <row r="340" spans="1:16" x14ac:dyDescent="0.25">
      <c r="A340" s="1">
        <v>41752</v>
      </c>
      <c r="B340">
        <v>1133</v>
      </c>
      <c r="C340">
        <v>1159.95</v>
      </c>
      <c r="D340">
        <v>1128</v>
      </c>
      <c r="E340" s="7">
        <v>1139.9000000000001</v>
      </c>
      <c r="F340">
        <v>764579</v>
      </c>
      <c r="G340" s="8">
        <f t="shared" si="50"/>
        <v>1142.6166666666666</v>
      </c>
      <c r="H340" s="9">
        <f t="shared" si="51"/>
        <v>873620708.38333321</v>
      </c>
      <c r="I340" s="9">
        <f t="shared" si="54"/>
        <v>11326247320.116669</v>
      </c>
      <c r="J340" s="9">
        <f t="shared" si="55"/>
        <v>9852931</v>
      </c>
      <c r="K340" s="21">
        <f t="shared" si="56"/>
        <v>1149.5307660346621</v>
      </c>
      <c r="L340" s="4" t="str">
        <f t="shared" si="52"/>
        <v>SELL</v>
      </c>
      <c r="M340" s="4">
        <f t="shared" si="57"/>
        <v>0</v>
      </c>
      <c r="N340" s="4">
        <f t="shared" si="53"/>
        <v>-1</v>
      </c>
      <c r="O340" s="4">
        <f t="shared" si="58"/>
        <v>1189</v>
      </c>
      <c r="P340" s="4">
        <f t="shared" si="59"/>
        <v>0</v>
      </c>
    </row>
    <row r="341" spans="1:16" x14ac:dyDescent="0.25">
      <c r="A341" s="1">
        <v>41753</v>
      </c>
      <c r="B341">
        <v>1139</v>
      </c>
      <c r="C341">
        <v>1151.7</v>
      </c>
      <c r="D341">
        <v>1126.0999999999999</v>
      </c>
      <c r="E341" s="7">
        <v>1140.25</v>
      </c>
      <c r="F341">
        <v>730335</v>
      </c>
      <c r="G341" s="8">
        <f t="shared" si="50"/>
        <v>1139.3500000000001</v>
      </c>
      <c r="H341" s="9">
        <f t="shared" si="51"/>
        <v>832107182.25000012</v>
      </c>
      <c r="I341" s="9">
        <f t="shared" si="54"/>
        <v>11107981824.900002</v>
      </c>
      <c r="J341" s="9">
        <f t="shared" si="55"/>
        <v>9696027</v>
      </c>
      <c r="K341" s="21">
        <f t="shared" si="56"/>
        <v>1145.621998051367</v>
      </c>
      <c r="L341" s="4" t="str">
        <f t="shared" si="52"/>
        <v>SELL</v>
      </c>
      <c r="M341" s="4">
        <f t="shared" si="57"/>
        <v>0</v>
      </c>
      <c r="N341" s="4">
        <f t="shared" si="53"/>
        <v>-1</v>
      </c>
      <c r="O341" s="4">
        <f t="shared" si="58"/>
        <v>1189</v>
      </c>
      <c r="P341" s="4">
        <f t="shared" si="59"/>
        <v>0</v>
      </c>
    </row>
    <row r="342" spans="1:16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 s="7">
        <v>1111.75</v>
      </c>
      <c r="F342">
        <v>1270229</v>
      </c>
      <c r="G342" s="8">
        <f t="shared" si="50"/>
        <v>1118</v>
      </c>
      <c r="H342" s="9">
        <f t="shared" si="51"/>
        <v>1420116022</v>
      </c>
      <c r="I342" s="9">
        <f t="shared" si="54"/>
        <v>10868885336.316666</v>
      </c>
      <c r="J342" s="9">
        <f t="shared" si="55"/>
        <v>9543159</v>
      </c>
      <c r="K342" s="21">
        <f t="shared" si="56"/>
        <v>1138.9190242263244</v>
      </c>
      <c r="L342" s="4" t="str">
        <f t="shared" si="52"/>
        <v>SELL</v>
      </c>
      <c r="M342" s="4">
        <f t="shared" si="57"/>
        <v>0</v>
      </c>
      <c r="N342" s="4">
        <f t="shared" si="53"/>
        <v>-1</v>
      </c>
      <c r="O342" s="4">
        <f t="shared" si="58"/>
        <v>1189</v>
      </c>
      <c r="P342" s="4">
        <f t="shared" si="59"/>
        <v>0</v>
      </c>
    </row>
    <row r="343" spans="1:16" x14ac:dyDescent="0.25">
      <c r="A343" s="1">
        <v>41757</v>
      </c>
      <c r="B343">
        <v>1112</v>
      </c>
      <c r="C343">
        <v>1142.3</v>
      </c>
      <c r="D343">
        <v>1112</v>
      </c>
      <c r="E343" s="7">
        <v>1127.0999999999999</v>
      </c>
      <c r="F343">
        <v>1182744</v>
      </c>
      <c r="G343" s="8">
        <f t="shared" si="50"/>
        <v>1127.1333333333334</v>
      </c>
      <c r="H343" s="9">
        <f t="shared" si="51"/>
        <v>1333110187.2</v>
      </c>
      <c r="I343" s="9">
        <f t="shared" si="54"/>
        <v>11116854027.116669</v>
      </c>
      <c r="J343" s="9">
        <f t="shared" si="55"/>
        <v>9792555</v>
      </c>
      <c r="K343" s="21">
        <f t="shared" si="56"/>
        <v>1135.2352912101765</v>
      </c>
      <c r="L343" s="4" t="str">
        <f t="shared" si="52"/>
        <v>SELL</v>
      </c>
      <c r="M343" s="4">
        <f t="shared" si="57"/>
        <v>0</v>
      </c>
      <c r="N343" s="4">
        <f t="shared" si="53"/>
        <v>-1</v>
      </c>
      <c r="O343" s="4">
        <f t="shared" si="58"/>
        <v>1189</v>
      </c>
      <c r="P343" s="4">
        <f t="shared" si="59"/>
        <v>0</v>
      </c>
    </row>
    <row r="344" spans="1:16" x14ac:dyDescent="0.25">
      <c r="A344" s="1">
        <v>41758</v>
      </c>
      <c r="B344">
        <v>1121</v>
      </c>
      <c r="C344">
        <v>1147.4000000000001</v>
      </c>
      <c r="D344">
        <v>1120</v>
      </c>
      <c r="E344" s="7">
        <v>1131.0999999999999</v>
      </c>
      <c r="F344">
        <v>1113684</v>
      </c>
      <c r="G344" s="8">
        <f t="shared" si="50"/>
        <v>1132.8333333333333</v>
      </c>
      <c r="H344" s="9">
        <f t="shared" si="51"/>
        <v>1261618358</v>
      </c>
      <c r="I344" s="9">
        <f t="shared" si="54"/>
        <v>11481318628.200001</v>
      </c>
      <c r="J344" s="9">
        <f t="shared" si="55"/>
        <v>10134704</v>
      </c>
      <c r="K344" s="21">
        <f t="shared" si="56"/>
        <v>1132.871628830995</v>
      </c>
      <c r="L344" s="4" t="str">
        <f t="shared" si="52"/>
        <v>SELL</v>
      </c>
      <c r="M344" s="4">
        <f t="shared" si="57"/>
        <v>0</v>
      </c>
      <c r="N344" s="4">
        <f t="shared" si="53"/>
        <v>-1</v>
      </c>
      <c r="O344" s="4">
        <f t="shared" si="58"/>
        <v>1189</v>
      </c>
      <c r="P344" s="4">
        <f t="shared" si="59"/>
        <v>0</v>
      </c>
    </row>
    <row r="345" spans="1:16" x14ac:dyDescent="0.25">
      <c r="A345" s="1">
        <v>41759</v>
      </c>
      <c r="B345">
        <v>1122.05</v>
      </c>
      <c r="C345">
        <v>1149.2</v>
      </c>
      <c r="D345">
        <v>1122.05</v>
      </c>
      <c r="E345" s="7">
        <v>1141.7</v>
      </c>
      <c r="F345">
        <v>695707</v>
      </c>
      <c r="G345" s="8">
        <f t="shared" si="50"/>
        <v>1137.6499999999999</v>
      </c>
      <c r="H345" s="9">
        <f t="shared" si="51"/>
        <v>791471068.54999995</v>
      </c>
      <c r="I345" s="9">
        <f t="shared" si="54"/>
        <v>11060254812.383333</v>
      </c>
      <c r="J345" s="9">
        <f t="shared" si="55"/>
        <v>9770333</v>
      </c>
      <c r="K345" s="21">
        <f t="shared" si="56"/>
        <v>1132.0243447570654</v>
      </c>
      <c r="L345" s="4" t="str">
        <f t="shared" si="52"/>
        <v>BUY</v>
      </c>
      <c r="M345" s="4" t="str">
        <f t="shared" si="57"/>
        <v>BUY</v>
      </c>
      <c r="N345" s="4">
        <f t="shared" si="53"/>
        <v>1</v>
      </c>
      <c r="O345" s="4">
        <f t="shared" si="58"/>
        <v>1141.7</v>
      </c>
      <c r="P345" s="4">
        <f t="shared" si="59"/>
        <v>3.9781328847771198E-2</v>
      </c>
    </row>
    <row r="346" spans="1:16" x14ac:dyDescent="0.25">
      <c r="A346" s="1">
        <v>41760</v>
      </c>
      <c r="B346">
        <v>1142.25</v>
      </c>
      <c r="C346">
        <v>1161.5</v>
      </c>
      <c r="D346">
        <v>1142.25</v>
      </c>
      <c r="E346" s="7">
        <v>1155.05</v>
      </c>
      <c r="F346">
        <v>1112590</v>
      </c>
      <c r="G346" s="8">
        <f t="shared" si="50"/>
        <v>1152.9333333333334</v>
      </c>
      <c r="H346" s="9">
        <f t="shared" si="51"/>
        <v>1282742097.3333335</v>
      </c>
      <c r="I346" s="9">
        <f t="shared" si="54"/>
        <v>10800817856.583334</v>
      </c>
      <c r="J346" s="9">
        <f t="shared" si="55"/>
        <v>9521456</v>
      </c>
      <c r="K346" s="21">
        <f t="shared" si="56"/>
        <v>1134.3661995164746</v>
      </c>
      <c r="L346" s="4" t="str">
        <f t="shared" si="52"/>
        <v>BUY</v>
      </c>
      <c r="M346" s="4">
        <f t="shared" si="57"/>
        <v>0</v>
      </c>
      <c r="N346" s="4">
        <f t="shared" si="53"/>
        <v>1</v>
      </c>
      <c r="O346" s="4">
        <f t="shared" si="58"/>
        <v>1141.7</v>
      </c>
      <c r="P346" s="4">
        <f t="shared" si="59"/>
        <v>0</v>
      </c>
    </row>
    <row r="347" spans="1:16" x14ac:dyDescent="0.25">
      <c r="A347" s="1">
        <v>41761</v>
      </c>
      <c r="B347">
        <v>1165</v>
      </c>
      <c r="C347">
        <v>1170</v>
      </c>
      <c r="D347">
        <v>1156</v>
      </c>
      <c r="E347" s="7">
        <v>1164.8499999999999</v>
      </c>
      <c r="F347">
        <v>1025461</v>
      </c>
      <c r="G347" s="8">
        <f t="shared" si="50"/>
        <v>1163.6166666666666</v>
      </c>
      <c r="H347" s="9">
        <f t="shared" si="51"/>
        <v>1193243510.6166666</v>
      </c>
      <c r="I347" s="9">
        <f t="shared" si="54"/>
        <v>10935582052.6</v>
      </c>
      <c r="J347" s="9">
        <f t="shared" si="55"/>
        <v>9604119</v>
      </c>
      <c r="K347" s="21">
        <f t="shared" si="56"/>
        <v>1138.6345850775069</v>
      </c>
      <c r="L347" s="4" t="str">
        <f t="shared" si="52"/>
        <v>BUY</v>
      </c>
      <c r="M347" s="4">
        <f t="shared" si="57"/>
        <v>0</v>
      </c>
      <c r="N347" s="4">
        <f t="shared" si="53"/>
        <v>1</v>
      </c>
      <c r="O347" s="4">
        <f t="shared" si="58"/>
        <v>1141.7</v>
      </c>
      <c r="P347" s="4">
        <f t="shared" si="59"/>
        <v>0</v>
      </c>
    </row>
    <row r="348" spans="1:16" x14ac:dyDescent="0.25">
      <c r="A348" s="1">
        <v>41764</v>
      </c>
      <c r="B348">
        <v>1173.75</v>
      </c>
      <c r="C348">
        <v>1183.4000000000001</v>
      </c>
      <c r="D348">
        <v>1163.25</v>
      </c>
      <c r="E348" s="7">
        <v>1175</v>
      </c>
      <c r="F348">
        <v>1025300</v>
      </c>
      <c r="G348" s="8">
        <f t="shared" si="50"/>
        <v>1173.8833333333334</v>
      </c>
      <c r="H348" s="9">
        <f t="shared" si="51"/>
        <v>1203582581.6666667</v>
      </c>
      <c r="I348" s="9">
        <f t="shared" si="54"/>
        <v>10767234313.333334</v>
      </c>
      <c r="J348" s="9">
        <f t="shared" si="55"/>
        <v>9426745</v>
      </c>
      <c r="K348" s="21">
        <f t="shared" si="56"/>
        <v>1142.200654980413</v>
      </c>
      <c r="L348" s="4" t="str">
        <f t="shared" si="52"/>
        <v>BUY</v>
      </c>
      <c r="M348" s="4">
        <f t="shared" si="57"/>
        <v>0</v>
      </c>
      <c r="N348" s="4">
        <f t="shared" si="53"/>
        <v>1</v>
      </c>
      <c r="O348" s="4">
        <f t="shared" si="58"/>
        <v>1141.7</v>
      </c>
      <c r="P348" s="4">
        <f t="shared" si="59"/>
        <v>0</v>
      </c>
    </row>
    <row r="349" spans="1:16" x14ac:dyDescent="0.25">
      <c r="A349" s="1">
        <v>41765</v>
      </c>
      <c r="B349">
        <v>1164</v>
      </c>
      <c r="C349">
        <v>1170.5</v>
      </c>
      <c r="D349">
        <v>1150</v>
      </c>
      <c r="E349" s="7">
        <v>1166.55</v>
      </c>
      <c r="F349">
        <v>1008642</v>
      </c>
      <c r="G349" s="8">
        <f t="shared" si="50"/>
        <v>1162.3500000000001</v>
      </c>
      <c r="H349" s="9">
        <f t="shared" si="51"/>
        <v>1172395028.7</v>
      </c>
      <c r="I349" s="9">
        <f t="shared" si="54"/>
        <v>11364006744.700001</v>
      </c>
      <c r="J349" s="9">
        <f t="shared" si="55"/>
        <v>9929271</v>
      </c>
      <c r="K349" s="21">
        <f t="shared" si="56"/>
        <v>1144.4955772382484</v>
      </c>
      <c r="L349" s="4" t="str">
        <f t="shared" si="52"/>
        <v>BUY</v>
      </c>
      <c r="M349" s="4">
        <f t="shared" si="57"/>
        <v>0</v>
      </c>
      <c r="N349" s="4">
        <f t="shared" si="53"/>
        <v>1</v>
      </c>
      <c r="O349" s="4">
        <f t="shared" si="58"/>
        <v>1141.7</v>
      </c>
      <c r="P349" s="4">
        <f t="shared" si="59"/>
        <v>0</v>
      </c>
    </row>
    <row r="350" spans="1:16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 s="7">
        <v>1149.9000000000001</v>
      </c>
      <c r="F350">
        <v>840997</v>
      </c>
      <c r="G350" s="8">
        <f t="shared" si="50"/>
        <v>1153.95</v>
      </c>
      <c r="H350" s="9">
        <f t="shared" si="51"/>
        <v>970468488.1500001</v>
      </c>
      <c r="I350" s="9">
        <f t="shared" si="54"/>
        <v>11460854524.466667</v>
      </c>
      <c r="J350" s="9">
        <f t="shared" si="55"/>
        <v>10005689</v>
      </c>
      <c r="K350" s="21">
        <f t="shared" si="56"/>
        <v>1145.4338151492284</v>
      </c>
      <c r="L350" s="4" t="str">
        <f t="shared" si="52"/>
        <v>BUY</v>
      </c>
      <c r="M350" s="4">
        <f t="shared" si="57"/>
        <v>0</v>
      </c>
      <c r="N350" s="4">
        <f t="shared" si="53"/>
        <v>1</v>
      </c>
      <c r="O350" s="4">
        <f t="shared" si="58"/>
        <v>1141.7</v>
      </c>
      <c r="P350" s="4">
        <f t="shared" si="59"/>
        <v>0</v>
      </c>
    </row>
    <row r="351" spans="1:16" x14ac:dyDescent="0.25">
      <c r="A351" s="1">
        <v>41767</v>
      </c>
      <c r="B351">
        <v>1149.0999999999999</v>
      </c>
      <c r="C351">
        <v>1149.9000000000001</v>
      </c>
      <c r="D351">
        <v>1120</v>
      </c>
      <c r="E351" s="7">
        <v>1128.5999999999999</v>
      </c>
      <c r="F351">
        <v>933735</v>
      </c>
      <c r="G351" s="8">
        <f t="shared" si="50"/>
        <v>1132.8333333333333</v>
      </c>
      <c r="H351" s="9">
        <f t="shared" si="51"/>
        <v>1057766132.4999999</v>
      </c>
      <c r="I351" s="9">
        <f t="shared" si="54"/>
        <v>11686513474.716667</v>
      </c>
      <c r="J351" s="9">
        <f t="shared" si="55"/>
        <v>10209089</v>
      </c>
      <c r="K351" s="21">
        <f t="shared" si="56"/>
        <v>1144.7165829112341</v>
      </c>
      <c r="L351" s="4" t="str">
        <f t="shared" si="52"/>
        <v>SELL</v>
      </c>
      <c r="M351" s="4" t="str">
        <f t="shared" si="57"/>
        <v>SELL</v>
      </c>
      <c r="N351" s="4">
        <f t="shared" si="53"/>
        <v>-1</v>
      </c>
      <c r="O351" s="4">
        <f t="shared" si="58"/>
        <v>1128.5999999999999</v>
      </c>
      <c r="P351" s="4">
        <f t="shared" si="59"/>
        <v>-1.1474117544013432E-2</v>
      </c>
    </row>
    <row r="352" spans="1:16" x14ac:dyDescent="0.25">
      <c r="A352" s="1">
        <v>41768</v>
      </c>
      <c r="B352">
        <v>1139</v>
      </c>
      <c r="C352">
        <v>1143</v>
      </c>
      <c r="D352">
        <v>1120</v>
      </c>
      <c r="E352" s="7">
        <v>1135.75</v>
      </c>
      <c r="F352">
        <v>1030109</v>
      </c>
      <c r="G352" s="8">
        <f t="shared" si="50"/>
        <v>1132.9166666666667</v>
      </c>
      <c r="H352" s="9">
        <f t="shared" si="51"/>
        <v>1167027654.5833335</v>
      </c>
      <c r="I352" s="9">
        <f t="shared" si="54"/>
        <v>11433425107.300001</v>
      </c>
      <c r="J352" s="9">
        <f t="shared" si="55"/>
        <v>9968969</v>
      </c>
      <c r="K352" s="21">
        <f t="shared" si="56"/>
        <v>1146.9014606525511</v>
      </c>
      <c r="L352" s="4" t="str">
        <f t="shared" si="52"/>
        <v>SELL</v>
      </c>
      <c r="M352" s="4">
        <f t="shared" si="57"/>
        <v>0</v>
      </c>
      <c r="N352" s="4">
        <f t="shared" si="53"/>
        <v>-1</v>
      </c>
      <c r="O352" s="4">
        <f t="shared" si="58"/>
        <v>1128.5999999999999</v>
      </c>
      <c r="P352" s="4">
        <f t="shared" si="59"/>
        <v>0</v>
      </c>
    </row>
    <row r="353" spans="1:16" x14ac:dyDescent="0.25">
      <c r="A353" s="1">
        <v>41771</v>
      </c>
      <c r="B353">
        <v>1148.55</v>
      </c>
      <c r="C353">
        <v>1149.9000000000001</v>
      </c>
      <c r="D353">
        <v>1136.3</v>
      </c>
      <c r="E353" s="7">
        <v>1144.55</v>
      </c>
      <c r="F353">
        <v>643352</v>
      </c>
      <c r="G353" s="8">
        <f t="shared" si="50"/>
        <v>1143.5833333333333</v>
      </c>
      <c r="H353" s="9">
        <f t="shared" si="51"/>
        <v>735726624.66666663</v>
      </c>
      <c r="I353" s="9">
        <f t="shared" si="54"/>
        <v>10836041544.766666</v>
      </c>
      <c r="J353" s="9">
        <f t="shared" si="55"/>
        <v>9429577</v>
      </c>
      <c r="K353" s="21">
        <f t="shared" si="56"/>
        <v>1149.1545744593491</v>
      </c>
      <c r="L353" s="4" t="str">
        <f t="shared" si="52"/>
        <v>SELL</v>
      </c>
      <c r="M353" s="4">
        <f t="shared" si="57"/>
        <v>0</v>
      </c>
      <c r="N353" s="4">
        <f t="shared" si="53"/>
        <v>-1</v>
      </c>
      <c r="O353" s="4">
        <f t="shared" si="58"/>
        <v>1128.5999999999999</v>
      </c>
      <c r="P353" s="4">
        <f t="shared" si="59"/>
        <v>0</v>
      </c>
    </row>
    <row r="354" spans="1:16" x14ac:dyDescent="0.25">
      <c r="A354" s="1">
        <v>41772</v>
      </c>
      <c r="B354">
        <v>1151</v>
      </c>
      <c r="C354">
        <v>1159.95</v>
      </c>
      <c r="D354">
        <v>1142.3</v>
      </c>
      <c r="E354" s="7">
        <v>1151.95</v>
      </c>
      <c r="F354">
        <v>570434</v>
      </c>
      <c r="G354" s="8">
        <f t="shared" si="50"/>
        <v>1151.3999999999999</v>
      </c>
      <c r="H354" s="9">
        <f t="shared" si="51"/>
        <v>656797707.5999999</v>
      </c>
      <c r="I354" s="9">
        <f t="shared" si="54"/>
        <v>10231220894.366667</v>
      </c>
      <c r="J354" s="9">
        <f t="shared" si="55"/>
        <v>8886327</v>
      </c>
      <c r="K354" s="21">
        <f t="shared" si="56"/>
        <v>1151.3441824014203</v>
      </c>
      <c r="L354" s="4" t="str">
        <f t="shared" si="52"/>
        <v>BUY</v>
      </c>
      <c r="M354" s="4" t="str">
        <f t="shared" si="57"/>
        <v>BUY</v>
      </c>
      <c r="N354" s="4">
        <f t="shared" si="53"/>
        <v>1</v>
      </c>
      <c r="O354" s="4">
        <f t="shared" si="58"/>
        <v>1151.95</v>
      </c>
      <c r="P354" s="4">
        <f t="shared" si="59"/>
        <v>-2.0689349636718181E-2</v>
      </c>
    </row>
    <row r="355" spans="1:16" x14ac:dyDescent="0.25">
      <c r="A355" s="1">
        <v>41773</v>
      </c>
      <c r="B355">
        <v>1155</v>
      </c>
      <c r="C355">
        <v>1177.7</v>
      </c>
      <c r="D355">
        <v>1150.0999999999999</v>
      </c>
      <c r="E355" s="7">
        <v>1157.1500000000001</v>
      </c>
      <c r="F355">
        <v>1322077</v>
      </c>
      <c r="G355" s="8">
        <f t="shared" si="50"/>
        <v>1161.6500000000001</v>
      </c>
      <c r="H355" s="9">
        <f t="shared" si="51"/>
        <v>1535790747.0500002</v>
      </c>
      <c r="I355" s="9">
        <f t="shared" si="54"/>
        <v>10975540572.866669</v>
      </c>
      <c r="J355" s="9">
        <f t="shared" si="55"/>
        <v>9512697</v>
      </c>
      <c r="K355" s="21">
        <f t="shared" si="56"/>
        <v>1153.7780056346448</v>
      </c>
      <c r="L355" s="4" t="str">
        <f t="shared" si="52"/>
        <v>BUY</v>
      </c>
      <c r="M355" s="4">
        <f t="shared" si="57"/>
        <v>0</v>
      </c>
      <c r="N355" s="4">
        <f t="shared" si="53"/>
        <v>1</v>
      </c>
      <c r="O355" s="4">
        <f t="shared" si="58"/>
        <v>1151.95</v>
      </c>
      <c r="P355" s="4">
        <f t="shared" si="59"/>
        <v>0</v>
      </c>
    </row>
    <row r="356" spans="1:16" x14ac:dyDescent="0.25">
      <c r="A356" s="1">
        <v>41774</v>
      </c>
      <c r="B356">
        <v>1157</v>
      </c>
      <c r="C356">
        <v>1177</v>
      </c>
      <c r="D356">
        <v>1157</v>
      </c>
      <c r="E356" s="7">
        <v>1175.4000000000001</v>
      </c>
      <c r="F356">
        <v>491193</v>
      </c>
      <c r="G356" s="8">
        <f t="shared" si="50"/>
        <v>1169.8</v>
      </c>
      <c r="H356" s="9">
        <f t="shared" si="51"/>
        <v>574597571.39999998</v>
      </c>
      <c r="I356" s="9">
        <f t="shared" si="54"/>
        <v>10267396046.933332</v>
      </c>
      <c r="J356" s="9">
        <f t="shared" si="55"/>
        <v>8891300</v>
      </c>
      <c r="K356" s="21">
        <f t="shared" si="56"/>
        <v>1154.7688242364259</v>
      </c>
      <c r="L356" s="4" t="str">
        <f t="shared" si="52"/>
        <v>BUY</v>
      </c>
      <c r="M356" s="4">
        <f t="shared" si="57"/>
        <v>0</v>
      </c>
      <c r="N356" s="4">
        <f t="shared" si="53"/>
        <v>1</v>
      </c>
      <c r="O356" s="4">
        <f t="shared" si="58"/>
        <v>1151.95</v>
      </c>
      <c r="P356" s="4">
        <f t="shared" si="59"/>
        <v>0</v>
      </c>
    </row>
    <row r="357" spans="1:16" x14ac:dyDescent="0.25">
      <c r="A357" s="1">
        <v>41775</v>
      </c>
      <c r="B357">
        <v>1158.9000000000001</v>
      </c>
      <c r="C357">
        <v>1172</v>
      </c>
      <c r="D357">
        <v>1156.6500000000001</v>
      </c>
      <c r="E357" s="7">
        <v>1167.75</v>
      </c>
      <c r="F357">
        <v>848827</v>
      </c>
      <c r="G357" s="8">
        <f t="shared" si="50"/>
        <v>1165.4666666666667</v>
      </c>
      <c r="H357" s="9">
        <f t="shared" si="51"/>
        <v>989279574.26666665</v>
      </c>
      <c r="I357" s="9">
        <f t="shared" si="54"/>
        <v>10063432110.583334</v>
      </c>
      <c r="J357" s="9">
        <f t="shared" si="55"/>
        <v>8714666</v>
      </c>
      <c r="K357" s="21">
        <f t="shared" si="56"/>
        <v>1154.7696848718394</v>
      </c>
      <c r="L357" s="4" t="str">
        <f t="shared" si="52"/>
        <v>BUY</v>
      </c>
      <c r="M357" s="4">
        <f t="shared" si="57"/>
        <v>0</v>
      </c>
      <c r="N357" s="4">
        <f t="shared" si="53"/>
        <v>1</v>
      </c>
      <c r="O357" s="4">
        <f t="shared" si="58"/>
        <v>1151.95</v>
      </c>
      <c r="P357" s="4">
        <f t="shared" si="59"/>
        <v>0</v>
      </c>
    </row>
    <row r="358" spans="1:16" x14ac:dyDescent="0.25">
      <c r="A358" s="1">
        <v>41778</v>
      </c>
      <c r="B358">
        <v>1166</v>
      </c>
      <c r="C358">
        <v>1175</v>
      </c>
      <c r="D358">
        <v>1150</v>
      </c>
      <c r="E358" s="7">
        <v>1152.0999999999999</v>
      </c>
      <c r="F358">
        <v>683904</v>
      </c>
      <c r="G358" s="8">
        <f t="shared" si="50"/>
        <v>1159.0333333333333</v>
      </c>
      <c r="H358" s="9">
        <f t="shared" si="51"/>
        <v>792667532.79999995</v>
      </c>
      <c r="I358" s="9">
        <f t="shared" si="54"/>
        <v>9652517061.7166672</v>
      </c>
      <c r="J358" s="9">
        <f t="shared" si="55"/>
        <v>8373270</v>
      </c>
      <c r="K358" s="21">
        <f t="shared" si="56"/>
        <v>1152.7774766270127</v>
      </c>
      <c r="L358" s="4" t="str">
        <f t="shared" si="52"/>
        <v>SELL</v>
      </c>
      <c r="M358" s="4" t="str">
        <f t="shared" si="57"/>
        <v>SELL</v>
      </c>
      <c r="N358" s="4">
        <f t="shared" si="53"/>
        <v>-1</v>
      </c>
      <c r="O358" s="4">
        <f t="shared" si="58"/>
        <v>1152.0999999999999</v>
      </c>
      <c r="P358" s="4">
        <f t="shared" si="59"/>
        <v>1.3021398498186862E-4</v>
      </c>
    </row>
    <row r="359" spans="1:16" x14ac:dyDescent="0.25">
      <c r="A359" s="1">
        <v>41779</v>
      </c>
      <c r="B359">
        <v>1140</v>
      </c>
      <c r="C359">
        <v>1168</v>
      </c>
      <c r="D359">
        <v>1140</v>
      </c>
      <c r="E359" s="7">
        <v>1164.3499999999999</v>
      </c>
      <c r="F359">
        <v>678537</v>
      </c>
      <c r="G359" s="8">
        <f t="shared" si="50"/>
        <v>1157.45</v>
      </c>
      <c r="H359" s="9">
        <f t="shared" si="51"/>
        <v>785372650.64999998</v>
      </c>
      <c r="I359" s="9">
        <f t="shared" si="54"/>
        <v>9265494683.666666</v>
      </c>
      <c r="J359" s="9">
        <f t="shared" si="55"/>
        <v>8043165</v>
      </c>
      <c r="K359" s="21">
        <f t="shared" si="56"/>
        <v>1151.9712306867591</v>
      </c>
      <c r="L359" s="4" t="str">
        <f t="shared" si="52"/>
        <v>BUY</v>
      </c>
      <c r="M359" s="4" t="str">
        <f t="shared" si="57"/>
        <v>BUY</v>
      </c>
      <c r="N359" s="4">
        <f t="shared" si="53"/>
        <v>1</v>
      </c>
      <c r="O359" s="4">
        <f t="shared" si="58"/>
        <v>1164.3499999999999</v>
      </c>
      <c r="P359" s="4">
        <f t="shared" si="59"/>
        <v>-1.0632757573127333E-2</v>
      </c>
    </row>
    <row r="360" spans="1:16" x14ac:dyDescent="0.25">
      <c r="A360" s="1">
        <v>41780</v>
      </c>
      <c r="B360">
        <v>1163</v>
      </c>
      <c r="C360">
        <v>1183.1500000000001</v>
      </c>
      <c r="D360">
        <v>1158</v>
      </c>
      <c r="E360" s="7">
        <v>1179.3</v>
      </c>
      <c r="F360">
        <v>918721</v>
      </c>
      <c r="G360" s="8">
        <f t="shared" si="50"/>
        <v>1173.4833333333333</v>
      </c>
      <c r="H360" s="9">
        <f t="shared" si="51"/>
        <v>1078103781.4833333</v>
      </c>
      <c r="I360" s="9">
        <f t="shared" si="54"/>
        <v>9373129976.9999981</v>
      </c>
      <c r="J360" s="9">
        <f t="shared" si="55"/>
        <v>8120889</v>
      </c>
      <c r="K360" s="21">
        <f t="shared" si="56"/>
        <v>1154.1999868487303</v>
      </c>
      <c r="L360" s="4" t="str">
        <f t="shared" si="52"/>
        <v>BUY</v>
      </c>
      <c r="M360" s="4">
        <f t="shared" si="57"/>
        <v>0</v>
      </c>
      <c r="N360" s="4">
        <f t="shared" si="53"/>
        <v>1</v>
      </c>
      <c r="O360" s="4">
        <f t="shared" si="58"/>
        <v>1164.3499999999999</v>
      </c>
      <c r="P360" s="4">
        <f t="shared" si="59"/>
        <v>0</v>
      </c>
    </row>
    <row r="361" spans="1:16" x14ac:dyDescent="0.25">
      <c r="A361" s="1">
        <v>41781</v>
      </c>
      <c r="B361">
        <v>1171.9000000000001</v>
      </c>
      <c r="C361">
        <v>1185</v>
      </c>
      <c r="D361">
        <v>1163.5</v>
      </c>
      <c r="E361" s="7">
        <v>1181.4000000000001</v>
      </c>
      <c r="F361">
        <v>1063835</v>
      </c>
      <c r="G361" s="8">
        <f t="shared" si="50"/>
        <v>1176.6333333333334</v>
      </c>
      <c r="H361" s="9">
        <f t="shared" si="51"/>
        <v>1251743722.1666667</v>
      </c>
      <c r="I361" s="9">
        <f t="shared" si="54"/>
        <v>9567107566.666666</v>
      </c>
      <c r="J361" s="9">
        <f t="shared" si="55"/>
        <v>8250989</v>
      </c>
      <c r="K361" s="21">
        <f t="shared" si="56"/>
        <v>1159.510401318759</v>
      </c>
      <c r="L361" s="4" t="str">
        <f t="shared" si="52"/>
        <v>BUY</v>
      </c>
      <c r="M361" s="4">
        <f t="shared" si="57"/>
        <v>0</v>
      </c>
      <c r="N361" s="4">
        <f t="shared" si="53"/>
        <v>1</v>
      </c>
      <c r="O361" s="4">
        <f t="shared" si="58"/>
        <v>1164.3499999999999</v>
      </c>
      <c r="P361" s="4">
        <f t="shared" si="59"/>
        <v>0</v>
      </c>
    </row>
    <row r="362" spans="1:16" x14ac:dyDescent="0.25">
      <c r="A362" s="1">
        <v>41782</v>
      </c>
      <c r="B362">
        <v>1175</v>
      </c>
      <c r="C362">
        <v>1193.8</v>
      </c>
      <c r="D362">
        <v>1175</v>
      </c>
      <c r="E362" s="7">
        <v>1186.3499999999999</v>
      </c>
      <c r="F362">
        <v>1346983</v>
      </c>
      <c r="G362" s="8">
        <f t="shared" si="50"/>
        <v>1185.05</v>
      </c>
      <c r="H362" s="9">
        <f t="shared" si="51"/>
        <v>1596242204.1499999</v>
      </c>
      <c r="I362" s="9">
        <f t="shared" si="54"/>
        <v>9996322116.2333336</v>
      </c>
      <c r="J362" s="9">
        <f t="shared" si="55"/>
        <v>8567863</v>
      </c>
      <c r="K362" s="21">
        <f t="shared" si="56"/>
        <v>1166.7229175155267</v>
      </c>
      <c r="L362" s="4" t="str">
        <f t="shared" si="52"/>
        <v>BUY</v>
      </c>
      <c r="M362" s="4">
        <f t="shared" si="57"/>
        <v>0</v>
      </c>
      <c r="N362" s="4">
        <f t="shared" si="53"/>
        <v>1</v>
      </c>
      <c r="O362" s="4">
        <f t="shared" si="58"/>
        <v>1164.3499999999999</v>
      </c>
      <c r="P362" s="4">
        <f t="shared" si="59"/>
        <v>0</v>
      </c>
    </row>
    <row r="363" spans="1:16" x14ac:dyDescent="0.25">
      <c r="A363" s="1">
        <v>41785</v>
      </c>
      <c r="B363">
        <v>1186.55</v>
      </c>
      <c r="C363">
        <v>1197.5</v>
      </c>
      <c r="D363">
        <v>1185.0999999999999</v>
      </c>
      <c r="E363" s="7">
        <v>1189.2</v>
      </c>
      <c r="F363">
        <v>1887275</v>
      </c>
      <c r="G363" s="8">
        <f t="shared" si="50"/>
        <v>1190.6000000000001</v>
      </c>
      <c r="H363" s="9">
        <f t="shared" si="51"/>
        <v>2246989615.0000005</v>
      </c>
      <c r="I363" s="9">
        <f t="shared" si="54"/>
        <v>11507585106.566668</v>
      </c>
      <c r="J363" s="9">
        <f t="shared" si="55"/>
        <v>9811786</v>
      </c>
      <c r="K363" s="21">
        <f t="shared" si="56"/>
        <v>1172.8328671830661</v>
      </c>
      <c r="L363" s="4" t="str">
        <f t="shared" si="52"/>
        <v>BUY</v>
      </c>
      <c r="M363" s="4">
        <f t="shared" si="57"/>
        <v>0</v>
      </c>
      <c r="N363" s="4">
        <f t="shared" si="53"/>
        <v>1</v>
      </c>
      <c r="O363" s="4">
        <f t="shared" si="58"/>
        <v>1164.3499999999999</v>
      </c>
      <c r="P363" s="4">
        <f t="shared" si="59"/>
        <v>0</v>
      </c>
    </row>
    <row r="364" spans="1:16" x14ac:dyDescent="0.25">
      <c r="A364" s="1">
        <v>41786</v>
      </c>
      <c r="B364">
        <v>1189.2</v>
      </c>
      <c r="C364">
        <v>1190.5</v>
      </c>
      <c r="D364">
        <v>1172.55</v>
      </c>
      <c r="E364" s="7">
        <v>1175.3</v>
      </c>
      <c r="F364">
        <v>1614700</v>
      </c>
      <c r="G364" s="8">
        <f t="shared" si="50"/>
        <v>1179.45</v>
      </c>
      <c r="H364" s="9">
        <f t="shared" si="51"/>
        <v>1904457915</v>
      </c>
      <c r="I364" s="9">
        <f t="shared" si="54"/>
        <v>12755245313.966667</v>
      </c>
      <c r="J364" s="9">
        <f t="shared" si="55"/>
        <v>10856052</v>
      </c>
      <c r="K364" s="21">
        <f t="shared" si="56"/>
        <v>1174.9432771661989</v>
      </c>
      <c r="L364" s="4" t="str">
        <f t="shared" si="52"/>
        <v>BUY</v>
      </c>
      <c r="M364" s="4">
        <f t="shared" si="57"/>
        <v>0</v>
      </c>
      <c r="N364" s="4">
        <f t="shared" si="53"/>
        <v>1</v>
      </c>
      <c r="O364" s="4">
        <f t="shared" si="58"/>
        <v>1164.3499999999999</v>
      </c>
      <c r="P364" s="4">
        <f t="shared" si="59"/>
        <v>0</v>
      </c>
    </row>
    <row r="365" spans="1:16" x14ac:dyDescent="0.25">
      <c r="A365" s="1">
        <v>41787</v>
      </c>
      <c r="B365">
        <v>1178</v>
      </c>
      <c r="C365">
        <v>1194.9000000000001</v>
      </c>
      <c r="D365">
        <v>1178</v>
      </c>
      <c r="E365" s="7">
        <v>1191.05</v>
      </c>
      <c r="F365">
        <v>1062891</v>
      </c>
      <c r="G365" s="8">
        <f t="shared" si="50"/>
        <v>1187.9833333333333</v>
      </c>
      <c r="H365" s="9">
        <f t="shared" si="51"/>
        <v>1262696793.1500001</v>
      </c>
      <c r="I365" s="9">
        <f t="shared" si="54"/>
        <v>12482151360.066666</v>
      </c>
      <c r="J365" s="9">
        <f t="shared" si="55"/>
        <v>10596866</v>
      </c>
      <c r="K365" s="21">
        <f t="shared" si="56"/>
        <v>1177.9097102923322</v>
      </c>
      <c r="L365" s="4" t="str">
        <f t="shared" si="52"/>
        <v>BUY</v>
      </c>
      <c r="M365" s="4">
        <f t="shared" si="57"/>
        <v>0</v>
      </c>
      <c r="N365" s="4">
        <f t="shared" si="53"/>
        <v>1</v>
      </c>
      <c r="O365" s="4">
        <f t="shared" si="58"/>
        <v>1164.3499999999999</v>
      </c>
      <c r="P365" s="4">
        <f t="shared" si="59"/>
        <v>0</v>
      </c>
    </row>
    <row r="366" spans="1:16" x14ac:dyDescent="0.25">
      <c r="A366" s="1">
        <v>41788</v>
      </c>
      <c r="B366">
        <v>1186</v>
      </c>
      <c r="C366">
        <v>1205</v>
      </c>
      <c r="D366">
        <v>1181.25</v>
      </c>
      <c r="E366" s="7">
        <v>1184.25</v>
      </c>
      <c r="F366">
        <v>1406191</v>
      </c>
      <c r="G366" s="8">
        <f t="shared" si="50"/>
        <v>1190.1666666666667</v>
      </c>
      <c r="H366" s="9">
        <f t="shared" si="51"/>
        <v>1673601655.1666667</v>
      </c>
      <c r="I366" s="9">
        <f t="shared" si="54"/>
        <v>13581155443.833332</v>
      </c>
      <c r="J366" s="9">
        <f t="shared" si="55"/>
        <v>11511864</v>
      </c>
      <c r="K366" s="21">
        <f t="shared" si="56"/>
        <v>1179.7529439049429</v>
      </c>
      <c r="L366" s="4" t="str">
        <f t="shared" si="52"/>
        <v>BUY</v>
      </c>
      <c r="M366" s="4">
        <f t="shared" si="57"/>
        <v>0</v>
      </c>
      <c r="N366" s="4">
        <f t="shared" si="53"/>
        <v>1</v>
      </c>
      <c r="O366" s="4">
        <f t="shared" si="58"/>
        <v>1164.3499999999999</v>
      </c>
      <c r="P366" s="4">
        <f t="shared" si="59"/>
        <v>0</v>
      </c>
    </row>
    <row r="367" spans="1:16" x14ac:dyDescent="0.25">
      <c r="A367" s="1">
        <v>41789</v>
      </c>
      <c r="B367">
        <v>1183</v>
      </c>
      <c r="C367">
        <v>1185.9000000000001</v>
      </c>
      <c r="D367">
        <v>1148.25</v>
      </c>
      <c r="E367" s="7">
        <v>1151.1500000000001</v>
      </c>
      <c r="F367">
        <v>1168760</v>
      </c>
      <c r="G367" s="8">
        <f t="shared" si="50"/>
        <v>1161.7666666666667</v>
      </c>
      <c r="H367" s="9">
        <f t="shared" si="51"/>
        <v>1357826409.3333333</v>
      </c>
      <c r="I367" s="9">
        <f t="shared" si="54"/>
        <v>13949702278.9</v>
      </c>
      <c r="J367" s="9">
        <f t="shared" si="55"/>
        <v>11831797</v>
      </c>
      <c r="K367" s="21">
        <f t="shared" si="56"/>
        <v>1179.0011507888446</v>
      </c>
      <c r="L367" s="4" t="str">
        <f t="shared" si="52"/>
        <v>SELL</v>
      </c>
      <c r="M367" s="4" t="str">
        <f t="shared" si="57"/>
        <v>SELL</v>
      </c>
      <c r="N367" s="4">
        <f t="shared" si="53"/>
        <v>-1</v>
      </c>
      <c r="O367" s="4">
        <f t="shared" si="58"/>
        <v>1151.1500000000001</v>
      </c>
      <c r="P367" s="4">
        <f t="shared" si="59"/>
        <v>-1.1336797354747128E-2</v>
      </c>
    </row>
    <row r="368" spans="1:16" x14ac:dyDescent="0.25">
      <c r="A368" s="1">
        <v>41792</v>
      </c>
      <c r="B368">
        <v>1155</v>
      </c>
      <c r="C368">
        <v>1157</v>
      </c>
      <c r="D368">
        <v>1104</v>
      </c>
      <c r="E368" s="7">
        <v>1109.2</v>
      </c>
      <c r="F368">
        <v>1894073</v>
      </c>
      <c r="G368" s="8">
        <f t="shared" si="50"/>
        <v>1123.3999999999999</v>
      </c>
      <c r="H368" s="9">
        <f t="shared" si="51"/>
        <v>2127801608.1999998</v>
      </c>
      <c r="I368" s="9">
        <f t="shared" si="54"/>
        <v>15284836354.299999</v>
      </c>
      <c r="J368" s="9">
        <f t="shared" si="55"/>
        <v>13041966</v>
      </c>
      <c r="K368" s="21">
        <f t="shared" si="56"/>
        <v>1171.9733324178271</v>
      </c>
      <c r="L368" s="4" t="str">
        <f t="shared" si="52"/>
        <v>SELL</v>
      </c>
      <c r="M368" s="4">
        <f t="shared" si="57"/>
        <v>0</v>
      </c>
      <c r="N368" s="4">
        <f t="shared" si="53"/>
        <v>-1</v>
      </c>
      <c r="O368" s="4">
        <f t="shared" si="58"/>
        <v>1151.1500000000001</v>
      </c>
      <c r="P368" s="4">
        <f t="shared" si="59"/>
        <v>0</v>
      </c>
    </row>
    <row r="369" spans="1:16" x14ac:dyDescent="0.25">
      <c r="A369" s="1">
        <v>41793</v>
      </c>
      <c r="B369">
        <v>1115</v>
      </c>
      <c r="C369">
        <v>1119</v>
      </c>
      <c r="D369">
        <v>1058</v>
      </c>
      <c r="E369" s="7">
        <v>1069.3</v>
      </c>
      <c r="F369">
        <v>2655204</v>
      </c>
      <c r="G369" s="8">
        <f t="shared" si="50"/>
        <v>1082.1000000000001</v>
      </c>
      <c r="H369" s="9">
        <f t="shared" si="51"/>
        <v>2873196248.4000006</v>
      </c>
      <c r="I369" s="9">
        <f t="shared" si="54"/>
        <v>17372659952.050003</v>
      </c>
      <c r="J369" s="9">
        <f t="shared" si="55"/>
        <v>15018633</v>
      </c>
      <c r="K369" s="21">
        <f t="shared" si="56"/>
        <v>1156.7404271780263</v>
      </c>
      <c r="L369" s="4" t="str">
        <f t="shared" si="52"/>
        <v>SELL</v>
      </c>
      <c r="M369" s="4">
        <f t="shared" si="57"/>
        <v>0</v>
      </c>
      <c r="N369" s="4">
        <f t="shared" si="53"/>
        <v>-1</v>
      </c>
      <c r="O369" s="4">
        <f t="shared" si="58"/>
        <v>1151.1500000000001</v>
      </c>
      <c r="P369" s="4">
        <f t="shared" si="59"/>
        <v>0</v>
      </c>
    </row>
    <row r="370" spans="1:16" x14ac:dyDescent="0.25">
      <c r="A370" s="1">
        <v>41794</v>
      </c>
      <c r="B370">
        <v>1075</v>
      </c>
      <c r="C370">
        <v>1110.7</v>
      </c>
      <c r="D370">
        <v>1063.2</v>
      </c>
      <c r="E370" s="7">
        <v>1106.75</v>
      </c>
      <c r="F370">
        <v>1712973</v>
      </c>
      <c r="G370" s="8">
        <f t="shared" si="50"/>
        <v>1093.55</v>
      </c>
      <c r="H370" s="9">
        <f t="shared" si="51"/>
        <v>1873221624.1499999</v>
      </c>
      <c r="I370" s="9">
        <f t="shared" si="54"/>
        <v>18167777794.716671</v>
      </c>
      <c r="J370" s="9">
        <f t="shared" si="55"/>
        <v>15812885</v>
      </c>
      <c r="K370" s="21">
        <f t="shared" si="56"/>
        <v>1148.9224006066363</v>
      </c>
      <c r="L370" s="4" t="str">
        <f t="shared" si="52"/>
        <v>SELL</v>
      </c>
      <c r="M370" s="4">
        <f t="shared" si="57"/>
        <v>0</v>
      </c>
      <c r="N370" s="4">
        <f t="shared" si="53"/>
        <v>-1</v>
      </c>
      <c r="O370" s="4">
        <f t="shared" si="58"/>
        <v>1151.1500000000001</v>
      </c>
      <c r="P370" s="4">
        <f t="shared" si="59"/>
        <v>0</v>
      </c>
    </row>
    <row r="371" spans="1:16" x14ac:dyDescent="0.25">
      <c r="A371" s="1">
        <v>41795</v>
      </c>
      <c r="B371">
        <v>1116</v>
      </c>
      <c r="C371">
        <v>1116.9000000000001</v>
      </c>
      <c r="D371">
        <v>1080</v>
      </c>
      <c r="E371" s="7">
        <v>1083.5</v>
      </c>
      <c r="F371">
        <v>1785417</v>
      </c>
      <c r="G371" s="8">
        <f t="shared" si="50"/>
        <v>1093.4666666666667</v>
      </c>
      <c r="H371" s="9">
        <f t="shared" si="51"/>
        <v>1952293975.6000001</v>
      </c>
      <c r="I371" s="9">
        <f t="shared" si="54"/>
        <v>18868328048.150002</v>
      </c>
      <c r="J371" s="9">
        <f t="shared" si="55"/>
        <v>16534467</v>
      </c>
      <c r="K371" s="21">
        <f t="shared" si="56"/>
        <v>1141.1512719551226</v>
      </c>
      <c r="L371" s="4" t="str">
        <f t="shared" si="52"/>
        <v>SELL</v>
      </c>
      <c r="M371" s="4">
        <f t="shared" si="57"/>
        <v>0</v>
      </c>
      <c r="N371" s="4">
        <f t="shared" si="53"/>
        <v>-1</v>
      </c>
      <c r="O371" s="4">
        <f t="shared" si="58"/>
        <v>1151.1500000000001</v>
      </c>
      <c r="P371" s="4">
        <f t="shared" si="59"/>
        <v>0</v>
      </c>
    </row>
    <row r="372" spans="1:16" x14ac:dyDescent="0.25">
      <c r="A372" s="1">
        <v>41796</v>
      </c>
      <c r="B372">
        <v>1081.8</v>
      </c>
      <c r="C372">
        <v>1101</v>
      </c>
      <c r="D372">
        <v>1070.0999999999999</v>
      </c>
      <c r="E372" s="7">
        <v>1097</v>
      </c>
      <c r="F372">
        <v>1214118</v>
      </c>
      <c r="G372" s="8">
        <f t="shared" si="50"/>
        <v>1089.3666666666666</v>
      </c>
      <c r="H372" s="9">
        <f t="shared" si="51"/>
        <v>1322619678.5999999</v>
      </c>
      <c r="I372" s="9">
        <f t="shared" si="54"/>
        <v>18594705522.599998</v>
      </c>
      <c r="J372" s="9">
        <f t="shared" si="55"/>
        <v>16401602</v>
      </c>
      <c r="K372" s="21">
        <f t="shared" si="56"/>
        <v>1133.7127630947268</v>
      </c>
      <c r="L372" s="4" t="str">
        <f t="shared" si="52"/>
        <v>SELL</v>
      </c>
      <c r="M372" s="4">
        <f t="shared" si="57"/>
        <v>0</v>
      </c>
      <c r="N372" s="4">
        <f t="shared" si="53"/>
        <v>-1</v>
      </c>
      <c r="O372" s="4">
        <f t="shared" si="58"/>
        <v>1151.1500000000001</v>
      </c>
      <c r="P372" s="4">
        <f t="shared" si="59"/>
        <v>0</v>
      </c>
    </row>
    <row r="373" spans="1:16" x14ac:dyDescent="0.25">
      <c r="A373" s="1">
        <v>41799</v>
      </c>
      <c r="B373">
        <v>1100</v>
      </c>
      <c r="C373">
        <v>1140.75</v>
      </c>
      <c r="D373">
        <v>1099</v>
      </c>
      <c r="E373" s="7">
        <v>1137.75</v>
      </c>
      <c r="F373">
        <v>2075794</v>
      </c>
      <c r="G373" s="8">
        <f t="shared" si="50"/>
        <v>1125.8333333333333</v>
      </c>
      <c r="H373" s="9">
        <f t="shared" si="51"/>
        <v>2336998078.333333</v>
      </c>
      <c r="I373" s="9">
        <f t="shared" si="54"/>
        <v>18684713985.933334</v>
      </c>
      <c r="J373" s="9">
        <f t="shared" si="55"/>
        <v>16590121</v>
      </c>
      <c r="K373" s="21">
        <f t="shared" si="56"/>
        <v>1126.2554375542732</v>
      </c>
      <c r="L373" s="4" t="str">
        <f t="shared" si="52"/>
        <v>BUY</v>
      </c>
      <c r="M373" s="4" t="str">
        <f t="shared" si="57"/>
        <v>BUY</v>
      </c>
      <c r="N373" s="4">
        <f t="shared" si="53"/>
        <v>1</v>
      </c>
      <c r="O373" s="4">
        <f t="shared" si="58"/>
        <v>1137.75</v>
      </c>
      <c r="P373" s="4">
        <f t="shared" si="59"/>
        <v>1.1640533379663892E-2</v>
      </c>
    </row>
    <row r="374" spans="1:16" x14ac:dyDescent="0.25">
      <c r="A374" s="1">
        <v>41800</v>
      </c>
      <c r="B374">
        <v>1122</v>
      </c>
      <c r="C374">
        <v>1154.7</v>
      </c>
      <c r="D374">
        <v>1122</v>
      </c>
      <c r="E374" s="7">
        <v>1150.5999999999999</v>
      </c>
      <c r="F374">
        <v>1562609</v>
      </c>
      <c r="G374" s="8">
        <f t="shared" si="50"/>
        <v>1142.4333333333332</v>
      </c>
      <c r="H374" s="9">
        <f t="shared" si="51"/>
        <v>1785176608.5666664</v>
      </c>
      <c r="I374" s="9">
        <f t="shared" si="54"/>
        <v>18565432679.5</v>
      </c>
      <c r="J374" s="9">
        <f t="shared" si="55"/>
        <v>16538030</v>
      </c>
      <c r="K374" s="21">
        <f t="shared" si="56"/>
        <v>1122.5903375129928</v>
      </c>
      <c r="L374" s="4" t="str">
        <f t="shared" si="52"/>
        <v>BUY</v>
      </c>
      <c r="M374" s="4">
        <f t="shared" si="57"/>
        <v>0</v>
      </c>
      <c r="N374" s="4">
        <f t="shared" si="53"/>
        <v>1</v>
      </c>
      <c r="O374" s="4">
        <f t="shared" si="58"/>
        <v>1137.75</v>
      </c>
      <c r="P374" s="4">
        <f t="shared" si="59"/>
        <v>0</v>
      </c>
    </row>
    <row r="375" spans="1:16" x14ac:dyDescent="0.25">
      <c r="A375" s="1">
        <v>41801</v>
      </c>
      <c r="B375">
        <v>1160</v>
      </c>
      <c r="C375">
        <v>1162</v>
      </c>
      <c r="D375">
        <v>1135.6500000000001</v>
      </c>
      <c r="E375" s="7">
        <v>1154</v>
      </c>
      <c r="F375">
        <v>1066666</v>
      </c>
      <c r="G375" s="8">
        <f t="shared" si="50"/>
        <v>1150.55</v>
      </c>
      <c r="H375" s="9">
        <f t="shared" si="51"/>
        <v>1227252566.3</v>
      </c>
      <c r="I375" s="9">
        <f t="shared" si="54"/>
        <v>18529988452.649998</v>
      </c>
      <c r="J375" s="9">
        <f t="shared" si="55"/>
        <v>16541805</v>
      </c>
      <c r="K375" s="21">
        <f t="shared" si="56"/>
        <v>1120.1914454105822</v>
      </c>
      <c r="L375" s="4" t="str">
        <f t="shared" si="52"/>
        <v>BUY</v>
      </c>
      <c r="M375" s="4">
        <f t="shared" si="57"/>
        <v>0</v>
      </c>
      <c r="N375" s="4">
        <f t="shared" si="53"/>
        <v>1</v>
      </c>
      <c r="O375" s="4">
        <f t="shared" si="58"/>
        <v>1137.75</v>
      </c>
      <c r="P375" s="4">
        <f t="shared" si="59"/>
        <v>0</v>
      </c>
    </row>
    <row r="376" spans="1:16" x14ac:dyDescent="0.25">
      <c r="A376" s="1">
        <v>41802</v>
      </c>
      <c r="B376">
        <v>1154.7</v>
      </c>
      <c r="C376">
        <v>1178.9000000000001</v>
      </c>
      <c r="D376">
        <v>1154.7</v>
      </c>
      <c r="E376" s="7">
        <v>1169.8499999999999</v>
      </c>
      <c r="F376">
        <v>1479352</v>
      </c>
      <c r="G376" s="8">
        <f t="shared" si="50"/>
        <v>1167.8166666666668</v>
      </c>
      <c r="H376" s="9">
        <f t="shared" si="51"/>
        <v>1727611921.4666669</v>
      </c>
      <c r="I376" s="9">
        <f t="shared" si="54"/>
        <v>18583998718.949997</v>
      </c>
      <c r="J376" s="9">
        <f t="shared" si="55"/>
        <v>16614966</v>
      </c>
      <c r="K376" s="21">
        <f t="shared" si="56"/>
        <v>1118.5095846088398</v>
      </c>
      <c r="L376" s="4" t="str">
        <f t="shared" si="52"/>
        <v>BUY</v>
      </c>
      <c r="M376" s="4">
        <f t="shared" si="57"/>
        <v>0</v>
      </c>
      <c r="N376" s="4">
        <f t="shared" si="53"/>
        <v>1</v>
      </c>
      <c r="O376" s="4">
        <f t="shared" si="58"/>
        <v>1137.75</v>
      </c>
      <c r="P376" s="4">
        <f t="shared" si="59"/>
        <v>0</v>
      </c>
    </row>
    <row r="377" spans="1:16" x14ac:dyDescent="0.25">
      <c r="A377" s="1">
        <v>41803</v>
      </c>
      <c r="B377">
        <v>1169.8</v>
      </c>
      <c r="C377">
        <v>1192</v>
      </c>
      <c r="D377">
        <v>1167</v>
      </c>
      <c r="E377" s="7">
        <v>1184.2</v>
      </c>
      <c r="F377">
        <v>2586458</v>
      </c>
      <c r="G377" s="8">
        <f t="shared" si="50"/>
        <v>1181.0666666666666</v>
      </c>
      <c r="H377" s="9">
        <f t="shared" si="51"/>
        <v>3054779328.5333333</v>
      </c>
      <c r="I377" s="9">
        <f t="shared" si="54"/>
        <v>20280951638.149998</v>
      </c>
      <c r="J377" s="9">
        <f t="shared" si="55"/>
        <v>18032664</v>
      </c>
      <c r="K377" s="21">
        <f t="shared" si="56"/>
        <v>1124.6786186527956</v>
      </c>
      <c r="L377" s="4" t="str">
        <f t="shared" si="52"/>
        <v>BUY</v>
      </c>
      <c r="M377" s="4">
        <f t="shared" si="57"/>
        <v>0</v>
      </c>
      <c r="N377" s="4">
        <f t="shared" si="53"/>
        <v>1</v>
      </c>
      <c r="O377" s="4">
        <f t="shared" si="58"/>
        <v>1137.75</v>
      </c>
      <c r="P377" s="4">
        <f t="shared" si="59"/>
        <v>0</v>
      </c>
    </row>
    <row r="378" spans="1:16" x14ac:dyDescent="0.25">
      <c r="A378" s="1">
        <v>41806</v>
      </c>
      <c r="B378">
        <v>1198</v>
      </c>
      <c r="C378">
        <v>1198</v>
      </c>
      <c r="D378">
        <v>1179.7</v>
      </c>
      <c r="E378" s="7">
        <v>1191.9000000000001</v>
      </c>
      <c r="F378">
        <v>960420</v>
      </c>
      <c r="G378" s="8">
        <f t="shared" si="50"/>
        <v>1189.8666666666666</v>
      </c>
      <c r="H378" s="9">
        <f t="shared" si="51"/>
        <v>1142771744</v>
      </c>
      <c r="I378" s="9">
        <f t="shared" si="54"/>
        <v>19295921773.949997</v>
      </c>
      <c r="J378" s="9">
        <f t="shared" si="55"/>
        <v>17099011</v>
      </c>
      <c r="K378" s="21">
        <f t="shared" si="56"/>
        <v>1128.481745169355</v>
      </c>
      <c r="L378" s="4" t="str">
        <f t="shared" si="52"/>
        <v>BUY</v>
      </c>
      <c r="M378" s="4">
        <f t="shared" si="57"/>
        <v>0</v>
      </c>
      <c r="N378" s="4">
        <f t="shared" si="53"/>
        <v>1</v>
      </c>
      <c r="O378" s="4">
        <f t="shared" si="58"/>
        <v>1137.75</v>
      </c>
      <c r="P378" s="4">
        <f t="shared" si="59"/>
        <v>0</v>
      </c>
    </row>
    <row r="379" spans="1:16" x14ac:dyDescent="0.25">
      <c r="A379" s="1">
        <v>41807</v>
      </c>
      <c r="B379">
        <v>1193</v>
      </c>
      <c r="C379">
        <v>1200</v>
      </c>
      <c r="D379">
        <v>1180</v>
      </c>
      <c r="E379" s="7">
        <v>1185.7</v>
      </c>
      <c r="F379">
        <v>801867</v>
      </c>
      <c r="G379" s="8">
        <f t="shared" si="50"/>
        <v>1188.5666666666666</v>
      </c>
      <c r="H379" s="9">
        <f t="shared" si="51"/>
        <v>953072387.29999995</v>
      </c>
      <c r="I379" s="9">
        <f t="shared" si="54"/>
        <v>17375797912.849998</v>
      </c>
      <c r="J379" s="9">
        <f t="shared" si="55"/>
        <v>15245674</v>
      </c>
      <c r="K379" s="21">
        <f t="shared" si="56"/>
        <v>1139.7198912196338</v>
      </c>
      <c r="L379" s="4" t="str">
        <f t="shared" si="52"/>
        <v>BUY</v>
      </c>
      <c r="M379" s="4">
        <f t="shared" si="57"/>
        <v>0</v>
      </c>
      <c r="N379" s="4">
        <f t="shared" si="53"/>
        <v>1</v>
      </c>
      <c r="O379" s="4">
        <f t="shared" si="58"/>
        <v>1137.75</v>
      </c>
      <c r="P379" s="4">
        <f t="shared" si="59"/>
        <v>0</v>
      </c>
    </row>
    <row r="380" spans="1:16" x14ac:dyDescent="0.25">
      <c r="A380" s="1">
        <v>41808</v>
      </c>
      <c r="B380">
        <v>1189.8</v>
      </c>
      <c r="C380">
        <v>1191</v>
      </c>
      <c r="D380">
        <v>1173.4000000000001</v>
      </c>
      <c r="E380" s="7">
        <v>1179.45</v>
      </c>
      <c r="F380">
        <v>1030568</v>
      </c>
      <c r="G380" s="8">
        <f t="shared" si="50"/>
        <v>1181.2833333333335</v>
      </c>
      <c r="H380" s="9">
        <f t="shared" si="51"/>
        <v>1217392802.2666669</v>
      </c>
      <c r="I380" s="9">
        <f t="shared" si="54"/>
        <v>16719969090.966665</v>
      </c>
      <c r="J380" s="9">
        <f t="shared" si="55"/>
        <v>14563269</v>
      </c>
      <c r="K380" s="21">
        <f t="shared" si="56"/>
        <v>1148.0917568003904</v>
      </c>
      <c r="L380" s="4" t="str">
        <f t="shared" si="52"/>
        <v>BUY</v>
      </c>
      <c r="M380" s="4">
        <f t="shared" si="57"/>
        <v>0</v>
      </c>
      <c r="N380" s="4">
        <f t="shared" si="53"/>
        <v>1</v>
      </c>
      <c r="O380" s="4">
        <f t="shared" si="58"/>
        <v>1137.75</v>
      </c>
      <c r="P380" s="4">
        <f t="shared" si="59"/>
        <v>0</v>
      </c>
    </row>
    <row r="381" spans="1:16" x14ac:dyDescent="0.25">
      <c r="A381" s="1">
        <v>41809</v>
      </c>
      <c r="B381">
        <v>1178.25</v>
      </c>
      <c r="C381">
        <v>1192.9000000000001</v>
      </c>
      <c r="D381">
        <v>1171.7</v>
      </c>
      <c r="E381" s="7">
        <v>1182.8</v>
      </c>
      <c r="F381">
        <v>745089</v>
      </c>
      <c r="G381" s="8">
        <f t="shared" si="50"/>
        <v>1182.4666666666669</v>
      </c>
      <c r="H381" s="9">
        <f t="shared" si="51"/>
        <v>881042906.20000017</v>
      </c>
      <c r="I381" s="9">
        <f t="shared" si="54"/>
        <v>15648718021.566666</v>
      </c>
      <c r="J381" s="9">
        <f t="shared" si="55"/>
        <v>13522941</v>
      </c>
      <c r="K381" s="21">
        <f t="shared" si="56"/>
        <v>1157.1978330428763</v>
      </c>
      <c r="L381" s="4" t="str">
        <f t="shared" si="52"/>
        <v>BUY</v>
      </c>
      <c r="M381" s="4">
        <f t="shared" si="57"/>
        <v>0</v>
      </c>
      <c r="N381" s="4">
        <f t="shared" si="53"/>
        <v>1</v>
      </c>
      <c r="O381" s="4">
        <f t="shared" si="58"/>
        <v>1137.75</v>
      </c>
      <c r="P381" s="4">
        <f t="shared" si="59"/>
        <v>0</v>
      </c>
    </row>
    <row r="382" spans="1:16" x14ac:dyDescent="0.25">
      <c r="A382" s="1">
        <v>41810</v>
      </c>
      <c r="B382">
        <v>1183.0999999999999</v>
      </c>
      <c r="C382">
        <v>1200</v>
      </c>
      <c r="D382">
        <v>1183.0999999999999</v>
      </c>
      <c r="E382" s="7">
        <v>1195.9000000000001</v>
      </c>
      <c r="F382">
        <v>1301317</v>
      </c>
      <c r="G382" s="8">
        <f t="shared" si="50"/>
        <v>1193</v>
      </c>
      <c r="H382" s="9">
        <f t="shared" si="51"/>
        <v>1552471181</v>
      </c>
      <c r="I382" s="9">
        <f t="shared" si="54"/>
        <v>15878569523.966667</v>
      </c>
      <c r="J382" s="9">
        <f t="shared" si="55"/>
        <v>13610140</v>
      </c>
      <c r="K382" s="21">
        <f t="shared" si="56"/>
        <v>1166.6720198298231</v>
      </c>
      <c r="L382" s="4" t="str">
        <f t="shared" si="52"/>
        <v>BUY</v>
      </c>
      <c r="M382" s="4">
        <f t="shared" si="57"/>
        <v>0</v>
      </c>
      <c r="N382" s="4">
        <f t="shared" si="53"/>
        <v>1</v>
      </c>
      <c r="O382" s="4">
        <f t="shared" si="58"/>
        <v>1137.75</v>
      </c>
      <c r="P382" s="4">
        <f t="shared" si="59"/>
        <v>0</v>
      </c>
    </row>
    <row r="383" spans="1:16" x14ac:dyDescent="0.25">
      <c r="A383" s="1">
        <v>41813</v>
      </c>
      <c r="B383">
        <v>1196</v>
      </c>
      <c r="C383">
        <v>1205</v>
      </c>
      <c r="D383">
        <v>1169.25</v>
      </c>
      <c r="E383" s="7">
        <v>1171.6500000000001</v>
      </c>
      <c r="F383">
        <v>1706030</v>
      </c>
      <c r="G383" s="8">
        <f t="shared" si="50"/>
        <v>1181.9666666666667</v>
      </c>
      <c r="H383" s="9">
        <f t="shared" si="51"/>
        <v>2016470592.3333335</v>
      </c>
      <c r="I383" s="9">
        <f t="shared" si="54"/>
        <v>15558042037.966667</v>
      </c>
      <c r="J383" s="9">
        <f t="shared" si="55"/>
        <v>13240376</v>
      </c>
      <c r="K383" s="21">
        <f t="shared" si="56"/>
        <v>1175.0453339064288</v>
      </c>
      <c r="L383" s="4" t="str">
        <f t="shared" si="52"/>
        <v>SELL</v>
      </c>
      <c r="M383" s="4" t="str">
        <f t="shared" si="57"/>
        <v>SELL</v>
      </c>
      <c r="N383" s="4">
        <f t="shared" si="53"/>
        <v>-1</v>
      </c>
      <c r="O383" s="4">
        <f t="shared" si="58"/>
        <v>1171.6500000000001</v>
      </c>
      <c r="P383" s="4">
        <f t="shared" si="59"/>
        <v>2.9795649307844511E-2</v>
      </c>
    </row>
    <row r="384" spans="1:16" x14ac:dyDescent="0.25">
      <c r="A384" s="1">
        <v>41814</v>
      </c>
      <c r="B384">
        <v>1170</v>
      </c>
      <c r="C384">
        <v>1177.8</v>
      </c>
      <c r="D384">
        <v>1146.5999999999999</v>
      </c>
      <c r="E384" s="7">
        <v>1156.6500000000001</v>
      </c>
      <c r="F384">
        <v>911252</v>
      </c>
      <c r="G384" s="8">
        <f t="shared" si="50"/>
        <v>1160.3499999999999</v>
      </c>
      <c r="H384" s="9">
        <f t="shared" si="51"/>
        <v>1057371258.1999999</v>
      </c>
      <c r="I384" s="9">
        <f t="shared" si="54"/>
        <v>14830236687.600002</v>
      </c>
      <c r="J384" s="9">
        <f t="shared" si="55"/>
        <v>12589019</v>
      </c>
      <c r="K384" s="21">
        <f t="shared" si="56"/>
        <v>1178.0295738373261</v>
      </c>
      <c r="L384" s="4" t="str">
        <f t="shared" si="52"/>
        <v>SELL</v>
      </c>
      <c r="M384" s="4">
        <f t="shared" si="57"/>
        <v>0</v>
      </c>
      <c r="N384" s="4">
        <f t="shared" si="53"/>
        <v>-1</v>
      </c>
      <c r="O384" s="4">
        <f t="shared" si="58"/>
        <v>1171.6500000000001</v>
      </c>
      <c r="P384" s="4">
        <f t="shared" si="59"/>
        <v>0</v>
      </c>
    </row>
    <row r="385" spans="1:16" x14ac:dyDescent="0.25">
      <c r="A385" s="1">
        <v>41815</v>
      </c>
      <c r="B385">
        <v>1135.7</v>
      </c>
      <c r="C385">
        <v>1148.8</v>
      </c>
      <c r="D385">
        <v>1112.0999999999999</v>
      </c>
      <c r="E385" s="7">
        <v>1145.3499999999999</v>
      </c>
      <c r="F385">
        <v>2039702</v>
      </c>
      <c r="G385" s="8">
        <f t="shared" si="50"/>
        <v>1135.4166666666665</v>
      </c>
      <c r="H385" s="9">
        <f t="shared" si="51"/>
        <v>2315911645.833333</v>
      </c>
      <c r="I385" s="9">
        <f t="shared" si="54"/>
        <v>15918895767.133335</v>
      </c>
      <c r="J385" s="9">
        <f t="shared" si="55"/>
        <v>13562055</v>
      </c>
      <c r="K385" s="21">
        <f t="shared" si="56"/>
        <v>1173.7819797319312</v>
      </c>
      <c r="L385" s="4" t="str">
        <f t="shared" si="52"/>
        <v>SELL</v>
      </c>
      <c r="M385" s="4">
        <f t="shared" si="57"/>
        <v>0</v>
      </c>
      <c r="N385" s="4">
        <f t="shared" si="53"/>
        <v>-1</v>
      </c>
      <c r="O385" s="4">
        <f t="shared" si="58"/>
        <v>1171.6500000000001</v>
      </c>
      <c r="P385" s="4">
        <f t="shared" si="59"/>
        <v>0</v>
      </c>
    </row>
    <row r="386" spans="1:16" x14ac:dyDescent="0.25">
      <c r="A386" s="1">
        <v>41816</v>
      </c>
      <c r="B386">
        <v>1150</v>
      </c>
      <c r="C386">
        <v>1168</v>
      </c>
      <c r="D386">
        <v>1131</v>
      </c>
      <c r="E386" s="7">
        <v>1149.05</v>
      </c>
      <c r="F386">
        <v>1976300</v>
      </c>
      <c r="G386" s="8">
        <f t="shared" ref="G386:G449" si="60">AVERAGE(C386:E386)</f>
        <v>1149.3500000000001</v>
      </c>
      <c r="H386" s="9">
        <f t="shared" si="51"/>
        <v>2271460405.0000005</v>
      </c>
      <c r="I386" s="9">
        <f t="shared" si="54"/>
        <v>16462744250.666668</v>
      </c>
      <c r="J386" s="9">
        <f t="shared" si="55"/>
        <v>14059003</v>
      </c>
      <c r="K386" s="21">
        <f t="shared" si="56"/>
        <v>1170.9752285184566</v>
      </c>
      <c r="L386" s="4" t="str">
        <f t="shared" si="52"/>
        <v>SELL</v>
      </c>
      <c r="M386" s="4">
        <f t="shared" si="57"/>
        <v>0</v>
      </c>
      <c r="N386" s="4">
        <f t="shared" si="53"/>
        <v>-1</v>
      </c>
      <c r="O386" s="4">
        <f t="shared" si="58"/>
        <v>1171.6500000000001</v>
      </c>
      <c r="P386" s="4">
        <f t="shared" si="59"/>
        <v>0</v>
      </c>
    </row>
    <row r="387" spans="1:16" x14ac:dyDescent="0.25">
      <c r="A387" s="1">
        <v>41817</v>
      </c>
      <c r="B387">
        <v>1150</v>
      </c>
      <c r="C387">
        <v>1158.5999999999999</v>
      </c>
      <c r="D387">
        <v>1119.0999999999999</v>
      </c>
      <c r="E387" s="7">
        <v>1123.7</v>
      </c>
      <c r="F387">
        <v>3468922</v>
      </c>
      <c r="G387" s="8">
        <f t="shared" si="60"/>
        <v>1133.8</v>
      </c>
      <c r="H387" s="9">
        <f t="shared" ref="H387:H450" si="61">G387*F387</f>
        <v>3933063763.5999999</v>
      </c>
      <c r="I387" s="9">
        <f t="shared" si="54"/>
        <v>17341028685.733334</v>
      </c>
      <c r="J387" s="9">
        <f t="shared" si="55"/>
        <v>14941467</v>
      </c>
      <c r="K387" s="21">
        <f t="shared" si="56"/>
        <v>1160.5974624669273</v>
      </c>
      <c r="L387" s="4" t="str">
        <f t="shared" si="52"/>
        <v>SELL</v>
      </c>
      <c r="M387" s="4">
        <f t="shared" si="57"/>
        <v>0</v>
      </c>
      <c r="N387" s="4">
        <f t="shared" si="53"/>
        <v>-1</v>
      </c>
      <c r="O387" s="4">
        <f t="shared" si="58"/>
        <v>1171.6500000000001</v>
      </c>
      <c r="P387" s="4">
        <f t="shared" si="59"/>
        <v>0</v>
      </c>
    </row>
    <row r="388" spans="1:16" x14ac:dyDescent="0.25">
      <c r="A388" s="1">
        <v>41820</v>
      </c>
      <c r="B388">
        <v>1168</v>
      </c>
      <c r="C388">
        <v>1177.9000000000001</v>
      </c>
      <c r="D388">
        <v>1141.0999999999999</v>
      </c>
      <c r="E388" s="7">
        <v>1146.05</v>
      </c>
      <c r="F388">
        <v>3639850</v>
      </c>
      <c r="G388" s="8">
        <f t="shared" si="60"/>
        <v>1155.0166666666667</v>
      </c>
      <c r="H388" s="9">
        <f t="shared" si="61"/>
        <v>4204087414.1666665</v>
      </c>
      <c r="I388" s="9">
        <f t="shared" si="54"/>
        <v>20402344355.900002</v>
      </c>
      <c r="J388" s="9">
        <f t="shared" si="55"/>
        <v>17620897</v>
      </c>
      <c r="K388" s="21">
        <f t="shared" si="56"/>
        <v>1157.8493623735501</v>
      </c>
      <c r="L388" s="4" t="str">
        <f t="shared" si="52"/>
        <v>SELL</v>
      </c>
      <c r="M388" s="4">
        <f t="shared" si="57"/>
        <v>0</v>
      </c>
      <c r="N388" s="4">
        <f t="shared" si="53"/>
        <v>-1</v>
      </c>
      <c r="O388" s="4">
        <f t="shared" si="58"/>
        <v>1171.6500000000001</v>
      </c>
      <c r="P388" s="4">
        <f t="shared" si="59"/>
        <v>0</v>
      </c>
    </row>
    <row r="389" spans="1:16" x14ac:dyDescent="0.25">
      <c r="A389" s="1">
        <v>41821</v>
      </c>
      <c r="B389">
        <v>1148</v>
      </c>
      <c r="C389">
        <v>1152</v>
      </c>
      <c r="D389">
        <v>1122.3</v>
      </c>
      <c r="E389" s="7">
        <v>1125.05</v>
      </c>
      <c r="F389">
        <v>1562604</v>
      </c>
      <c r="G389" s="8">
        <f t="shared" si="60"/>
        <v>1133.1166666666668</v>
      </c>
      <c r="H389" s="9">
        <f t="shared" si="61"/>
        <v>1770612635.8000002</v>
      </c>
      <c r="I389" s="9">
        <f t="shared" si="54"/>
        <v>21219884604.400002</v>
      </c>
      <c r="J389" s="9">
        <f t="shared" si="55"/>
        <v>18381634</v>
      </c>
      <c r="K389" s="21">
        <f t="shared" si="56"/>
        <v>1154.4068717938787</v>
      </c>
      <c r="L389" s="4" t="str">
        <f t="shared" si="52"/>
        <v>SELL</v>
      </c>
      <c r="M389" s="4">
        <f t="shared" si="57"/>
        <v>0</v>
      </c>
      <c r="N389" s="4">
        <f t="shared" si="53"/>
        <v>-1</v>
      </c>
      <c r="O389" s="4">
        <f t="shared" si="58"/>
        <v>1171.6500000000001</v>
      </c>
      <c r="P389" s="4">
        <f t="shared" si="59"/>
        <v>0</v>
      </c>
    </row>
    <row r="390" spans="1:16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 s="7">
        <v>1140.05</v>
      </c>
      <c r="F390">
        <v>1097646</v>
      </c>
      <c r="G390" s="8">
        <f t="shared" si="60"/>
        <v>1136.1499999999999</v>
      </c>
      <c r="H390" s="9">
        <f t="shared" si="61"/>
        <v>1247090502.8999999</v>
      </c>
      <c r="I390" s="9">
        <f t="shared" si="54"/>
        <v>21249582305.033337</v>
      </c>
      <c r="J390" s="9">
        <f t="shared" si="55"/>
        <v>18448712</v>
      </c>
      <c r="K390" s="21">
        <f t="shared" si="56"/>
        <v>1151.8192871693882</v>
      </c>
      <c r="L390" s="4" t="str">
        <f t="shared" si="52"/>
        <v>SELL</v>
      </c>
      <c r="M390" s="4">
        <f t="shared" si="57"/>
        <v>0</v>
      </c>
      <c r="N390" s="4">
        <f t="shared" si="53"/>
        <v>-1</v>
      </c>
      <c r="O390" s="4">
        <f t="shared" si="58"/>
        <v>1171.6500000000001</v>
      </c>
      <c r="P390" s="4">
        <f t="shared" si="59"/>
        <v>0</v>
      </c>
    </row>
    <row r="391" spans="1:16" x14ac:dyDescent="0.25">
      <c r="A391" s="1">
        <v>41823</v>
      </c>
      <c r="B391">
        <v>1150</v>
      </c>
      <c r="C391">
        <v>1151.8</v>
      </c>
      <c r="D391">
        <v>1125</v>
      </c>
      <c r="E391" s="7">
        <v>1132.45</v>
      </c>
      <c r="F391">
        <v>1403873</v>
      </c>
      <c r="G391" s="8">
        <f t="shared" si="60"/>
        <v>1136.4166666666667</v>
      </c>
      <c r="H391" s="9">
        <f t="shared" si="61"/>
        <v>1595384675.0833335</v>
      </c>
      <c r="I391" s="9">
        <f t="shared" si="54"/>
        <v>21963924073.916668</v>
      </c>
      <c r="J391" s="9">
        <f t="shared" si="55"/>
        <v>19107496</v>
      </c>
      <c r="K391" s="21">
        <f t="shared" si="56"/>
        <v>1149.4925381073831</v>
      </c>
      <c r="L391" s="4" t="str">
        <f t="shared" si="52"/>
        <v>SELL</v>
      </c>
      <c r="M391" s="4">
        <f t="shared" si="57"/>
        <v>0</v>
      </c>
      <c r="N391" s="4">
        <f t="shared" si="53"/>
        <v>-1</v>
      </c>
      <c r="O391" s="4">
        <f t="shared" si="58"/>
        <v>1171.6500000000001</v>
      </c>
      <c r="P391" s="4">
        <f t="shared" si="59"/>
        <v>0</v>
      </c>
    </row>
    <row r="392" spans="1:16" x14ac:dyDescent="0.25">
      <c r="A392" s="1">
        <v>41824</v>
      </c>
      <c r="B392">
        <v>1132</v>
      </c>
      <c r="C392">
        <v>1132.5</v>
      </c>
      <c r="D392">
        <v>1120.05</v>
      </c>
      <c r="E392" s="7">
        <v>1122.55</v>
      </c>
      <c r="F392">
        <v>925312</v>
      </c>
      <c r="G392" s="8">
        <f t="shared" si="60"/>
        <v>1125.0333333333335</v>
      </c>
      <c r="H392" s="9">
        <f t="shared" si="61"/>
        <v>1041006843.7333335</v>
      </c>
      <c r="I392" s="9">
        <f t="shared" si="54"/>
        <v>21452459736.650002</v>
      </c>
      <c r="J392" s="9">
        <f t="shared" si="55"/>
        <v>18731491</v>
      </c>
      <c r="K392" s="21">
        <f t="shared" si="56"/>
        <v>1145.2617272511836</v>
      </c>
      <c r="L392" s="4" t="str">
        <f t="shared" si="52"/>
        <v>SELL</v>
      </c>
      <c r="M392" s="4">
        <f t="shared" si="57"/>
        <v>0</v>
      </c>
      <c r="N392" s="4">
        <f t="shared" si="53"/>
        <v>-1</v>
      </c>
      <c r="O392" s="4">
        <f t="shared" si="58"/>
        <v>1171.6500000000001</v>
      </c>
      <c r="P392" s="4">
        <f t="shared" si="59"/>
        <v>0</v>
      </c>
    </row>
    <row r="393" spans="1:16" x14ac:dyDescent="0.25">
      <c r="A393" s="1">
        <v>41827</v>
      </c>
      <c r="B393">
        <v>1126.75</v>
      </c>
      <c r="C393">
        <v>1141.3</v>
      </c>
      <c r="D393">
        <v>1126.5</v>
      </c>
      <c r="E393" s="7">
        <v>1133.4000000000001</v>
      </c>
      <c r="F393">
        <v>1045221</v>
      </c>
      <c r="G393" s="8">
        <f t="shared" si="60"/>
        <v>1133.7333333333333</v>
      </c>
      <c r="H393" s="9">
        <f t="shared" si="61"/>
        <v>1185001888.4000001</v>
      </c>
      <c r="I393" s="9">
        <f t="shared" si="54"/>
        <v>20620991032.716667</v>
      </c>
      <c r="J393" s="9">
        <f t="shared" si="55"/>
        <v>18070682</v>
      </c>
      <c r="K393" s="21">
        <f t="shared" si="56"/>
        <v>1141.1296503760439</v>
      </c>
      <c r="L393" s="4" t="str">
        <f t="shared" si="52"/>
        <v>SELL</v>
      </c>
      <c r="M393" s="4">
        <f t="shared" si="57"/>
        <v>0</v>
      </c>
      <c r="N393" s="4">
        <f t="shared" si="53"/>
        <v>-1</v>
      </c>
      <c r="O393" s="4">
        <f t="shared" si="58"/>
        <v>1171.6500000000001</v>
      </c>
      <c r="P393" s="4">
        <f t="shared" si="59"/>
        <v>0</v>
      </c>
    </row>
    <row r="394" spans="1:16" x14ac:dyDescent="0.25">
      <c r="A394" s="1">
        <v>41828</v>
      </c>
      <c r="B394">
        <v>1135</v>
      </c>
      <c r="C394">
        <v>1144</v>
      </c>
      <c r="D394">
        <v>1123.1500000000001</v>
      </c>
      <c r="E394" s="7">
        <v>1139.9000000000001</v>
      </c>
      <c r="F394">
        <v>2370357</v>
      </c>
      <c r="G394" s="8">
        <f t="shared" si="60"/>
        <v>1135.6833333333334</v>
      </c>
      <c r="H394" s="9">
        <f t="shared" si="61"/>
        <v>2691974938.9500003</v>
      </c>
      <c r="I394" s="9">
        <f t="shared" si="54"/>
        <v>22255594713.466671</v>
      </c>
      <c r="J394" s="9">
        <f t="shared" si="55"/>
        <v>19529787</v>
      </c>
      <c r="K394" s="21">
        <f t="shared" si="56"/>
        <v>1139.5718096396376</v>
      </c>
      <c r="L394" s="4" t="str">
        <f t="shared" si="52"/>
        <v>BUY</v>
      </c>
      <c r="M394" s="4" t="str">
        <f t="shared" si="57"/>
        <v>BUY</v>
      </c>
      <c r="N394" s="4">
        <f t="shared" si="53"/>
        <v>1</v>
      </c>
      <c r="O394" s="4">
        <f t="shared" si="58"/>
        <v>1139.9000000000001</v>
      </c>
      <c r="P394" s="4">
        <f t="shared" si="59"/>
        <v>2.7098536252293772E-2</v>
      </c>
    </row>
    <row r="395" spans="1:16" x14ac:dyDescent="0.25">
      <c r="A395" s="1">
        <v>41829</v>
      </c>
      <c r="B395">
        <v>1139.8</v>
      </c>
      <c r="C395">
        <v>1151.95</v>
      </c>
      <c r="D395">
        <v>1127.25</v>
      </c>
      <c r="E395" s="7">
        <v>1144.6500000000001</v>
      </c>
      <c r="F395">
        <v>1984361</v>
      </c>
      <c r="G395" s="8">
        <f t="shared" si="60"/>
        <v>1141.2833333333333</v>
      </c>
      <c r="H395" s="9">
        <f t="shared" si="61"/>
        <v>2264718136.6166668</v>
      </c>
      <c r="I395" s="9">
        <f t="shared" si="54"/>
        <v>22204401204.25</v>
      </c>
      <c r="J395" s="9">
        <f t="shared" si="55"/>
        <v>19474446</v>
      </c>
      <c r="K395" s="21">
        <f t="shared" si="56"/>
        <v>1140.181405121871</v>
      </c>
      <c r="L395" s="4" t="str">
        <f t="shared" ref="L395:L458" si="62">IF(E395&gt;K395,"BUY",IF(E395&lt;K395,"SELL",0))</f>
        <v>BUY</v>
      </c>
      <c r="M395" s="4">
        <f t="shared" si="57"/>
        <v>0</v>
      </c>
      <c r="N395" s="4">
        <f t="shared" ref="N395:N458" si="63">IF(M395="BUY",1,IF(M395="SELL",-1,N394))</f>
        <v>1</v>
      </c>
      <c r="O395" s="4">
        <f t="shared" si="58"/>
        <v>1139.9000000000001</v>
      </c>
      <c r="P395" s="4">
        <f t="shared" si="59"/>
        <v>0</v>
      </c>
    </row>
    <row r="396" spans="1:16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 s="7">
        <v>1147.1500000000001</v>
      </c>
      <c r="F396">
        <v>1012145</v>
      </c>
      <c r="G396" s="8">
        <f t="shared" si="60"/>
        <v>1146.6500000000001</v>
      </c>
      <c r="H396" s="9">
        <f t="shared" si="61"/>
        <v>1160576064.25</v>
      </c>
      <c r="I396" s="9">
        <f t="shared" ref="I396:I459" si="64">SUM(H387:H396)</f>
        <v>21093516863.5</v>
      </c>
      <c r="J396" s="9">
        <f t="shared" ref="J396:J459" si="65">SUM(F387:F396)</f>
        <v>18510291</v>
      </c>
      <c r="K396" s="21">
        <f t="shared" ref="K396:K459" si="66">I396/J396</f>
        <v>1139.5561994946486</v>
      </c>
      <c r="L396" s="4" t="str">
        <f t="shared" si="62"/>
        <v>BUY</v>
      </c>
      <c r="M396" s="4">
        <f t="shared" ref="M396:M459" si="67">IF(L396&lt;&gt;L395,L396,0)</f>
        <v>0</v>
      </c>
      <c r="N396" s="4">
        <f t="shared" si="63"/>
        <v>1</v>
      </c>
      <c r="O396" s="4">
        <f t="shared" ref="O396:O459" si="68">IF(M396&lt;&gt;0,E396,O395)</f>
        <v>1139.9000000000001</v>
      </c>
      <c r="P396" s="4">
        <f t="shared" ref="P396:P459" si="69">IF(M396="BUY",(O395-O396)/O395,IF(M396="SELL",(O396-O395)/O395,0))</f>
        <v>0</v>
      </c>
    </row>
    <row r="397" spans="1:16" x14ac:dyDescent="0.25">
      <c r="A397" s="1">
        <v>41831</v>
      </c>
      <c r="B397">
        <v>1140</v>
      </c>
      <c r="C397">
        <v>1144.9000000000001</v>
      </c>
      <c r="D397">
        <v>1120.3</v>
      </c>
      <c r="E397" s="7">
        <v>1129.55</v>
      </c>
      <c r="F397">
        <v>2046907</v>
      </c>
      <c r="G397" s="8">
        <f t="shared" si="60"/>
        <v>1131.5833333333333</v>
      </c>
      <c r="H397" s="9">
        <f t="shared" si="61"/>
        <v>2316245846.083333</v>
      </c>
      <c r="I397" s="9">
        <f t="shared" si="64"/>
        <v>19476698945.983334</v>
      </c>
      <c r="J397" s="9">
        <f t="shared" si="65"/>
        <v>17088276</v>
      </c>
      <c r="K397" s="21">
        <f t="shared" si="66"/>
        <v>1139.7696845476592</v>
      </c>
      <c r="L397" s="4" t="str">
        <f t="shared" si="62"/>
        <v>SELL</v>
      </c>
      <c r="M397" s="4" t="str">
        <f t="shared" si="67"/>
        <v>SELL</v>
      </c>
      <c r="N397" s="4">
        <f t="shared" si="63"/>
        <v>-1</v>
      </c>
      <c r="O397" s="4">
        <f t="shared" si="68"/>
        <v>1129.55</v>
      </c>
      <c r="P397" s="4">
        <f t="shared" si="69"/>
        <v>-9.0797438371788188E-3</v>
      </c>
    </row>
    <row r="398" spans="1:16" x14ac:dyDescent="0.25">
      <c r="A398" s="1">
        <v>41834</v>
      </c>
      <c r="B398">
        <v>1133</v>
      </c>
      <c r="C398">
        <v>1142</v>
      </c>
      <c r="D398">
        <v>1121.6500000000001</v>
      </c>
      <c r="E398" s="7">
        <v>1137</v>
      </c>
      <c r="F398">
        <v>859569</v>
      </c>
      <c r="G398" s="8">
        <f t="shared" si="60"/>
        <v>1133.55</v>
      </c>
      <c r="H398" s="9">
        <f t="shared" si="61"/>
        <v>974364439.94999993</v>
      </c>
      <c r="I398" s="9">
        <f t="shared" si="64"/>
        <v>16246975971.766666</v>
      </c>
      <c r="J398" s="9">
        <f t="shared" si="65"/>
        <v>14307995</v>
      </c>
      <c r="K398" s="21">
        <f t="shared" si="66"/>
        <v>1135.517308453537</v>
      </c>
      <c r="L398" s="4" t="str">
        <f t="shared" si="62"/>
        <v>BUY</v>
      </c>
      <c r="M398" s="4" t="str">
        <f t="shared" si="67"/>
        <v>BUY</v>
      </c>
      <c r="N398" s="4">
        <f t="shared" si="63"/>
        <v>1</v>
      </c>
      <c r="O398" s="4">
        <f t="shared" si="68"/>
        <v>1137</v>
      </c>
      <c r="P398" s="4">
        <f t="shared" si="69"/>
        <v>-6.59554689920769E-3</v>
      </c>
    </row>
    <row r="399" spans="1:16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 s="7">
        <v>1135.25</v>
      </c>
      <c r="F399">
        <v>991173</v>
      </c>
      <c r="G399" s="8">
        <f t="shared" si="60"/>
        <v>1136.75</v>
      </c>
      <c r="H399" s="9">
        <f t="shared" si="61"/>
        <v>1126715907.75</v>
      </c>
      <c r="I399" s="9">
        <f t="shared" si="64"/>
        <v>15603079243.716667</v>
      </c>
      <c r="J399" s="9">
        <f t="shared" si="65"/>
        <v>13736564</v>
      </c>
      <c r="K399" s="21">
        <f t="shared" si="66"/>
        <v>1135.8793395289147</v>
      </c>
      <c r="L399" s="4" t="str">
        <f t="shared" si="62"/>
        <v>SELL</v>
      </c>
      <c r="M399" s="4" t="str">
        <f t="shared" si="67"/>
        <v>SELL</v>
      </c>
      <c r="N399" s="4">
        <f t="shared" si="63"/>
        <v>-1</v>
      </c>
      <c r="O399" s="4">
        <f t="shared" si="68"/>
        <v>1135.25</v>
      </c>
      <c r="P399" s="4">
        <f t="shared" si="69"/>
        <v>-1.5391380826737027E-3</v>
      </c>
    </row>
    <row r="400" spans="1:16" x14ac:dyDescent="0.25">
      <c r="A400" s="1">
        <v>41836</v>
      </c>
      <c r="B400">
        <v>1130.5</v>
      </c>
      <c r="C400">
        <v>1134</v>
      </c>
      <c r="D400">
        <v>1122.25</v>
      </c>
      <c r="E400" s="7">
        <v>1130.6500000000001</v>
      </c>
      <c r="F400">
        <v>1012646</v>
      </c>
      <c r="G400" s="8">
        <f t="shared" si="60"/>
        <v>1128.9666666666667</v>
      </c>
      <c r="H400" s="9">
        <f t="shared" si="61"/>
        <v>1143243579.1333334</v>
      </c>
      <c r="I400" s="9">
        <f t="shared" si="64"/>
        <v>15499232319.950003</v>
      </c>
      <c r="J400" s="9">
        <f t="shared" si="65"/>
        <v>13651564</v>
      </c>
      <c r="K400" s="21">
        <f t="shared" si="66"/>
        <v>1135.3448088402181</v>
      </c>
      <c r="L400" s="4" t="str">
        <f t="shared" si="62"/>
        <v>SELL</v>
      </c>
      <c r="M400" s="4">
        <f t="shared" si="67"/>
        <v>0</v>
      </c>
      <c r="N400" s="4">
        <f t="shared" si="63"/>
        <v>-1</v>
      </c>
      <c r="O400" s="4">
        <f t="shared" si="68"/>
        <v>1135.25</v>
      </c>
      <c r="P400" s="4">
        <f t="shared" si="69"/>
        <v>0</v>
      </c>
    </row>
    <row r="401" spans="1:16" x14ac:dyDescent="0.25">
      <c r="A401" s="1">
        <v>41837</v>
      </c>
      <c r="B401">
        <v>1120</v>
      </c>
      <c r="C401">
        <v>1125.7</v>
      </c>
      <c r="D401">
        <v>1095.3499999999999</v>
      </c>
      <c r="E401" s="7">
        <v>1110.3499999999999</v>
      </c>
      <c r="F401">
        <v>1532123</v>
      </c>
      <c r="G401" s="8">
        <f t="shared" si="60"/>
        <v>1110.4666666666667</v>
      </c>
      <c r="H401" s="9">
        <f t="shared" si="61"/>
        <v>1701371520.7333333</v>
      </c>
      <c r="I401" s="9">
        <f t="shared" si="64"/>
        <v>15605219165.6</v>
      </c>
      <c r="J401" s="9">
        <f t="shared" si="65"/>
        <v>13779814</v>
      </c>
      <c r="K401" s="21">
        <f t="shared" si="66"/>
        <v>1132.4695068888448</v>
      </c>
      <c r="L401" s="4" t="str">
        <f t="shared" si="62"/>
        <v>SELL</v>
      </c>
      <c r="M401" s="4">
        <f t="shared" si="67"/>
        <v>0</v>
      </c>
      <c r="N401" s="4">
        <f t="shared" si="63"/>
        <v>-1</v>
      </c>
      <c r="O401" s="4">
        <f t="shared" si="68"/>
        <v>1135.25</v>
      </c>
      <c r="P401" s="4">
        <f t="shared" si="69"/>
        <v>0</v>
      </c>
    </row>
    <row r="402" spans="1:16" x14ac:dyDescent="0.25">
      <c r="A402" s="1">
        <v>41838</v>
      </c>
      <c r="B402">
        <v>1110.05</v>
      </c>
      <c r="C402">
        <v>1119.5</v>
      </c>
      <c r="D402">
        <v>1091.0999999999999</v>
      </c>
      <c r="E402" s="7">
        <v>1095.8499999999999</v>
      </c>
      <c r="F402">
        <v>1524647</v>
      </c>
      <c r="G402" s="8">
        <f t="shared" si="60"/>
        <v>1102.1499999999999</v>
      </c>
      <c r="H402" s="9">
        <f t="shared" si="61"/>
        <v>1680389691.0499997</v>
      </c>
      <c r="I402" s="9">
        <f t="shared" si="64"/>
        <v>16244602012.916666</v>
      </c>
      <c r="J402" s="9">
        <f t="shared" si="65"/>
        <v>14379149</v>
      </c>
      <c r="K402" s="21">
        <f t="shared" si="66"/>
        <v>1129.7331999909497</v>
      </c>
      <c r="L402" s="4" t="str">
        <f t="shared" si="62"/>
        <v>SELL</v>
      </c>
      <c r="M402" s="4">
        <f t="shared" si="67"/>
        <v>0</v>
      </c>
      <c r="N402" s="4">
        <f t="shared" si="63"/>
        <v>-1</v>
      </c>
      <c r="O402" s="4">
        <f t="shared" si="68"/>
        <v>1135.25</v>
      </c>
      <c r="P402" s="4">
        <f t="shared" si="69"/>
        <v>0</v>
      </c>
    </row>
    <row r="403" spans="1:16" x14ac:dyDescent="0.25">
      <c r="A403" s="1">
        <v>41841</v>
      </c>
      <c r="B403">
        <v>1073.1500000000001</v>
      </c>
      <c r="C403">
        <v>1074</v>
      </c>
      <c r="D403">
        <v>1028</v>
      </c>
      <c r="E403" s="7">
        <v>1057.95</v>
      </c>
      <c r="F403">
        <v>2634694</v>
      </c>
      <c r="G403" s="8">
        <f t="shared" si="60"/>
        <v>1053.3166666666666</v>
      </c>
      <c r="H403" s="9">
        <f t="shared" si="61"/>
        <v>2775167101.7666664</v>
      </c>
      <c r="I403" s="9">
        <f t="shared" si="64"/>
        <v>17834767226.283333</v>
      </c>
      <c r="J403" s="9">
        <f t="shared" si="65"/>
        <v>15968622</v>
      </c>
      <c r="K403" s="21">
        <f t="shared" si="66"/>
        <v>1116.8632601036791</v>
      </c>
      <c r="L403" s="4" t="str">
        <f t="shared" si="62"/>
        <v>SELL</v>
      </c>
      <c r="M403" s="4">
        <f t="shared" si="67"/>
        <v>0</v>
      </c>
      <c r="N403" s="4">
        <f t="shared" si="63"/>
        <v>-1</v>
      </c>
      <c r="O403" s="4">
        <f t="shared" si="68"/>
        <v>1135.25</v>
      </c>
      <c r="P403" s="4">
        <f t="shared" si="69"/>
        <v>0</v>
      </c>
    </row>
    <row r="404" spans="1:16" x14ac:dyDescent="0.25">
      <c r="A404" s="1">
        <v>41842</v>
      </c>
      <c r="B404">
        <v>1011.2</v>
      </c>
      <c r="C404">
        <v>1033.3499999999999</v>
      </c>
      <c r="D404">
        <v>996.6</v>
      </c>
      <c r="E404" s="7">
        <v>1005.35</v>
      </c>
      <c r="F404">
        <v>3274653</v>
      </c>
      <c r="G404" s="8">
        <f t="shared" si="60"/>
        <v>1011.7666666666665</v>
      </c>
      <c r="H404" s="9">
        <f t="shared" si="61"/>
        <v>3313184750.2999997</v>
      </c>
      <c r="I404" s="9">
        <f t="shared" si="64"/>
        <v>18455977037.633331</v>
      </c>
      <c r="J404" s="9">
        <f t="shared" si="65"/>
        <v>16872918</v>
      </c>
      <c r="K404" s="21">
        <f t="shared" si="66"/>
        <v>1093.8224815431054</v>
      </c>
      <c r="L404" s="4" t="str">
        <f t="shared" si="62"/>
        <v>SELL</v>
      </c>
      <c r="M404" s="4">
        <f t="shared" si="67"/>
        <v>0</v>
      </c>
      <c r="N404" s="4">
        <f t="shared" si="63"/>
        <v>-1</v>
      </c>
      <c r="O404" s="4">
        <f t="shared" si="68"/>
        <v>1135.25</v>
      </c>
      <c r="P404" s="4">
        <f t="shared" si="69"/>
        <v>0</v>
      </c>
    </row>
    <row r="405" spans="1:16" x14ac:dyDescent="0.25">
      <c r="A405" s="1">
        <v>41843</v>
      </c>
      <c r="B405">
        <v>965</v>
      </c>
      <c r="C405">
        <v>985.2</v>
      </c>
      <c r="D405">
        <v>947.7</v>
      </c>
      <c r="E405" s="7">
        <v>964.8</v>
      </c>
      <c r="F405">
        <v>4079635</v>
      </c>
      <c r="G405" s="8">
        <f t="shared" si="60"/>
        <v>965.9</v>
      </c>
      <c r="H405" s="9">
        <f t="shared" si="61"/>
        <v>3940519446.5</v>
      </c>
      <c r="I405" s="9">
        <f t="shared" si="64"/>
        <v>20131778347.516663</v>
      </c>
      <c r="J405" s="9">
        <f t="shared" si="65"/>
        <v>18968192</v>
      </c>
      <c r="K405" s="21">
        <f t="shared" si="66"/>
        <v>1061.3440831638916</v>
      </c>
      <c r="L405" s="4" t="str">
        <f t="shared" si="62"/>
        <v>SELL</v>
      </c>
      <c r="M405" s="4">
        <f t="shared" si="67"/>
        <v>0</v>
      </c>
      <c r="N405" s="4">
        <f t="shared" si="63"/>
        <v>-1</v>
      </c>
      <c r="O405" s="4">
        <f t="shared" si="68"/>
        <v>1135.25</v>
      </c>
      <c r="P405" s="4">
        <f t="shared" si="69"/>
        <v>0</v>
      </c>
    </row>
    <row r="406" spans="1:16" x14ac:dyDescent="0.25">
      <c r="A406" s="1">
        <v>41844</v>
      </c>
      <c r="B406">
        <v>999</v>
      </c>
      <c r="C406">
        <v>1012</v>
      </c>
      <c r="D406">
        <v>973.8</v>
      </c>
      <c r="E406" s="7">
        <v>984.05</v>
      </c>
      <c r="F406">
        <v>2974540</v>
      </c>
      <c r="G406" s="8">
        <f t="shared" si="60"/>
        <v>989.94999999999993</v>
      </c>
      <c r="H406" s="9">
        <f t="shared" si="61"/>
        <v>2944645873</v>
      </c>
      <c r="I406" s="9">
        <f t="shared" si="64"/>
        <v>21915848156.266663</v>
      </c>
      <c r="J406" s="9">
        <f t="shared" si="65"/>
        <v>20930587</v>
      </c>
      <c r="K406" s="21">
        <f t="shared" si="66"/>
        <v>1047.0727914256138</v>
      </c>
      <c r="L406" s="4" t="str">
        <f t="shared" si="62"/>
        <v>SELL</v>
      </c>
      <c r="M406" s="4">
        <f t="shared" si="67"/>
        <v>0</v>
      </c>
      <c r="N406" s="4">
        <f t="shared" si="63"/>
        <v>-1</v>
      </c>
      <c r="O406" s="4">
        <f t="shared" si="68"/>
        <v>1135.25</v>
      </c>
      <c r="P406" s="4">
        <f t="shared" si="69"/>
        <v>0</v>
      </c>
    </row>
    <row r="407" spans="1:16" x14ac:dyDescent="0.25">
      <c r="A407" s="1">
        <v>41845</v>
      </c>
      <c r="B407">
        <v>980</v>
      </c>
      <c r="C407">
        <v>983.4</v>
      </c>
      <c r="D407">
        <v>963</v>
      </c>
      <c r="E407" s="7">
        <v>978.35</v>
      </c>
      <c r="F407">
        <v>1450232</v>
      </c>
      <c r="G407" s="8">
        <f t="shared" si="60"/>
        <v>974.91666666666663</v>
      </c>
      <c r="H407" s="9">
        <f t="shared" si="61"/>
        <v>1413855347.3333333</v>
      </c>
      <c r="I407" s="9">
        <f t="shared" si="64"/>
        <v>21013457657.516666</v>
      </c>
      <c r="J407" s="9">
        <f t="shared" si="65"/>
        <v>20333912</v>
      </c>
      <c r="K407" s="21">
        <f t="shared" si="66"/>
        <v>1033.4193271573452</v>
      </c>
      <c r="L407" s="4" t="str">
        <f t="shared" si="62"/>
        <v>SELL</v>
      </c>
      <c r="M407" s="4">
        <f t="shared" si="67"/>
        <v>0</v>
      </c>
      <c r="N407" s="4">
        <f t="shared" si="63"/>
        <v>-1</v>
      </c>
      <c r="O407" s="4">
        <f t="shared" si="68"/>
        <v>1135.25</v>
      </c>
      <c r="P407" s="4">
        <f t="shared" si="69"/>
        <v>0</v>
      </c>
    </row>
    <row r="408" spans="1:16" x14ac:dyDescent="0.25">
      <c r="A408" s="1">
        <v>41848</v>
      </c>
      <c r="B408">
        <v>990.55</v>
      </c>
      <c r="C408">
        <v>991.9</v>
      </c>
      <c r="D408">
        <v>937.5</v>
      </c>
      <c r="E408" s="7">
        <v>947.15</v>
      </c>
      <c r="F408">
        <v>2084542</v>
      </c>
      <c r="G408" s="8">
        <f t="shared" si="60"/>
        <v>958.85</v>
      </c>
      <c r="H408" s="9">
        <f t="shared" si="61"/>
        <v>1998763096.7</v>
      </c>
      <c r="I408" s="9">
        <f t="shared" si="64"/>
        <v>22037856314.266663</v>
      </c>
      <c r="J408" s="9">
        <f t="shared" si="65"/>
        <v>21558885</v>
      </c>
      <c r="K408" s="21">
        <f t="shared" si="66"/>
        <v>1022.2168871101943</v>
      </c>
      <c r="L408" s="4" t="str">
        <f t="shared" si="62"/>
        <v>SELL</v>
      </c>
      <c r="M408" s="4">
        <f t="shared" si="67"/>
        <v>0</v>
      </c>
      <c r="N408" s="4">
        <f t="shared" si="63"/>
        <v>-1</v>
      </c>
      <c r="O408" s="4">
        <f t="shared" si="68"/>
        <v>1135.25</v>
      </c>
      <c r="P408" s="4">
        <f t="shared" si="69"/>
        <v>0</v>
      </c>
    </row>
    <row r="409" spans="1:16" x14ac:dyDescent="0.25">
      <c r="A409" s="1">
        <v>41849</v>
      </c>
      <c r="B409">
        <v>967</v>
      </c>
      <c r="C409">
        <v>978.35</v>
      </c>
      <c r="D409">
        <v>956.05</v>
      </c>
      <c r="E409" s="7">
        <v>973.6</v>
      </c>
      <c r="F409">
        <v>1491784</v>
      </c>
      <c r="G409" s="8">
        <f t="shared" si="60"/>
        <v>969.33333333333337</v>
      </c>
      <c r="H409" s="9">
        <f t="shared" si="61"/>
        <v>1446035957.3333335</v>
      </c>
      <c r="I409" s="9">
        <f t="shared" si="64"/>
        <v>22357176363.849995</v>
      </c>
      <c r="J409" s="9">
        <f t="shared" si="65"/>
        <v>22059496</v>
      </c>
      <c r="K409" s="21">
        <f t="shared" si="66"/>
        <v>1013.4944317789489</v>
      </c>
      <c r="L409" s="4" t="str">
        <f t="shared" si="62"/>
        <v>SELL</v>
      </c>
      <c r="M409" s="4">
        <f t="shared" si="67"/>
        <v>0</v>
      </c>
      <c r="N409" s="4">
        <f t="shared" si="63"/>
        <v>-1</v>
      </c>
      <c r="O409" s="4">
        <f t="shared" si="68"/>
        <v>1135.25</v>
      </c>
      <c r="P409" s="4">
        <f t="shared" si="69"/>
        <v>0</v>
      </c>
    </row>
    <row r="410" spans="1:16" x14ac:dyDescent="0.25">
      <c r="A410" s="1">
        <v>41850</v>
      </c>
      <c r="B410">
        <v>974.5</v>
      </c>
      <c r="C410">
        <v>1009.4</v>
      </c>
      <c r="D410">
        <v>970</v>
      </c>
      <c r="E410" s="7">
        <v>999.9</v>
      </c>
      <c r="F410">
        <v>2278946</v>
      </c>
      <c r="G410" s="8">
        <f t="shared" si="60"/>
        <v>993.1</v>
      </c>
      <c r="H410" s="9">
        <f t="shared" si="61"/>
        <v>2263221272.5999999</v>
      </c>
      <c r="I410" s="9">
        <f t="shared" si="64"/>
        <v>23477154057.316662</v>
      </c>
      <c r="J410" s="9">
        <f t="shared" si="65"/>
        <v>23325796</v>
      </c>
      <c r="K410" s="21">
        <f t="shared" si="66"/>
        <v>1006.4888699753982</v>
      </c>
      <c r="L410" s="4" t="str">
        <f t="shared" si="62"/>
        <v>SELL</v>
      </c>
      <c r="M410" s="4">
        <f t="shared" si="67"/>
        <v>0</v>
      </c>
      <c r="N410" s="4">
        <f t="shared" si="63"/>
        <v>-1</v>
      </c>
      <c r="O410" s="4">
        <f t="shared" si="68"/>
        <v>1135.25</v>
      </c>
      <c r="P410" s="4">
        <f t="shared" si="69"/>
        <v>0</v>
      </c>
    </row>
    <row r="411" spans="1:16" x14ac:dyDescent="0.25">
      <c r="A411" s="1">
        <v>41851</v>
      </c>
      <c r="B411">
        <v>1005.9</v>
      </c>
      <c r="C411">
        <v>1009.3</v>
      </c>
      <c r="D411">
        <v>958</v>
      </c>
      <c r="E411" s="7">
        <v>962.35</v>
      </c>
      <c r="F411">
        <v>1809948</v>
      </c>
      <c r="G411" s="8">
        <f t="shared" si="60"/>
        <v>976.55000000000007</v>
      </c>
      <c r="H411" s="9">
        <f t="shared" si="61"/>
        <v>1767504719.4000001</v>
      </c>
      <c r="I411" s="9">
        <f t="shared" si="64"/>
        <v>23543287255.98333</v>
      </c>
      <c r="J411" s="9">
        <f t="shared" si="65"/>
        <v>23603621</v>
      </c>
      <c r="K411" s="21">
        <f t="shared" si="66"/>
        <v>997.44387761451219</v>
      </c>
      <c r="L411" s="4" t="str">
        <f t="shared" si="62"/>
        <v>SELL</v>
      </c>
      <c r="M411" s="4">
        <f t="shared" si="67"/>
        <v>0</v>
      </c>
      <c r="N411" s="4">
        <f t="shared" si="63"/>
        <v>-1</v>
      </c>
      <c r="O411" s="4">
        <f t="shared" si="68"/>
        <v>1135.25</v>
      </c>
      <c r="P411" s="4">
        <f t="shared" si="69"/>
        <v>0</v>
      </c>
    </row>
    <row r="412" spans="1:16" x14ac:dyDescent="0.25">
      <c r="A412" s="1">
        <v>41852</v>
      </c>
      <c r="B412">
        <v>943</v>
      </c>
      <c r="C412">
        <v>946.95</v>
      </c>
      <c r="D412">
        <v>905</v>
      </c>
      <c r="E412" s="7">
        <v>928.95</v>
      </c>
      <c r="F412">
        <v>2721807</v>
      </c>
      <c r="G412" s="8">
        <f t="shared" si="60"/>
        <v>926.9666666666667</v>
      </c>
      <c r="H412" s="9">
        <f t="shared" si="61"/>
        <v>2523024362.0999999</v>
      </c>
      <c r="I412" s="9">
        <f t="shared" si="64"/>
        <v>24385921927.033333</v>
      </c>
      <c r="J412" s="9">
        <f t="shared" si="65"/>
        <v>24800781</v>
      </c>
      <c r="K412" s="21">
        <f t="shared" si="66"/>
        <v>983.27233836036589</v>
      </c>
      <c r="L412" s="4" t="str">
        <f t="shared" si="62"/>
        <v>SELL</v>
      </c>
      <c r="M412" s="4">
        <f t="shared" si="67"/>
        <v>0</v>
      </c>
      <c r="N412" s="4">
        <f t="shared" si="63"/>
        <v>-1</v>
      </c>
      <c r="O412" s="4">
        <f t="shared" si="68"/>
        <v>1135.25</v>
      </c>
      <c r="P412" s="4">
        <f t="shared" si="69"/>
        <v>0</v>
      </c>
    </row>
    <row r="413" spans="1:16" x14ac:dyDescent="0.25">
      <c r="A413" s="1">
        <v>41855</v>
      </c>
      <c r="B413">
        <v>929</v>
      </c>
      <c r="C413">
        <v>930</v>
      </c>
      <c r="D413">
        <v>902</v>
      </c>
      <c r="E413" s="7">
        <v>918.05</v>
      </c>
      <c r="F413">
        <v>1764461</v>
      </c>
      <c r="G413" s="8">
        <f t="shared" si="60"/>
        <v>916.68333333333339</v>
      </c>
      <c r="H413" s="9">
        <f t="shared" si="61"/>
        <v>1617451991.0166669</v>
      </c>
      <c r="I413" s="9">
        <f t="shared" si="64"/>
        <v>23228206816.283333</v>
      </c>
      <c r="J413" s="9">
        <f t="shared" si="65"/>
        <v>23930548</v>
      </c>
      <c r="K413" s="21">
        <f t="shared" si="66"/>
        <v>970.65085247037939</v>
      </c>
      <c r="L413" s="4" t="str">
        <f t="shared" si="62"/>
        <v>SELL</v>
      </c>
      <c r="M413" s="4">
        <f t="shared" si="67"/>
        <v>0</v>
      </c>
      <c r="N413" s="4">
        <f t="shared" si="63"/>
        <v>-1</v>
      </c>
      <c r="O413" s="4">
        <f t="shared" si="68"/>
        <v>1135.25</v>
      </c>
      <c r="P413" s="4">
        <f t="shared" si="69"/>
        <v>0</v>
      </c>
    </row>
    <row r="414" spans="1:16" x14ac:dyDescent="0.25">
      <c r="A414" s="1">
        <v>41856</v>
      </c>
      <c r="B414">
        <v>920.85</v>
      </c>
      <c r="C414">
        <v>988</v>
      </c>
      <c r="D414">
        <v>920.35</v>
      </c>
      <c r="E414" s="7">
        <v>981.6</v>
      </c>
      <c r="F414">
        <v>2437335</v>
      </c>
      <c r="G414" s="8">
        <f t="shared" si="60"/>
        <v>963.31666666666661</v>
      </c>
      <c r="H414" s="9">
        <f t="shared" si="61"/>
        <v>2347925427.75</v>
      </c>
      <c r="I414" s="9">
        <f t="shared" si="64"/>
        <v>22262947493.733334</v>
      </c>
      <c r="J414" s="9">
        <f t="shared" si="65"/>
        <v>23093230</v>
      </c>
      <c r="K414" s="21">
        <f t="shared" si="66"/>
        <v>964.04649733854183</v>
      </c>
      <c r="L414" s="4" t="str">
        <f t="shared" si="62"/>
        <v>BUY</v>
      </c>
      <c r="M414" s="4" t="str">
        <f t="shared" si="67"/>
        <v>BUY</v>
      </c>
      <c r="N414" s="4">
        <f t="shared" si="63"/>
        <v>1</v>
      </c>
      <c r="O414" s="4">
        <f t="shared" si="68"/>
        <v>981.6</v>
      </c>
      <c r="P414" s="4">
        <f t="shared" si="69"/>
        <v>0.13534463774499006</v>
      </c>
    </row>
    <row r="415" spans="1:16" x14ac:dyDescent="0.25">
      <c r="A415" s="1">
        <v>41857</v>
      </c>
      <c r="B415">
        <v>978</v>
      </c>
      <c r="C415">
        <v>978</v>
      </c>
      <c r="D415">
        <v>955</v>
      </c>
      <c r="E415" s="7">
        <v>962.6</v>
      </c>
      <c r="F415">
        <v>1597395</v>
      </c>
      <c r="G415" s="8">
        <f t="shared" si="60"/>
        <v>965.19999999999993</v>
      </c>
      <c r="H415" s="9">
        <f t="shared" si="61"/>
        <v>1541805654</v>
      </c>
      <c r="I415" s="9">
        <f t="shared" si="64"/>
        <v>19864233701.233334</v>
      </c>
      <c r="J415" s="9">
        <f t="shared" si="65"/>
        <v>20610990</v>
      </c>
      <c r="K415" s="21">
        <f t="shared" si="66"/>
        <v>963.76902328482686</v>
      </c>
      <c r="L415" s="4" t="str">
        <f t="shared" si="62"/>
        <v>SELL</v>
      </c>
      <c r="M415" s="4" t="str">
        <f t="shared" si="67"/>
        <v>SELL</v>
      </c>
      <c r="N415" s="4">
        <f t="shared" si="63"/>
        <v>-1</v>
      </c>
      <c r="O415" s="4">
        <f t="shared" si="68"/>
        <v>962.6</v>
      </c>
      <c r="P415" s="4">
        <f t="shared" si="69"/>
        <v>-1.9356153219233903E-2</v>
      </c>
    </row>
    <row r="416" spans="1:16" x14ac:dyDescent="0.25">
      <c r="A416" s="1">
        <v>41858</v>
      </c>
      <c r="B416">
        <v>969.7</v>
      </c>
      <c r="C416">
        <v>973</v>
      </c>
      <c r="D416">
        <v>938</v>
      </c>
      <c r="E416" s="7">
        <v>950.4</v>
      </c>
      <c r="F416">
        <v>2222744</v>
      </c>
      <c r="G416" s="8">
        <f t="shared" si="60"/>
        <v>953.80000000000007</v>
      </c>
      <c r="H416" s="9">
        <f t="shared" si="61"/>
        <v>2120053227.2</v>
      </c>
      <c r="I416" s="9">
        <f t="shared" si="64"/>
        <v>19039641055.433334</v>
      </c>
      <c r="J416" s="9">
        <f t="shared" si="65"/>
        <v>19859194</v>
      </c>
      <c r="K416" s="21">
        <f t="shared" si="66"/>
        <v>958.73181235015556</v>
      </c>
      <c r="L416" s="4" t="str">
        <f t="shared" si="62"/>
        <v>SELL</v>
      </c>
      <c r="M416" s="4">
        <f t="shared" si="67"/>
        <v>0</v>
      </c>
      <c r="N416" s="4">
        <f t="shared" si="63"/>
        <v>-1</v>
      </c>
      <c r="O416" s="4">
        <f t="shared" si="68"/>
        <v>962.6</v>
      </c>
      <c r="P416" s="4">
        <f t="shared" si="69"/>
        <v>0</v>
      </c>
    </row>
    <row r="417" spans="1:16" x14ac:dyDescent="0.25">
      <c r="A417" s="1">
        <v>41859</v>
      </c>
      <c r="B417">
        <v>951.1</v>
      </c>
      <c r="C417">
        <v>969.5</v>
      </c>
      <c r="D417">
        <v>940</v>
      </c>
      <c r="E417" s="7">
        <v>948.45</v>
      </c>
      <c r="F417">
        <v>1792455</v>
      </c>
      <c r="G417" s="8">
        <f t="shared" si="60"/>
        <v>952.65</v>
      </c>
      <c r="H417" s="9">
        <f t="shared" si="61"/>
        <v>1707582255.75</v>
      </c>
      <c r="I417" s="9">
        <f t="shared" si="64"/>
        <v>19333367963.849998</v>
      </c>
      <c r="J417" s="9">
        <f t="shared" si="65"/>
        <v>20201417</v>
      </c>
      <c r="K417" s="21">
        <f t="shared" si="66"/>
        <v>957.03028969947991</v>
      </c>
      <c r="L417" s="4" t="str">
        <f t="shared" si="62"/>
        <v>SELL</v>
      </c>
      <c r="M417" s="4">
        <f t="shared" si="67"/>
        <v>0</v>
      </c>
      <c r="N417" s="4">
        <f t="shared" si="63"/>
        <v>-1</v>
      </c>
      <c r="O417" s="4">
        <f t="shared" si="68"/>
        <v>962.6</v>
      </c>
      <c r="P417" s="4">
        <f t="shared" si="69"/>
        <v>0</v>
      </c>
    </row>
    <row r="418" spans="1:16" x14ac:dyDescent="0.25">
      <c r="A418" s="1">
        <v>41862</v>
      </c>
      <c r="B418">
        <v>964.1</v>
      </c>
      <c r="C418">
        <v>1024</v>
      </c>
      <c r="D418">
        <v>964.1</v>
      </c>
      <c r="E418" s="7">
        <v>1019.6</v>
      </c>
      <c r="F418">
        <v>2795222</v>
      </c>
      <c r="G418" s="8">
        <f t="shared" si="60"/>
        <v>1002.5666666666666</v>
      </c>
      <c r="H418" s="9">
        <f t="shared" si="61"/>
        <v>2802396403.1333332</v>
      </c>
      <c r="I418" s="9">
        <f t="shared" si="64"/>
        <v>20137001270.283333</v>
      </c>
      <c r="J418" s="9">
        <f t="shared" si="65"/>
        <v>20912097</v>
      </c>
      <c r="K418" s="21">
        <f t="shared" si="66"/>
        <v>962.9355329732515</v>
      </c>
      <c r="L418" s="4" t="str">
        <f t="shared" si="62"/>
        <v>BUY</v>
      </c>
      <c r="M418" s="4" t="str">
        <f t="shared" si="67"/>
        <v>BUY</v>
      </c>
      <c r="N418" s="4">
        <f t="shared" si="63"/>
        <v>1</v>
      </c>
      <c r="O418" s="4">
        <f t="shared" si="68"/>
        <v>1019.6</v>
      </c>
      <c r="P418" s="4">
        <f t="shared" si="69"/>
        <v>-5.9214627051734886E-2</v>
      </c>
    </row>
    <row r="419" spans="1:16" x14ac:dyDescent="0.25">
      <c r="A419" s="1">
        <v>41863</v>
      </c>
      <c r="B419">
        <v>1030</v>
      </c>
      <c r="C419">
        <v>1050.3</v>
      </c>
      <c r="D419">
        <v>1024.1500000000001</v>
      </c>
      <c r="E419" s="7">
        <v>1042.4000000000001</v>
      </c>
      <c r="F419">
        <v>2983341</v>
      </c>
      <c r="G419" s="8">
        <f t="shared" si="60"/>
        <v>1038.95</v>
      </c>
      <c r="H419" s="9">
        <f t="shared" si="61"/>
        <v>3099542131.9500003</v>
      </c>
      <c r="I419" s="9">
        <f t="shared" si="64"/>
        <v>21790507444.900002</v>
      </c>
      <c r="J419" s="9">
        <f t="shared" si="65"/>
        <v>22403654</v>
      </c>
      <c r="K419" s="21">
        <f t="shared" si="66"/>
        <v>972.63185036244545</v>
      </c>
      <c r="L419" s="4" t="str">
        <f t="shared" si="62"/>
        <v>BUY</v>
      </c>
      <c r="M419" s="4">
        <f t="shared" si="67"/>
        <v>0</v>
      </c>
      <c r="N419" s="4">
        <f t="shared" si="63"/>
        <v>1</v>
      </c>
      <c r="O419" s="4">
        <f t="shared" si="68"/>
        <v>1019.6</v>
      </c>
      <c r="P419" s="4">
        <f t="shared" si="69"/>
        <v>0</v>
      </c>
    </row>
    <row r="420" spans="1:16" x14ac:dyDescent="0.25">
      <c r="A420" s="1">
        <v>41864</v>
      </c>
      <c r="B420">
        <v>1073</v>
      </c>
      <c r="C420">
        <v>1074.75</v>
      </c>
      <c r="D420">
        <v>1012</v>
      </c>
      <c r="E420" s="7">
        <v>1022.1</v>
      </c>
      <c r="F420">
        <v>2206753</v>
      </c>
      <c r="G420" s="8">
        <f t="shared" si="60"/>
        <v>1036.2833333333333</v>
      </c>
      <c r="H420" s="9">
        <f t="shared" si="61"/>
        <v>2286821354.6833334</v>
      </c>
      <c r="I420" s="9">
        <f t="shared" si="64"/>
        <v>21814107526.983334</v>
      </c>
      <c r="J420" s="9">
        <f t="shared" si="65"/>
        <v>22331461</v>
      </c>
      <c r="K420" s="21">
        <f t="shared" si="66"/>
        <v>976.83297689225674</v>
      </c>
      <c r="L420" s="4" t="str">
        <f t="shared" si="62"/>
        <v>BUY</v>
      </c>
      <c r="M420" s="4">
        <f t="shared" si="67"/>
        <v>0</v>
      </c>
      <c r="N420" s="4">
        <f t="shared" si="63"/>
        <v>1</v>
      </c>
      <c r="O420" s="4">
        <f t="shared" si="68"/>
        <v>1019.6</v>
      </c>
      <c r="P420" s="4">
        <f t="shared" si="69"/>
        <v>0</v>
      </c>
    </row>
    <row r="421" spans="1:16" x14ac:dyDescent="0.25">
      <c r="A421" s="1">
        <v>41865</v>
      </c>
      <c r="B421">
        <v>1015.8</v>
      </c>
      <c r="C421">
        <v>1033.2</v>
      </c>
      <c r="D421">
        <v>998.45</v>
      </c>
      <c r="E421" s="7">
        <v>1027.7</v>
      </c>
      <c r="F421">
        <v>1894829</v>
      </c>
      <c r="G421" s="8">
        <f t="shared" si="60"/>
        <v>1019.7833333333334</v>
      </c>
      <c r="H421" s="9">
        <f t="shared" si="61"/>
        <v>1932315033.7166669</v>
      </c>
      <c r="I421" s="9">
        <f t="shared" si="64"/>
        <v>21978917841.300003</v>
      </c>
      <c r="J421" s="9">
        <f t="shared" si="65"/>
        <v>22416342</v>
      </c>
      <c r="K421" s="21">
        <f t="shared" si="66"/>
        <v>980.48637200931375</v>
      </c>
      <c r="L421" s="4" t="str">
        <f t="shared" si="62"/>
        <v>BUY</v>
      </c>
      <c r="M421" s="4">
        <f t="shared" si="67"/>
        <v>0</v>
      </c>
      <c r="N421" s="4">
        <f t="shared" si="63"/>
        <v>1</v>
      </c>
      <c r="O421" s="4">
        <f t="shared" si="68"/>
        <v>1019.6</v>
      </c>
      <c r="P421" s="4">
        <f t="shared" si="69"/>
        <v>0</v>
      </c>
    </row>
    <row r="422" spans="1:16" x14ac:dyDescent="0.25">
      <c r="A422" s="1">
        <v>41866</v>
      </c>
      <c r="B422">
        <v>1018</v>
      </c>
      <c r="C422">
        <v>1042</v>
      </c>
      <c r="D422">
        <v>1005</v>
      </c>
      <c r="E422" s="7">
        <v>1033.9000000000001</v>
      </c>
      <c r="F422">
        <v>2381646</v>
      </c>
      <c r="G422" s="8">
        <f t="shared" si="60"/>
        <v>1026.9666666666667</v>
      </c>
      <c r="H422" s="9">
        <f t="shared" si="61"/>
        <v>2445871053.8000002</v>
      </c>
      <c r="I422" s="9">
        <f t="shared" si="64"/>
        <v>21901764533</v>
      </c>
      <c r="J422" s="9">
        <f t="shared" si="65"/>
        <v>22076181</v>
      </c>
      <c r="K422" s="21">
        <f t="shared" si="66"/>
        <v>992.09933697318388</v>
      </c>
      <c r="L422" s="4" t="str">
        <f t="shared" si="62"/>
        <v>BUY</v>
      </c>
      <c r="M422" s="4">
        <f t="shared" si="67"/>
        <v>0</v>
      </c>
      <c r="N422" s="4">
        <f t="shared" si="63"/>
        <v>1</v>
      </c>
      <c r="O422" s="4">
        <f t="shared" si="68"/>
        <v>1019.6</v>
      </c>
      <c r="P422" s="4">
        <f t="shared" si="69"/>
        <v>0</v>
      </c>
    </row>
    <row r="423" spans="1:16" x14ac:dyDescent="0.25">
      <c r="A423" s="1">
        <v>41869</v>
      </c>
      <c r="B423">
        <v>1034.0999999999999</v>
      </c>
      <c r="C423">
        <v>1050</v>
      </c>
      <c r="D423">
        <v>1025</v>
      </c>
      <c r="E423" s="7">
        <v>1031</v>
      </c>
      <c r="F423">
        <v>2216078</v>
      </c>
      <c r="G423" s="8">
        <f t="shared" si="60"/>
        <v>1035.3333333333333</v>
      </c>
      <c r="H423" s="9">
        <f t="shared" si="61"/>
        <v>2294379422.6666665</v>
      </c>
      <c r="I423" s="9">
        <f t="shared" si="64"/>
        <v>22578691964.650002</v>
      </c>
      <c r="J423" s="9">
        <f t="shared" si="65"/>
        <v>22527798</v>
      </c>
      <c r="K423" s="21">
        <f t="shared" si="66"/>
        <v>1002.2591628640314</v>
      </c>
      <c r="L423" s="4" t="str">
        <f t="shared" si="62"/>
        <v>BUY</v>
      </c>
      <c r="M423" s="4">
        <f t="shared" si="67"/>
        <v>0</v>
      </c>
      <c r="N423" s="4">
        <f t="shared" si="63"/>
        <v>1</v>
      </c>
      <c r="O423" s="4">
        <f t="shared" si="68"/>
        <v>1019.6</v>
      </c>
      <c r="P423" s="4">
        <f t="shared" si="69"/>
        <v>0</v>
      </c>
    </row>
    <row r="424" spans="1:16" x14ac:dyDescent="0.25">
      <c r="A424" s="1">
        <v>41870</v>
      </c>
      <c r="B424">
        <v>1033</v>
      </c>
      <c r="C424">
        <v>1054.95</v>
      </c>
      <c r="D424">
        <v>1029</v>
      </c>
      <c r="E424" s="7">
        <v>1036.05</v>
      </c>
      <c r="F424">
        <v>2446331</v>
      </c>
      <c r="G424" s="8">
        <f t="shared" si="60"/>
        <v>1040</v>
      </c>
      <c r="H424" s="9">
        <f t="shared" si="61"/>
        <v>2544184240</v>
      </c>
      <c r="I424" s="9">
        <f t="shared" si="64"/>
        <v>22774950776.900002</v>
      </c>
      <c r="J424" s="9">
        <f t="shared" si="65"/>
        <v>22536794</v>
      </c>
      <c r="K424" s="21">
        <f t="shared" si="66"/>
        <v>1010.567464782258</v>
      </c>
      <c r="L424" s="4" t="str">
        <f t="shared" si="62"/>
        <v>BUY</v>
      </c>
      <c r="M424" s="4">
        <f t="shared" si="67"/>
        <v>0</v>
      </c>
      <c r="N424" s="4">
        <f t="shared" si="63"/>
        <v>1</v>
      </c>
      <c r="O424" s="4">
        <f t="shared" si="68"/>
        <v>1019.6</v>
      </c>
      <c r="P424" s="4">
        <f t="shared" si="69"/>
        <v>0</v>
      </c>
    </row>
    <row r="425" spans="1:16" x14ac:dyDescent="0.25">
      <c r="A425" s="1">
        <v>41871</v>
      </c>
      <c r="B425">
        <v>1040</v>
      </c>
      <c r="C425">
        <v>1051.5999999999999</v>
      </c>
      <c r="D425">
        <v>1010.65</v>
      </c>
      <c r="E425" s="7">
        <v>1016.05</v>
      </c>
      <c r="F425">
        <v>2531325</v>
      </c>
      <c r="G425" s="8">
        <f t="shared" si="60"/>
        <v>1026.1000000000001</v>
      </c>
      <c r="H425" s="9">
        <f t="shared" si="61"/>
        <v>2597392582.5000005</v>
      </c>
      <c r="I425" s="9">
        <f t="shared" si="64"/>
        <v>23830537705.400002</v>
      </c>
      <c r="J425" s="9">
        <f t="shared" si="65"/>
        <v>23470724</v>
      </c>
      <c r="K425" s="21">
        <f t="shared" si="66"/>
        <v>1015.3303198231125</v>
      </c>
      <c r="L425" s="4" t="str">
        <f t="shared" si="62"/>
        <v>BUY</v>
      </c>
      <c r="M425" s="4">
        <f t="shared" si="67"/>
        <v>0</v>
      </c>
      <c r="N425" s="4">
        <f t="shared" si="63"/>
        <v>1</v>
      </c>
      <c r="O425" s="4">
        <f t="shared" si="68"/>
        <v>1019.6</v>
      </c>
      <c r="P425" s="4">
        <f t="shared" si="69"/>
        <v>0</v>
      </c>
    </row>
    <row r="426" spans="1:16" x14ac:dyDescent="0.25">
      <c r="A426" s="1">
        <v>41872</v>
      </c>
      <c r="B426">
        <v>1000</v>
      </c>
      <c r="C426">
        <v>1003.85</v>
      </c>
      <c r="D426">
        <v>978.65</v>
      </c>
      <c r="E426" s="7">
        <v>985.7</v>
      </c>
      <c r="F426">
        <v>1648585</v>
      </c>
      <c r="G426" s="8">
        <f t="shared" si="60"/>
        <v>989.4</v>
      </c>
      <c r="H426" s="9">
        <f t="shared" si="61"/>
        <v>1631109999</v>
      </c>
      <c r="I426" s="9">
        <f t="shared" si="64"/>
        <v>23341594477.199997</v>
      </c>
      <c r="J426" s="9">
        <f t="shared" si="65"/>
        <v>22896565</v>
      </c>
      <c r="K426" s="21">
        <f t="shared" si="66"/>
        <v>1019.4365171020194</v>
      </c>
      <c r="L426" s="4" t="str">
        <f t="shared" si="62"/>
        <v>SELL</v>
      </c>
      <c r="M426" s="4" t="str">
        <f t="shared" si="67"/>
        <v>SELL</v>
      </c>
      <c r="N426" s="4">
        <f t="shared" si="63"/>
        <v>-1</v>
      </c>
      <c r="O426" s="4">
        <f t="shared" si="68"/>
        <v>985.7</v>
      </c>
      <c r="P426" s="4">
        <f t="shared" si="69"/>
        <v>-3.3248332679482129E-2</v>
      </c>
    </row>
    <row r="427" spans="1:16" x14ac:dyDescent="0.25">
      <c r="A427" s="1">
        <v>41873</v>
      </c>
      <c r="B427">
        <v>997.8</v>
      </c>
      <c r="C427">
        <v>1024</v>
      </c>
      <c r="D427">
        <v>988.75</v>
      </c>
      <c r="E427" s="7">
        <v>993.75</v>
      </c>
      <c r="F427">
        <v>1899102</v>
      </c>
      <c r="G427" s="8">
        <f t="shared" si="60"/>
        <v>1002.1666666666666</v>
      </c>
      <c r="H427" s="9">
        <f t="shared" si="61"/>
        <v>1903216721</v>
      </c>
      <c r="I427" s="9">
        <f t="shared" si="64"/>
        <v>23537228942.449997</v>
      </c>
      <c r="J427" s="9">
        <f t="shared" si="65"/>
        <v>23003212</v>
      </c>
      <c r="K427" s="21">
        <f t="shared" si="66"/>
        <v>1023.2148859233222</v>
      </c>
      <c r="L427" s="4" t="str">
        <f t="shared" si="62"/>
        <v>SELL</v>
      </c>
      <c r="M427" s="4">
        <f t="shared" si="67"/>
        <v>0</v>
      </c>
      <c r="N427" s="4">
        <f t="shared" si="63"/>
        <v>-1</v>
      </c>
      <c r="O427" s="4">
        <f t="shared" si="68"/>
        <v>985.7</v>
      </c>
      <c r="P427" s="4">
        <f t="shared" si="69"/>
        <v>0</v>
      </c>
    </row>
    <row r="428" spans="1:16" x14ac:dyDescent="0.25">
      <c r="A428" s="1">
        <v>41876</v>
      </c>
      <c r="B428">
        <v>1001</v>
      </c>
      <c r="C428">
        <v>1029</v>
      </c>
      <c r="D428">
        <v>993.75</v>
      </c>
      <c r="E428" s="7">
        <v>1015.1</v>
      </c>
      <c r="F428">
        <v>2372816</v>
      </c>
      <c r="G428" s="8">
        <f t="shared" si="60"/>
        <v>1012.6166666666667</v>
      </c>
      <c r="H428" s="9">
        <f t="shared" si="61"/>
        <v>2402753028.5333333</v>
      </c>
      <c r="I428" s="9">
        <f t="shared" si="64"/>
        <v>23137585567.850002</v>
      </c>
      <c r="J428" s="9">
        <f t="shared" si="65"/>
        <v>22580806</v>
      </c>
      <c r="K428" s="21">
        <f t="shared" si="66"/>
        <v>1024.6572052321783</v>
      </c>
      <c r="L428" s="4" t="str">
        <f t="shared" si="62"/>
        <v>SELL</v>
      </c>
      <c r="M428" s="4">
        <f t="shared" si="67"/>
        <v>0</v>
      </c>
      <c r="N428" s="4">
        <f t="shared" si="63"/>
        <v>-1</v>
      </c>
      <c r="O428" s="4">
        <f t="shared" si="68"/>
        <v>985.7</v>
      </c>
      <c r="P428" s="4">
        <f t="shared" si="69"/>
        <v>0</v>
      </c>
    </row>
    <row r="429" spans="1:16" x14ac:dyDescent="0.25">
      <c r="A429" s="1">
        <v>41877</v>
      </c>
      <c r="B429">
        <v>1028</v>
      </c>
      <c r="C429">
        <v>1045.8</v>
      </c>
      <c r="D429">
        <v>1010</v>
      </c>
      <c r="E429" s="7">
        <v>1041.75</v>
      </c>
      <c r="F429">
        <v>1926119</v>
      </c>
      <c r="G429" s="8">
        <f t="shared" si="60"/>
        <v>1032.5166666666667</v>
      </c>
      <c r="H429" s="9">
        <f t="shared" si="61"/>
        <v>1988749969.4833333</v>
      </c>
      <c r="I429" s="9">
        <f t="shared" si="64"/>
        <v>22026793405.383335</v>
      </c>
      <c r="J429" s="9">
        <f t="shared" si="65"/>
        <v>21523584</v>
      </c>
      <c r="K429" s="21">
        <f t="shared" si="66"/>
        <v>1023.3794430046286</v>
      </c>
      <c r="L429" s="4" t="str">
        <f t="shared" si="62"/>
        <v>BUY</v>
      </c>
      <c r="M429" s="4" t="str">
        <f t="shared" si="67"/>
        <v>BUY</v>
      </c>
      <c r="N429" s="4">
        <f t="shared" si="63"/>
        <v>1</v>
      </c>
      <c r="O429" s="4">
        <f t="shared" si="68"/>
        <v>1041.75</v>
      </c>
      <c r="P429" s="4">
        <f t="shared" si="69"/>
        <v>-5.6863142944100588E-2</v>
      </c>
    </row>
    <row r="430" spans="1:16" x14ac:dyDescent="0.25">
      <c r="A430" s="1">
        <v>41878</v>
      </c>
      <c r="B430">
        <v>1048</v>
      </c>
      <c r="C430">
        <v>1072.4000000000001</v>
      </c>
      <c r="D430">
        <v>1021.3</v>
      </c>
      <c r="E430" s="7">
        <v>1027.75</v>
      </c>
      <c r="F430">
        <v>2328252</v>
      </c>
      <c r="G430" s="8">
        <f t="shared" si="60"/>
        <v>1040.4833333333333</v>
      </c>
      <c r="H430" s="9">
        <f t="shared" si="61"/>
        <v>2422507401.8000002</v>
      </c>
      <c r="I430" s="9">
        <f t="shared" si="64"/>
        <v>22162479452.5</v>
      </c>
      <c r="J430" s="9">
        <f t="shared" si="65"/>
        <v>21645083</v>
      </c>
      <c r="K430" s="21">
        <f t="shared" si="66"/>
        <v>1023.9036483482184</v>
      </c>
      <c r="L430" s="4" t="str">
        <f t="shared" si="62"/>
        <v>BUY</v>
      </c>
      <c r="M430" s="4">
        <f t="shared" si="67"/>
        <v>0</v>
      </c>
      <c r="N430" s="4">
        <f t="shared" si="63"/>
        <v>1</v>
      </c>
      <c r="O430" s="4">
        <f t="shared" si="68"/>
        <v>1041.75</v>
      </c>
      <c r="P430" s="4">
        <f t="shared" si="69"/>
        <v>0</v>
      </c>
    </row>
    <row r="431" spans="1:16" x14ac:dyDescent="0.25">
      <c r="A431" s="1">
        <v>41879</v>
      </c>
      <c r="B431">
        <v>1021.5</v>
      </c>
      <c r="C431">
        <v>1032.5</v>
      </c>
      <c r="D431">
        <v>1012.5</v>
      </c>
      <c r="E431" s="7">
        <v>1018.05</v>
      </c>
      <c r="F431">
        <v>1120117</v>
      </c>
      <c r="G431" s="8">
        <f t="shared" si="60"/>
        <v>1021.0166666666668</v>
      </c>
      <c r="H431" s="9">
        <f t="shared" si="61"/>
        <v>1143658125.6166668</v>
      </c>
      <c r="I431" s="9">
        <f t="shared" si="64"/>
        <v>21373822544.400002</v>
      </c>
      <c r="J431" s="9">
        <f t="shared" si="65"/>
        <v>20870371</v>
      </c>
      <c r="K431" s="21">
        <f t="shared" si="66"/>
        <v>1024.1227884449204</v>
      </c>
      <c r="L431" s="4" t="str">
        <f t="shared" si="62"/>
        <v>SELL</v>
      </c>
      <c r="M431" s="4" t="str">
        <f t="shared" si="67"/>
        <v>SELL</v>
      </c>
      <c r="N431" s="4">
        <f t="shared" si="63"/>
        <v>-1</v>
      </c>
      <c r="O431" s="4">
        <f t="shared" si="68"/>
        <v>1018.05</v>
      </c>
      <c r="P431" s="4">
        <f t="shared" si="69"/>
        <v>-2.2750179985601197E-2</v>
      </c>
    </row>
    <row r="432" spans="1:16" x14ac:dyDescent="0.25">
      <c r="A432" s="1">
        <v>41880</v>
      </c>
      <c r="B432">
        <v>1022.1</v>
      </c>
      <c r="C432">
        <v>1064</v>
      </c>
      <c r="D432">
        <v>1022.1</v>
      </c>
      <c r="E432" s="7">
        <v>1057.95</v>
      </c>
      <c r="F432">
        <v>1743993</v>
      </c>
      <c r="G432" s="8">
        <f t="shared" si="60"/>
        <v>1048.0166666666667</v>
      </c>
      <c r="H432" s="9">
        <f t="shared" si="61"/>
        <v>1827733730.55</v>
      </c>
      <c r="I432" s="9">
        <f t="shared" si="64"/>
        <v>20755685221.149998</v>
      </c>
      <c r="J432" s="9">
        <f t="shared" si="65"/>
        <v>20232718</v>
      </c>
      <c r="K432" s="21">
        <f t="shared" si="66"/>
        <v>1025.8476009575184</v>
      </c>
      <c r="L432" s="4" t="str">
        <f t="shared" si="62"/>
        <v>BUY</v>
      </c>
      <c r="M432" s="4" t="str">
        <f t="shared" si="67"/>
        <v>BUY</v>
      </c>
      <c r="N432" s="4">
        <f t="shared" si="63"/>
        <v>1</v>
      </c>
      <c r="O432" s="4">
        <f t="shared" si="68"/>
        <v>1057.95</v>
      </c>
      <c r="P432" s="4">
        <f t="shared" si="69"/>
        <v>-3.9192574038603302E-2</v>
      </c>
    </row>
    <row r="433" spans="1:16" x14ac:dyDescent="0.25">
      <c r="A433" s="1">
        <v>41883</v>
      </c>
      <c r="B433">
        <v>1067.95</v>
      </c>
      <c r="C433">
        <v>1067.95</v>
      </c>
      <c r="D433">
        <v>1036.9000000000001</v>
      </c>
      <c r="E433" s="7">
        <v>1043.5</v>
      </c>
      <c r="F433">
        <v>1370380</v>
      </c>
      <c r="G433" s="8">
        <f t="shared" si="60"/>
        <v>1049.45</v>
      </c>
      <c r="H433" s="9">
        <f t="shared" si="61"/>
        <v>1438145291</v>
      </c>
      <c r="I433" s="9">
        <f t="shared" si="64"/>
        <v>19899451089.483334</v>
      </c>
      <c r="J433" s="9">
        <f t="shared" si="65"/>
        <v>19387020</v>
      </c>
      <c r="K433" s="21">
        <f t="shared" si="66"/>
        <v>1026.4316583715977</v>
      </c>
      <c r="L433" s="4" t="str">
        <f t="shared" si="62"/>
        <v>BUY</v>
      </c>
      <c r="M433" s="4">
        <f t="shared" si="67"/>
        <v>0</v>
      </c>
      <c r="N433" s="4">
        <f t="shared" si="63"/>
        <v>1</v>
      </c>
      <c r="O433" s="4">
        <f t="shared" si="68"/>
        <v>1057.95</v>
      </c>
      <c r="P433" s="4">
        <f t="shared" si="69"/>
        <v>0</v>
      </c>
    </row>
    <row r="434" spans="1:16" x14ac:dyDescent="0.25">
      <c r="A434" s="1">
        <v>41884</v>
      </c>
      <c r="B434">
        <v>1023</v>
      </c>
      <c r="C434">
        <v>1034</v>
      </c>
      <c r="D434">
        <v>986.2</v>
      </c>
      <c r="E434" s="7">
        <v>994.4</v>
      </c>
      <c r="F434">
        <v>1570785</v>
      </c>
      <c r="G434" s="8">
        <f t="shared" si="60"/>
        <v>1004.8666666666667</v>
      </c>
      <c r="H434" s="9">
        <f t="shared" si="61"/>
        <v>1578429487</v>
      </c>
      <c r="I434" s="9">
        <f t="shared" si="64"/>
        <v>18933696336.48333</v>
      </c>
      <c r="J434" s="9">
        <f t="shared" si="65"/>
        <v>18511474</v>
      </c>
      <c r="K434" s="21">
        <f t="shared" si="66"/>
        <v>1022.8086826842276</v>
      </c>
      <c r="L434" s="4" t="str">
        <f t="shared" si="62"/>
        <v>SELL</v>
      </c>
      <c r="M434" s="4" t="str">
        <f t="shared" si="67"/>
        <v>SELL</v>
      </c>
      <c r="N434" s="4">
        <f t="shared" si="63"/>
        <v>-1</v>
      </c>
      <c r="O434" s="4">
        <f t="shared" si="68"/>
        <v>994.4</v>
      </c>
      <c r="P434" s="4">
        <f t="shared" si="69"/>
        <v>-6.0069001370575234E-2</v>
      </c>
    </row>
    <row r="435" spans="1:16" x14ac:dyDescent="0.25">
      <c r="A435" s="1">
        <v>41885</v>
      </c>
      <c r="B435">
        <v>988</v>
      </c>
      <c r="C435">
        <v>1015</v>
      </c>
      <c r="D435">
        <v>982.25</v>
      </c>
      <c r="E435" s="7">
        <v>990.3</v>
      </c>
      <c r="F435">
        <v>2282116</v>
      </c>
      <c r="G435" s="8">
        <f t="shared" si="60"/>
        <v>995.85</v>
      </c>
      <c r="H435" s="9">
        <f t="shared" si="61"/>
        <v>2272645218.5999999</v>
      </c>
      <c r="I435" s="9">
        <f t="shared" si="64"/>
        <v>18608948972.583332</v>
      </c>
      <c r="J435" s="9">
        <f t="shared" si="65"/>
        <v>18262265</v>
      </c>
      <c r="K435" s="21">
        <f t="shared" si="66"/>
        <v>1018.983624023818</v>
      </c>
      <c r="L435" s="4" t="str">
        <f t="shared" si="62"/>
        <v>SELL</v>
      </c>
      <c r="M435" s="4">
        <f t="shared" si="67"/>
        <v>0</v>
      </c>
      <c r="N435" s="4">
        <f t="shared" si="63"/>
        <v>-1</v>
      </c>
      <c r="O435" s="4">
        <f t="shared" si="68"/>
        <v>994.4</v>
      </c>
      <c r="P435" s="4">
        <f t="shared" si="69"/>
        <v>0</v>
      </c>
    </row>
    <row r="436" spans="1:16" x14ac:dyDescent="0.25">
      <c r="A436" s="1">
        <v>41886</v>
      </c>
      <c r="B436">
        <v>996</v>
      </c>
      <c r="C436">
        <v>1008</v>
      </c>
      <c r="D436">
        <v>969</v>
      </c>
      <c r="E436" s="7">
        <v>996.95</v>
      </c>
      <c r="F436">
        <v>1694239</v>
      </c>
      <c r="G436" s="8">
        <f t="shared" si="60"/>
        <v>991.31666666666661</v>
      </c>
      <c r="H436" s="9">
        <f t="shared" si="61"/>
        <v>1679527358.0166667</v>
      </c>
      <c r="I436" s="9">
        <f t="shared" si="64"/>
        <v>18657366331.599998</v>
      </c>
      <c r="J436" s="9">
        <f t="shared" si="65"/>
        <v>18307919</v>
      </c>
      <c r="K436" s="21">
        <f t="shared" si="66"/>
        <v>1019.0872229443444</v>
      </c>
      <c r="L436" s="4" t="str">
        <f t="shared" si="62"/>
        <v>SELL</v>
      </c>
      <c r="M436" s="4">
        <f t="shared" si="67"/>
        <v>0</v>
      </c>
      <c r="N436" s="4">
        <f t="shared" si="63"/>
        <v>-1</v>
      </c>
      <c r="O436" s="4">
        <f t="shared" si="68"/>
        <v>994.4</v>
      </c>
      <c r="P436" s="4">
        <f t="shared" si="69"/>
        <v>0</v>
      </c>
    </row>
    <row r="437" spans="1:16" x14ac:dyDescent="0.25">
      <c r="A437" s="1">
        <v>41887</v>
      </c>
      <c r="B437">
        <v>1013.8</v>
      </c>
      <c r="C437">
        <v>1045</v>
      </c>
      <c r="D437">
        <v>1006</v>
      </c>
      <c r="E437" s="7">
        <v>1040.55</v>
      </c>
      <c r="F437">
        <v>1982289</v>
      </c>
      <c r="G437" s="8">
        <f t="shared" si="60"/>
        <v>1030.5166666666667</v>
      </c>
      <c r="H437" s="9">
        <f t="shared" si="61"/>
        <v>2042781852.6499999</v>
      </c>
      <c r="I437" s="9">
        <f t="shared" si="64"/>
        <v>18796931463.25</v>
      </c>
      <c r="J437" s="9">
        <f t="shared" si="65"/>
        <v>18391106</v>
      </c>
      <c r="K437" s="21">
        <f t="shared" si="66"/>
        <v>1022.0663979235397</v>
      </c>
      <c r="L437" s="4" t="str">
        <f t="shared" si="62"/>
        <v>BUY</v>
      </c>
      <c r="M437" s="4" t="str">
        <f t="shared" si="67"/>
        <v>BUY</v>
      </c>
      <c r="N437" s="4">
        <f t="shared" si="63"/>
        <v>1</v>
      </c>
      <c r="O437" s="4">
        <f t="shared" si="68"/>
        <v>1040.55</v>
      </c>
      <c r="P437" s="4">
        <f t="shared" si="69"/>
        <v>-4.6409895414320168E-2</v>
      </c>
    </row>
    <row r="438" spans="1:16" x14ac:dyDescent="0.25">
      <c r="A438" s="1">
        <v>41890</v>
      </c>
      <c r="B438">
        <v>1048.5</v>
      </c>
      <c r="C438">
        <v>1064.7</v>
      </c>
      <c r="D438">
        <v>1037</v>
      </c>
      <c r="E438" s="7">
        <v>1047.9000000000001</v>
      </c>
      <c r="F438">
        <v>2212595</v>
      </c>
      <c r="G438" s="8">
        <f t="shared" si="60"/>
        <v>1049.8666666666666</v>
      </c>
      <c r="H438" s="9">
        <f t="shared" si="61"/>
        <v>2322929737.333333</v>
      </c>
      <c r="I438" s="9">
        <f t="shared" si="64"/>
        <v>18717108172.049999</v>
      </c>
      <c r="J438" s="9">
        <f t="shared" si="65"/>
        <v>18230885</v>
      </c>
      <c r="K438" s="21">
        <f t="shared" si="66"/>
        <v>1026.6702999909219</v>
      </c>
      <c r="L438" s="4" t="str">
        <f t="shared" si="62"/>
        <v>BUY</v>
      </c>
      <c r="M438" s="4">
        <f t="shared" si="67"/>
        <v>0</v>
      </c>
      <c r="N438" s="4">
        <f t="shared" si="63"/>
        <v>1</v>
      </c>
      <c r="O438" s="4">
        <f t="shared" si="68"/>
        <v>1040.55</v>
      </c>
      <c r="P438" s="4">
        <f t="shared" si="69"/>
        <v>0</v>
      </c>
    </row>
    <row r="439" spans="1:16" x14ac:dyDescent="0.25">
      <c r="A439" s="1">
        <v>41891</v>
      </c>
      <c r="B439">
        <v>1043.25</v>
      </c>
      <c r="C439">
        <v>1068</v>
      </c>
      <c r="D439">
        <v>1035.7</v>
      </c>
      <c r="E439" s="7">
        <v>1061.45</v>
      </c>
      <c r="F439">
        <v>2690175</v>
      </c>
      <c r="G439" s="8">
        <f t="shared" si="60"/>
        <v>1055.05</v>
      </c>
      <c r="H439" s="9">
        <f t="shared" si="61"/>
        <v>2838269133.75</v>
      </c>
      <c r="I439" s="9">
        <f t="shared" si="64"/>
        <v>19566627336.316666</v>
      </c>
      <c r="J439" s="9">
        <f t="shared" si="65"/>
        <v>18994941</v>
      </c>
      <c r="K439" s="21">
        <f t="shared" si="66"/>
        <v>1030.0967682035266</v>
      </c>
      <c r="L439" s="4" t="str">
        <f t="shared" si="62"/>
        <v>BUY</v>
      </c>
      <c r="M439" s="4">
        <f t="shared" si="67"/>
        <v>0</v>
      </c>
      <c r="N439" s="4">
        <f t="shared" si="63"/>
        <v>1</v>
      </c>
      <c r="O439" s="4">
        <f t="shared" si="68"/>
        <v>1040.55</v>
      </c>
      <c r="P439" s="4">
        <f t="shared" si="69"/>
        <v>0</v>
      </c>
    </row>
    <row r="440" spans="1:16" x14ac:dyDescent="0.25">
      <c r="A440" s="1">
        <v>41892</v>
      </c>
      <c r="B440">
        <v>1049.9000000000001</v>
      </c>
      <c r="C440">
        <v>1064</v>
      </c>
      <c r="D440">
        <v>1033.0999999999999</v>
      </c>
      <c r="E440" s="7">
        <v>1037.3</v>
      </c>
      <c r="F440">
        <v>1345509</v>
      </c>
      <c r="G440" s="8">
        <f t="shared" si="60"/>
        <v>1044.8</v>
      </c>
      <c r="H440" s="9">
        <f t="shared" si="61"/>
        <v>1405787803.2</v>
      </c>
      <c r="I440" s="9">
        <f t="shared" si="64"/>
        <v>18549907737.716667</v>
      </c>
      <c r="J440" s="9">
        <f t="shared" si="65"/>
        <v>18012198</v>
      </c>
      <c r="K440" s="21">
        <f t="shared" si="66"/>
        <v>1029.8525331398571</v>
      </c>
      <c r="L440" s="4" t="str">
        <f t="shared" si="62"/>
        <v>BUY</v>
      </c>
      <c r="M440" s="4">
        <f t="shared" si="67"/>
        <v>0</v>
      </c>
      <c r="N440" s="4">
        <f t="shared" si="63"/>
        <v>1</v>
      </c>
      <c r="O440" s="4">
        <f t="shared" si="68"/>
        <v>1040.55</v>
      </c>
      <c r="P440" s="4">
        <f t="shared" si="69"/>
        <v>0</v>
      </c>
    </row>
    <row r="441" spans="1:16" x14ac:dyDescent="0.25">
      <c r="A441" s="1">
        <v>41893</v>
      </c>
      <c r="B441">
        <v>1020</v>
      </c>
      <c r="C441">
        <v>1049.9000000000001</v>
      </c>
      <c r="D441">
        <v>1015.3</v>
      </c>
      <c r="E441" s="7">
        <v>1043.3</v>
      </c>
      <c r="F441">
        <v>1974632</v>
      </c>
      <c r="G441" s="8">
        <f t="shared" si="60"/>
        <v>1036.1666666666667</v>
      </c>
      <c r="H441" s="9">
        <f t="shared" si="61"/>
        <v>2046047857.3333335</v>
      </c>
      <c r="I441" s="9">
        <f t="shared" si="64"/>
        <v>19452297469.433331</v>
      </c>
      <c r="J441" s="9">
        <f t="shared" si="65"/>
        <v>18866713</v>
      </c>
      <c r="K441" s="21">
        <f t="shared" si="66"/>
        <v>1031.0379698590491</v>
      </c>
      <c r="L441" s="4" t="str">
        <f t="shared" si="62"/>
        <v>BUY</v>
      </c>
      <c r="M441" s="4">
        <f t="shared" si="67"/>
        <v>0</v>
      </c>
      <c r="N441" s="4">
        <f t="shared" si="63"/>
        <v>1</v>
      </c>
      <c r="O441" s="4">
        <f t="shared" si="68"/>
        <v>1040.55</v>
      </c>
      <c r="P441" s="4">
        <f t="shared" si="69"/>
        <v>0</v>
      </c>
    </row>
    <row r="442" spans="1:16" x14ac:dyDescent="0.25">
      <c r="A442" s="1">
        <v>41894</v>
      </c>
      <c r="B442">
        <v>1038.4000000000001</v>
      </c>
      <c r="C442">
        <v>1059</v>
      </c>
      <c r="D442">
        <v>1029.0999999999999</v>
      </c>
      <c r="E442" s="7">
        <v>1045.95</v>
      </c>
      <c r="F442">
        <v>2359112</v>
      </c>
      <c r="G442" s="8">
        <f t="shared" si="60"/>
        <v>1044.6833333333334</v>
      </c>
      <c r="H442" s="9">
        <f t="shared" si="61"/>
        <v>2464524987.8666668</v>
      </c>
      <c r="I442" s="9">
        <f t="shared" si="64"/>
        <v>20089088726.75</v>
      </c>
      <c r="J442" s="9">
        <f t="shared" si="65"/>
        <v>19481832</v>
      </c>
      <c r="K442" s="21">
        <f t="shared" si="66"/>
        <v>1031.1704118354987</v>
      </c>
      <c r="L442" s="4" t="str">
        <f t="shared" si="62"/>
        <v>BUY</v>
      </c>
      <c r="M442" s="4">
        <f t="shared" si="67"/>
        <v>0</v>
      </c>
      <c r="N442" s="4">
        <f t="shared" si="63"/>
        <v>1</v>
      </c>
      <c r="O442" s="4">
        <f t="shared" si="68"/>
        <v>1040.55</v>
      </c>
      <c r="P442" s="4">
        <f t="shared" si="69"/>
        <v>0</v>
      </c>
    </row>
    <row r="443" spans="1:16" x14ac:dyDescent="0.25">
      <c r="A443" s="1">
        <v>41897</v>
      </c>
      <c r="B443">
        <v>1054.5</v>
      </c>
      <c r="C443">
        <v>1063</v>
      </c>
      <c r="D443">
        <v>1041</v>
      </c>
      <c r="E443" s="7">
        <v>1043.55</v>
      </c>
      <c r="F443">
        <v>1707631</v>
      </c>
      <c r="G443" s="8">
        <f t="shared" si="60"/>
        <v>1049.1833333333334</v>
      </c>
      <c r="H443" s="9">
        <f t="shared" si="61"/>
        <v>1791617984.6833334</v>
      </c>
      <c r="I443" s="9">
        <f t="shared" si="64"/>
        <v>20442561420.433334</v>
      </c>
      <c r="J443" s="9">
        <f t="shared" si="65"/>
        <v>19819083</v>
      </c>
      <c r="K443" s="21">
        <f t="shared" si="66"/>
        <v>1031.458489801639</v>
      </c>
      <c r="L443" s="4" t="str">
        <f t="shared" si="62"/>
        <v>BUY</v>
      </c>
      <c r="M443" s="4">
        <f t="shared" si="67"/>
        <v>0</v>
      </c>
      <c r="N443" s="4">
        <f t="shared" si="63"/>
        <v>1</v>
      </c>
      <c r="O443" s="4">
        <f t="shared" si="68"/>
        <v>1040.55</v>
      </c>
      <c r="P443" s="4">
        <f t="shared" si="69"/>
        <v>0</v>
      </c>
    </row>
    <row r="444" spans="1:16" x14ac:dyDescent="0.25">
      <c r="A444" s="1">
        <v>41898</v>
      </c>
      <c r="B444">
        <v>1075.0999999999999</v>
      </c>
      <c r="C444">
        <v>1077.8</v>
      </c>
      <c r="D444">
        <v>1037.5</v>
      </c>
      <c r="E444" s="7">
        <v>1048.55</v>
      </c>
      <c r="F444">
        <v>2542904</v>
      </c>
      <c r="G444" s="8">
        <f t="shared" si="60"/>
        <v>1054.6166666666668</v>
      </c>
      <c r="H444" s="9">
        <f t="shared" si="61"/>
        <v>2681788940.1333337</v>
      </c>
      <c r="I444" s="9">
        <f t="shared" si="64"/>
        <v>21545920873.566669</v>
      </c>
      <c r="J444" s="9">
        <f t="shared" si="65"/>
        <v>20791202</v>
      </c>
      <c r="K444" s="21">
        <f t="shared" si="66"/>
        <v>1036.2999153953037</v>
      </c>
      <c r="L444" s="4" t="str">
        <f t="shared" si="62"/>
        <v>BUY</v>
      </c>
      <c r="M444" s="4">
        <f t="shared" si="67"/>
        <v>0</v>
      </c>
      <c r="N444" s="4">
        <f t="shared" si="63"/>
        <v>1</v>
      </c>
      <c r="O444" s="4">
        <f t="shared" si="68"/>
        <v>1040.55</v>
      </c>
      <c r="P444" s="4">
        <f t="shared" si="69"/>
        <v>0</v>
      </c>
    </row>
    <row r="445" spans="1:16" x14ac:dyDescent="0.25">
      <c r="A445" s="1">
        <v>41899</v>
      </c>
      <c r="B445">
        <v>1048</v>
      </c>
      <c r="C445">
        <v>1074</v>
      </c>
      <c r="D445">
        <v>1048</v>
      </c>
      <c r="E445" s="7">
        <v>1064.7</v>
      </c>
      <c r="F445">
        <v>1927407</v>
      </c>
      <c r="G445" s="8">
        <f t="shared" si="60"/>
        <v>1062.2333333333333</v>
      </c>
      <c r="H445" s="9">
        <f t="shared" si="61"/>
        <v>2047355962.3</v>
      </c>
      <c r="I445" s="9">
        <f t="shared" si="64"/>
        <v>21320631617.26667</v>
      </c>
      <c r="J445" s="9">
        <f t="shared" si="65"/>
        <v>20436493</v>
      </c>
      <c r="K445" s="21">
        <f t="shared" si="66"/>
        <v>1043.2627367751732</v>
      </c>
      <c r="L445" s="4" t="str">
        <f t="shared" si="62"/>
        <v>BUY</v>
      </c>
      <c r="M445" s="4">
        <f t="shared" si="67"/>
        <v>0</v>
      </c>
      <c r="N445" s="4">
        <f t="shared" si="63"/>
        <v>1</v>
      </c>
      <c r="O445" s="4">
        <f t="shared" si="68"/>
        <v>1040.55</v>
      </c>
      <c r="P445" s="4">
        <f t="shared" si="69"/>
        <v>0</v>
      </c>
    </row>
    <row r="446" spans="1:16" x14ac:dyDescent="0.25">
      <c r="A446" s="1">
        <v>41900</v>
      </c>
      <c r="B446">
        <v>1075</v>
      </c>
      <c r="C446">
        <v>1078</v>
      </c>
      <c r="D446">
        <v>1034.5</v>
      </c>
      <c r="E446" s="7">
        <v>1040.8499999999999</v>
      </c>
      <c r="F446">
        <v>2238187</v>
      </c>
      <c r="G446" s="8">
        <f t="shared" si="60"/>
        <v>1051.1166666666666</v>
      </c>
      <c r="H446" s="9">
        <f t="shared" si="61"/>
        <v>2352595658.8166666</v>
      </c>
      <c r="I446" s="9">
        <f t="shared" si="64"/>
        <v>21993699918.066666</v>
      </c>
      <c r="J446" s="9">
        <f t="shared" si="65"/>
        <v>20980441</v>
      </c>
      <c r="K446" s="21">
        <f t="shared" si="66"/>
        <v>1048.295406091162</v>
      </c>
      <c r="L446" s="4" t="str">
        <f t="shared" si="62"/>
        <v>SELL</v>
      </c>
      <c r="M446" s="4" t="str">
        <f t="shared" si="67"/>
        <v>SELL</v>
      </c>
      <c r="N446" s="4">
        <f t="shared" si="63"/>
        <v>-1</v>
      </c>
      <c r="O446" s="4">
        <f t="shared" si="68"/>
        <v>1040.8499999999999</v>
      </c>
      <c r="P446" s="4">
        <f t="shared" si="69"/>
        <v>2.8830906732012354E-4</v>
      </c>
    </row>
    <row r="447" spans="1:16" x14ac:dyDescent="0.25">
      <c r="A447" s="1">
        <v>41901</v>
      </c>
      <c r="B447">
        <v>1066</v>
      </c>
      <c r="C447">
        <v>1089.4000000000001</v>
      </c>
      <c r="D447">
        <v>1062</v>
      </c>
      <c r="E447" s="7">
        <v>1079.05</v>
      </c>
      <c r="F447">
        <v>2935831</v>
      </c>
      <c r="G447" s="8">
        <f t="shared" si="60"/>
        <v>1076.8166666666666</v>
      </c>
      <c r="H447" s="9">
        <f t="shared" si="61"/>
        <v>3161351751.3166666</v>
      </c>
      <c r="I447" s="9">
        <f t="shared" si="64"/>
        <v>23112269816.733334</v>
      </c>
      <c r="J447" s="9">
        <f t="shared" si="65"/>
        <v>21933983</v>
      </c>
      <c r="K447" s="21">
        <f t="shared" si="66"/>
        <v>1053.7196922571397</v>
      </c>
      <c r="L447" s="4" t="str">
        <f t="shared" si="62"/>
        <v>BUY</v>
      </c>
      <c r="M447" s="4" t="str">
        <f t="shared" si="67"/>
        <v>BUY</v>
      </c>
      <c r="N447" s="4">
        <f t="shared" si="63"/>
        <v>1</v>
      </c>
      <c r="O447" s="4">
        <f t="shared" si="68"/>
        <v>1079.05</v>
      </c>
      <c r="P447" s="4">
        <f t="shared" si="69"/>
        <v>-3.6700773406350626E-2</v>
      </c>
    </row>
    <row r="448" spans="1:16" x14ac:dyDescent="0.25">
      <c r="A448" s="1">
        <v>41904</v>
      </c>
      <c r="B448">
        <v>1096.5</v>
      </c>
      <c r="C448">
        <v>1104.95</v>
      </c>
      <c r="D448">
        <v>1080.0999999999999</v>
      </c>
      <c r="E448" s="7">
        <v>1092.75</v>
      </c>
      <c r="F448">
        <v>2704459</v>
      </c>
      <c r="G448" s="8">
        <f t="shared" si="60"/>
        <v>1092.6000000000001</v>
      </c>
      <c r="H448" s="9">
        <f t="shared" si="61"/>
        <v>2954891903.4000006</v>
      </c>
      <c r="I448" s="9">
        <f t="shared" si="64"/>
        <v>23744231982.799999</v>
      </c>
      <c r="J448" s="9">
        <f t="shared" si="65"/>
        <v>22425847</v>
      </c>
      <c r="K448" s="21">
        <f t="shared" si="66"/>
        <v>1058.7886371828006</v>
      </c>
      <c r="L448" s="4" t="str">
        <f t="shared" si="62"/>
        <v>BUY</v>
      </c>
      <c r="M448" s="4">
        <f t="shared" si="67"/>
        <v>0</v>
      </c>
      <c r="N448" s="4">
        <f t="shared" si="63"/>
        <v>1</v>
      </c>
      <c r="O448" s="4">
        <f t="shared" si="68"/>
        <v>1079.05</v>
      </c>
      <c r="P448" s="4">
        <f t="shared" si="69"/>
        <v>0</v>
      </c>
    </row>
    <row r="449" spans="1:16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 s="7">
        <v>1134.25</v>
      </c>
      <c r="F449">
        <v>3355066</v>
      </c>
      <c r="G449" s="8">
        <f t="shared" si="60"/>
        <v>1121.3</v>
      </c>
      <c r="H449" s="9">
        <f t="shared" si="61"/>
        <v>3762035505.7999997</v>
      </c>
      <c r="I449" s="9">
        <f t="shared" si="64"/>
        <v>24667998354.849998</v>
      </c>
      <c r="J449" s="9">
        <f t="shared" si="65"/>
        <v>23090738</v>
      </c>
      <c r="K449" s="21">
        <f t="shared" si="66"/>
        <v>1068.3070569182328</v>
      </c>
      <c r="L449" s="4" t="str">
        <f t="shared" si="62"/>
        <v>BUY</v>
      </c>
      <c r="M449" s="4">
        <f t="shared" si="67"/>
        <v>0</v>
      </c>
      <c r="N449" s="4">
        <f t="shared" si="63"/>
        <v>1</v>
      </c>
      <c r="O449" s="4">
        <f t="shared" si="68"/>
        <v>1079.05</v>
      </c>
      <c r="P449" s="4">
        <f t="shared" si="69"/>
        <v>0</v>
      </c>
    </row>
    <row r="450" spans="1:16" x14ac:dyDescent="0.25">
      <c r="A450" s="1">
        <v>41906</v>
      </c>
      <c r="B450">
        <v>1151.5</v>
      </c>
      <c r="C450">
        <v>1154</v>
      </c>
      <c r="D450">
        <v>1111.3</v>
      </c>
      <c r="E450" s="7">
        <v>1120.25</v>
      </c>
      <c r="F450">
        <v>2179345</v>
      </c>
      <c r="G450" s="8">
        <f t="shared" ref="G450:G513" si="70">AVERAGE(C450:E450)</f>
        <v>1128.5166666666667</v>
      </c>
      <c r="H450" s="9">
        <f t="shared" si="61"/>
        <v>2459427154.9166665</v>
      </c>
      <c r="I450" s="9">
        <f t="shared" si="64"/>
        <v>25721637706.566669</v>
      </c>
      <c r="J450" s="9">
        <f t="shared" si="65"/>
        <v>23924574</v>
      </c>
      <c r="K450" s="21">
        <f t="shared" si="66"/>
        <v>1075.1137180777669</v>
      </c>
      <c r="L450" s="4" t="str">
        <f t="shared" si="62"/>
        <v>BUY</v>
      </c>
      <c r="M450" s="4">
        <f t="shared" si="67"/>
        <v>0</v>
      </c>
      <c r="N450" s="4">
        <f t="shared" si="63"/>
        <v>1</v>
      </c>
      <c r="O450" s="4">
        <f t="shared" si="68"/>
        <v>1079.05</v>
      </c>
      <c r="P450" s="4">
        <f t="shared" si="69"/>
        <v>0</v>
      </c>
    </row>
    <row r="451" spans="1:16" x14ac:dyDescent="0.25">
      <c r="A451" s="1">
        <v>41907</v>
      </c>
      <c r="B451">
        <v>1062</v>
      </c>
      <c r="C451">
        <v>1064.25</v>
      </c>
      <c r="D451">
        <v>1020.5</v>
      </c>
      <c r="E451" s="7">
        <v>1033.55</v>
      </c>
      <c r="F451">
        <v>6003389</v>
      </c>
      <c r="G451" s="8">
        <f t="shared" si="70"/>
        <v>1039.4333333333334</v>
      </c>
      <c r="H451" s="9">
        <f t="shared" ref="H451:H514" si="71">G451*F451</f>
        <v>6240122639.5666666</v>
      </c>
      <c r="I451" s="9">
        <f t="shared" si="64"/>
        <v>29915712488.799999</v>
      </c>
      <c r="J451" s="9">
        <f t="shared" si="65"/>
        <v>27953331</v>
      </c>
      <c r="K451" s="21">
        <f t="shared" si="66"/>
        <v>1070.202062459032</v>
      </c>
      <c r="L451" s="4" t="str">
        <f t="shared" si="62"/>
        <v>SELL</v>
      </c>
      <c r="M451" s="4" t="str">
        <f t="shared" si="67"/>
        <v>SELL</v>
      </c>
      <c r="N451" s="4">
        <f t="shared" si="63"/>
        <v>-1</v>
      </c>
      <c r="O451" s="4">
        <f t="shared" si="68"/>
        <v>1033.55</v>
      </c>
      <c r="P451" s="4">
        <f t="shared" si="69"/>
        <v>-4.2166720726565035E-2</v>
      </c>
    </row>
    <row r="452" spans="1:16" x14ac:dyDescent="0.25">
      <c r="A452" s="1">
        <v>41908</v>
      </c>
      <c r="B452">
        <v>1043</v>
      </c>
      <c r="C452">
        <v>1054.4000000000001</v>
      </c>
      <c r="D452">
        <v>1035.2</v>
      </c>
      <c r="E452" s="7">
        <v>1048.95</v>
      </c>
      <c r="F452">
        <v>1913710</v>
      </c>
      <c r="G452" s="8">
        <f t="shared" si="70"/>
        <v>1046.1833333333334</v>
      </c>
      <c r="H452" s="9">
        <f t="shared" si="71"/>
        <v>2002091506.8333335</v>
      </c>
      <c r="I452" s="9">
        <f t="shared" si="64"/>
        <v>29453279007.766666</v>
      </c>
      <c r="J452" s="9">
        <f t="shared" si="65"/>
        <v>27507929</v>
      </c>
      <c r="K452" s="21">
        <f t="shared" si="66"/>
        <v>1070.7196098901763</v>
      </c>
      <c r="L452" s="4" t="str">
        <f t="shared" si="62"/>
        <v>SELL</v>
      </c>
      <c r="M452" s="4">
        <f t="shared" si="67"/>
        <v>0</v>
      </c>
      <c r="N452" s="4">
        <f t="shared" si="63"/>
        <v>-1</v>
      </c>
      <c r="O452" s="4">
        <f t="shared" si="68"/>
        <v>1033.55</v>
      </c>
      <c r="P452" s="4">
        <f t="shared" si="69"/>
        <v>0</v>
      </c>
    </row>
    <row r="453" spans="1:16" x14ac:dyDescent="0.25">
      <c r="A453" s="1">
        <v>41911</v>
      </c>
      <c r="B453">
        <v>1036</v>
      </c>
      <c r="C453">
        <v>1047</v>
      </c>
      <c r="D453">
        <v>1030.3</v>
      </c>
      <c r="E453" s="7">
        <v>1044.9000000000001</v>
      </c>
      <c r="F453">
        <v>1122706</v>
      </c>
      <c r="G453" s="8">
        <f t="shared" si="70"/>
        <v>1040.7333333333333</v>
      </c>
      <c r="H453" s="9">
        <f t="shared" si="71"/>
        <v>1168437557.7333333</v>
      </c>
      <c r="I453" s="9">
        <f t="shared" si="64"/>
        <v>28830098580.816666</v>
      </c>
      <c r="J453" s="9">
        <f t="shared" si="65"/>
        <v>26923004</v>
      </c>
      <c r="K453" s="21">
        <f t="shared" si="66"/>
        <v>1070.8351334352089</v>
      </c>
      <c r="L453" s="4" t="str">
        <f t="shared" si="62"/>
        <v>SELL</v>
      </c>
      <c r="M453" s="4">
        <f t="shared" si="67"/>
        <v>0</v>
      </c>
      <c r="N453" s="4">
        <f t="shared" si="63"/>
        <v>-1</v>
      </c>
      <c r="O453" s="4">
        <f t="shared" si="68"/>
        <v>1033.55</v>
      </c>
      <c r="P453" s="4">
        <f t="shared" si="69"/>
        <v>0</v>
      </c>
    </row>
    <row r="454" spans="1:16" x14ac:dyDescent="0.25">
      <c r="A454" s="1">
        <v>41912</v>
      </c>
      <c r="B454">
        <v>1054.9000000000001</v>
      </c>
      <c r="C454">
        <v>1060</v>
      </c>
      <c r="D454">
        <v>1043</v>
      </c>
      <c r="E454" s="7">
        <v>1049.8499999999999</v>
      </c>
      <c r="F454">
        <v>1230565</v>
      </c>
      <c r="G454" s="8">
        <f t="shared" si="70"/>
        <v>1050.95</v>
      </c>
      <c r="H454" s="9">
        <f t="shared" si="71"/>
        <v>1293262286.75</v>
      </c>
      <c r="I454" s="9">
        <f t="shared" si="64"/>
        <v>27441571927.433331</v>
      </c>
      <c r="J454" s="9">
        <f t="shared" si="65"/>
        <v>25610665</v>
      </c>
      <c r="K454" s="21">
        <f t="shared" si="66"/>
        <v>1071.4900189992463</v>
      </c>
      <c r="L454" s="4" t="str">
        <f t="shared" si="62"/>
        <v>SELL</v>
      </c>
      <c r="M454" s="4">
        <f t="shared" si="67"/>
        <v>0</v>
      </c>
      <c r="N454" s="4">
        <f t="shared" si="63"/>
        <v>-1</v>
      </c>
      <c r="O454" s="4">
        <f t="shared" si="68"/>
        <v>1033.55</v>
      </c>
      <c r="P454" s="4">
        <f t="shared" si="69"/>
        <v>0</v>
      </c>
    </row>
    <row r="455" spans="1:16" x14ac:dyDescent="0.25">
      <c r="A455" s="1">
        <v>41913</v>
      </c>
      <c r="B455">
        <v>1060</v>
      </c>
      <c r="C455">
        <v>1092.3</v>
      </c>
      <c r="D455">
        <v>1059.5</v>
      </c>
      <c r="E455" s="7">
        <v>1079.75</v>
      </c>
      <c r="F455">
        <v>1635860</v>
      </c>
      <c r="G455" s="8">
        <f t="shared" si="70"/>
        <v>1077.1833333333334</v>
      </c>
      <c r="H455" s="9">
        <f t="shared" si="71"/>
        <v>1762121127.6666667</v>
      </c>
      <c r="I455" s="9">
        <f t="shared" si="64"/>
        <v>27156337092.799999</v>
      </c>
      <c r="J455" s="9">
        <f t="shared" si="65"/>
        <v>25319118</v>
      </c>
      <c r="K455" s="21">
        <f t="shared" si="66"/>
        <v>1072.5625234180748</v>
      </c>
      <c r="L455" s="4" t="str">
        <f t="shared" si="62"/>
        <v>BUY</v>
      </c>
      <c r="M455" s="4" t="str">
        <f t="shared" si="67"/>
        <v>BUY</v>
      </c>
      <c r="N455" s="4">
        <f t="shared" si="63"/>
        <v>1</v>
      </c>
      <c r="O455" s="4">
        <f t="shared" si="68"/>
        <v>1079.75</v>
      </c>
      <c r="P455" s="4">
        <f t="shared" si="69"/>
        <v>-4.4700304774805327E-2</v>
      </c>
    </row>
    <row r="456" spans="1:16" x14ac:dyDescent="0.25">
      <c r="A456" s="1">
        <v>41914</v>
      </c>
      <c r="B456">
        <v>1089</v>
      </c>
      <c r="C456">
        <v>1107</v>
      </c>
      <c r="D456">
        <v>1071.45</v>
      </c>
      <c r="E456" s="7">
        <v>1098.6500000000001</v>
      </c>
      <c r="F456">
        <v>2079373</v>
      </c>
      <c r="G456" s="8">
        <f t="shared" si="70"/>
        <v>1092.3666666666666</v>
      </c>
      <c r="H456" s="9">
        <f t="shared" si="71"/>
        <v>2271437752.7666664</v>
      </c>
      <c r="I456" s="9">
        <f t="shared" si="64"/>
        <v>27075179186.75</v>
      </c>
      <c r="J456" s="9">
        <f t="shared" si="65"/>
        <v>25160304</v>
      </c>
      <c r="K456" s="21">
        <f t="shared" si="66"/>
        <v>1076.106997226663</v>
      </c>
      <c r="L456" s="4" t="str">
        <f t="shared" si="62"/>
        <v>BUY</v>
      </c>
      <c r="M456" s="4">
        <f t="shared" si="67"/>
        <v>0</v>
      </c>
      <c r="N456" s="4">
        <f t="shared" si="63"/>
        <v>1</v>
      </c>
      <c r="O456" s="4">
        <f t="shared" si="68"/>
        <v>1079.75</v>
      </c>
      <c r="P456" s="4">
        <f t="shared" si="69"/>
        <v>0</v>
      </c>
    </row>
    <row r="457" spans="1:16" x14ac:dyDescent="0.25">
      <c r="A457" s="1">
        <v>41915</v>
      </c>
      <c r="B457">
        <v>1105</v>
      </c>
      <c r="C457">
        <v>1110</v>
      </c>
      <c r="D457">
        <v>1093.3499999999999</v>
      </c>
      <c r="E457" s="7">
        <v>1095.9000000000001</v>
      </c>
      <c r="F457">
        <v>205962</v>
      </c>
      <c r="G457" s="8">
        <f t="shared" si="70"/>
        <v>1099.75</v>
      </c>
      <c r="H457" s="9">
        <f t="shared" si="71"/>
        <v>226506709.5</v>
      </c>
      <c r="I457" s="9">
        <f t="shared" si="64"/>
        <v>24140334144.933334</v>
      </c>
      <c r="J457" s="9">
        <f t="shared" si="65"/>
        <v>22430435</v>
      </c>
      <c r="K457" s="21">
        <f t="shared" si="66"/>
        <v>1076.2312075059326</v>
      </c>
      <c r="L457" s="4" t="str">
        <f t="shared" si="62"/>
        <v>BUY</v>
      </c>
      <c r="M457" s="4">
        <f t="shared" si="67"/>
        <v>0</v>
      </c>
      <c r="N457" s="4">
        <f t="shared" si="63"/>
        <v>1</v>
      </c>
      <c r="O457" s="4">
        <f t="shared" si="68"/>
        <v>1079.75</v>
      </c>
      <c r="P457" s="4">
        <f t="shared" si="69"/>
        <v>0</v>
      </c>
    </row>
    <row r="458" spans="1:16" x14ac:dyDescent="0.25">
      <c r="A458" s="1">
        <v>41918</v>
      </c>
      <c r="B458">
        <v>1129</v>
      </c>
      <c r="C458">
        <v>1139.0999999999999</v>
      </c>
      <c r="D458">
        <v>1111</v>
      </c>
      <c r="E458" s="7">
        <v>1121.5</v>
      </c>
      <c r="F458">
        <v>1629558</v>
      </c>
      <c r="G458" s="8">
        <f t="shared" si="70"/>
        <v>1123.8666666666666</v>
      </c>
      <c r="H458" s="9">
        <f t="shared" si="71"/>
        <v>1831405917.5999999</v>
      </c>
      <c r="I458" s="9">
        <f t="shared" si="64"/>
        <v>23016848159.133331</v>
      </c>
      <c r="J458" s="9">
        <f t="shared" si="65"/>
        <v>21355534</v>
      </c>
      <c r="K458" s="21">
        <f t="shared" si="66"/>
        <v>1077.7931452865253</v>
      </c>
      <c r="L458" s="4" t="str">
        <f t="shared" si="62"/>
        <v>BUY</v>
      </c>
      <c r="M458" s="4">
        <f t="shared" si="67"/>
        <v>0</v>
      </c>
      <c r="N458" s="4">
        <f t="shared" si="63"/>
        <v>1</v>
      </c>
      <c r="O458" s="4">
        <f t="shared" si="68"/>
        <v>1079.75</v>
      </c>
      <c r="P458" s="4">
        <f t="shared" si="69"/>
        <v>0</v>
      </c>
    </row>
    <row r="459" spans="1:16" x14ac:dyDescent="0.25">
      <c r="A459" s="1">
        <v>41919</v>
      </c>
      <c r="B459">
        <v>1120</v>
      </c>
      <c r="C459">
        <v>1132</v>
      </c>
      <c r="D459">
        <v>1112</v>
      </c>
      <c r="E459" s="7">
        <v>1115.8</v>
      </c>
      <c r="F459">
        <v>889370</v>
      </c>
      <c r="G459" s="8">
        <f t="shared" si="70"/>
        <v>1119.9333333333334</v>
      </c>
      <c r="H459" s="9">
        <f t="shared" si="71"/>
        <v>996035108.66666675</v>
      </c>
      <c r="I459" s="9">
        <f t="shared" si="64"/>
        <v>20250847762</v>
      </c>
      <c r="J459" s="9">
        <f t="shared" si="65"/>
        <v>18889838</v>
      </c>
      <c r="K459" s="21">
        <f t="shared" si="66"/>
        <v>1072.0498376958024</v>
      </c>
      <c r="L459" s="4" t="str">
        <f t="shared" ref="L459:L522" si="72">IF(E459&gt;K459,"BUY",IF(E459&lt;K459,"SELL",0))</f>
        <v>BUY</v>
      </c>
      <c r="M459" s="4">
        <f t="shared" si="67"/>
        <v>0</v>
      </c>
      <c r="N459" s="4">
        <f t="shared" ref="N459:N522" si="73">IF(M459="BUY",1,IF(M459="SELL",-1,N458))</f>
        <v>1</v>
      </c>
      <c r="O459" s="4">
        <f t="shared" si="68"/>
        <v>1079.75</v>
      </c>
      <c r="P459" s="4">
        <f t="shared" si="69"/>
        <v>0</v>
      </c>
    </row>
    <row r="460" spans="1:16" x14ac:dyDescent="0.25">
      <c r="A460" s="1">
        <v>41920</v>
      </c>
      <c r="B460">
        <v>1108</v>
      </c>
      <c r="C460">
        <v>1123</v>
      </c>
      <c r="D460">
        <v>1096.25</v>
      </c>
      <c r="E460" s="7">
        <v>1108.45</v>
      </c>
      <c r="F460">
        <v>729105</v>
      </c>
      <c r="G460" s="8">
        <f t="shared" si="70"/>
        <v>1109.2333333333333</v>
      </c>
      <c r="H460" s="9">
        <f t="shared" si="71"/>
        <v>808747569.5</v>
      </c>
      <c r="I460" s="9">
        <f t="shared" ref="I460:I523" si="74">SUM(H451:H460)</f>
        <v>18600168176.583332</v>
      </c>
      <c r="J460" s="9">
        <f t="shared" ref="J460:J523" si="75">SUM(F451:F460)</f>
        <v>17439598</v>
      </c>
      <c r="K460" s="21">
        <f t="shared" ref="K460:K523" si="76">I460/J460</f>
        <v>1066.5479890409936</v>
      </c>
      <c r="L460" s="4" t="str">
        <f t="shared" si="72"/>
        <v>BUY</v>
      </c>
      <c r="M460" s="4">
        <f t="shared" ref="M460:M523" si="77">IF(L460&lt;&gt;L459,L460,0)</f>
        <v>0</v>
      </c>
      <c r="N460" s="4">
        <f t="shared" si="73"/>
        <v>1</v>
      </c>
      <c r="O460" s="4">
        <f t="shared" ref="O460:O523" si="78">IF(M460&lt;&gt;0,E460,O459)</f>
        <v>1079.75</v>
      </c>
      <c r="P460" s="4">
        <f t="shared" ref="P460:P523" si="79">IF(M460="BUY",(O459-O460)/O459,IF(M460="SELL",(O460-O459)/O459,0))</f>
        <v>0</v>
      </c>
    </row>
    <row r="461" spans="1:16" x14ac:dyDescent="0.25">
      <c r="A461" s="1">
        <v>41921</v>
      </c>
      <c r="B461">
        <v>1101.25</v>
      </c>
      <c r="C461">
        <v>1121.8499999999999</v>
      </c>
      <c r="D461">
        <v>1100</v>
      </c>
      <c r="E461" s="7">
        <v>1106.8499999999999</v>
      </c>
      <c r="F461">
        <v>775422</v>
      </c>
      <c r="G461" s="8">
        <f t="shared" si="70"/>
        <v>1109.5666666666666</v>
      </c>
      <c r="H461" s="9">
        <f t="shared" si="71"/>
        <v>860382403.79999995</v>
      </c>
      <c r="I461" s="9">
        <f t="shared" si="74"/>
        <v>13220427940.816666</v>
      </c>
      <c r="J461" s="9">
        <f t="shared" si="75"/>
        <v>12211631</v>
      </c>
      <c r="K461" s="21">
        <f t="shared" si="76"/>
        <v>1082.6095171739685</v>
      </c>
      <c r="L461" s="4" t="str">
        <f t="shared" si="72"/>
        <v>BUY</v>
      </c>
      <c r="M461" s="4">
        <f t="shared" si="77"/>
        <v>0</v>
      </c>
      <c r="N461" s="4">
        <f t="shared" si="73"/>
        <v>1</v>
      </c>
      <c r="O461" s="4">
        <f t="shared" si="78"/>
        <v>1079.75</v>
      </c>
      <c r="P461" s="4">
        <f t="shared" si="79"/>
        <v>0</v>
      </c>
    </row>
    <row r="462" spans="1:16" x14ac:dyDescent="0.25">
      <c r="A462" s="1">
        <v>41922</v>
      </c>
      <c r="B462">
        <v>1097.8</v>
      </c>
      <c r="C462">
        <v>1109.4000000000001</v>
      </c>
      <c r="D462">
        <v>1087</v>
      </c>
      <c r="E462" s="7">
        <v>1105</v>
      </c>
      <c r="F462">
        <v>945634</v>
      </c>
      <c r="G462" s="8">
        <f t="shared" si="70"/>
        <v>1100.4666666666667</v>
      </c>
      <c r="H462" s="9">
        <f t="shared" si="71"/>
        <v>1040638695.8666667</v>
      </c>
      <c r="I462" s="9">
        <f t="shared" si="74"/>
        <v>12258975129.849998</v>
      </c>
      <c r="J462" s="9">
        <f t="shared" si="75"/>
        <v>11243555</v>
      </c>
      <c r="K462" s="21">
        <f t="shared" si="76"/>
        <v>1090.3113054412061</v>
      </c>
      <c r="L462" s="4" t="str">
        <f t="shared" si="72"/>
        <v>BUY</v>
      </c>
      <c r="M462" s="4">
        <f t="shared" si="77"/>
        <v>0</v>
      </c>
      <c r="N462" s="4">
        <f t="shared" si="73"/>
        <v>1</v>
      </c>
      <c r="O462" s="4">
        <f t="shared" si="78"/>
        <v>1079.75</v>
      </c>
      <c r="P462" s="4">
        <f t="shared" si="79"/>
        <v>0</v>
      </c>
    </row>
    <row r="463" spans="1:16" x14ac:dyDescent="0.25">
      <c r="A463" s="1">
        <v>41925</v>
      </c>
      <c r="B463">
        <v>1121</v>
      </c>
      <c r="C463">
        <v>1125</v>
      </c>
      <c r="D463">
        <v>1087.2</v>
      </c>
      <c r="E463" s="7">
        <v>1099.8</v>
      </c>
      <c r="F463">
        <v>1358004</v>
      </c>
      <c r="G463" s="8">
        <f t="shared" si="70"/>
        <v>1104</v>
      </c>
      <c r="H463" s="9">
        <f t="shared" si="71"/>
        <v>1499236416</v>
      </c>
      <c r="I463" s="9">
        <f t="shared" si="74"/>
        <v>12589773988.116667</v>
      </c>
      <c r="J463" s="9">
        <f t="shared" si="75"/>
        <v>11478853</v>
      </c>
      <c r="K463" s="21">
        <f t="shared" si="76"/>
        <v>1096.7797904648371</v>
      </c>
      <c r="L463" s="4" t="str">
        <f t="shared" si="72"/>
        <v>BUY</v>
      </c>
      <c r="M463" s="4">
        <f t="shared" si="77"/>
        <v>0</v>
      </c>
      <c r="N463" s="4">
        <f t="shared" si="73"/>
        <v>1</v>
      </c>
      <c r="O463" s="4">
        <f t="shared" si="78"/>
        <v>1079.75</v>
      </c>
      <c r="P463" s="4">
        <f t="shared" si="79"/>
        <v>0</v>
      </c>
    </row>
    <row r="464" spans="1:16" x14ac:dyDescent="0.25">
      <c r="A464" s="1">
        <v>41926</v>
      </c>
      <c r="B464">
        <v>1096</v>
      </c>
      <c r="C464">
        <v>1114.8</v>
      </c>
      <c r="D464">
        <v>1096</v>
      </c>
      <c r="E464" s="7">
        <v>1105.25</v>
      </c>
      <c r="F464">
        <v>846052</v>
      </c>
      <c r="G464" s="8">
        <f t="shared" si="70"/>
        <v>1105.3500000000001</v>
      </c>
      <c r="H464" s="9">
        <f t="shared" si="71"/>
        <v>935183578.20000017</v>
      </c>
      <c r="I464" s="9">
        <f t="shared" si="74"/>
        <v>12231695279.566668</v>
      </c>
      <c r="J464" s="9">
        <f t="shared" si="75"/>
        <v>11094340</v>
      </c>
      <c r="K464" s="21">
        <f t="shared" si="76"/>
        <v>1102.516713888944</v>
      </c>
      <c r="L464" s="4" t="str">
        <f t="shared" si="72"/>
        <v>BUY</v>
      </c>
      <c r="M464" s="4">
        <f t="shared" si="77"/>
        <v>0</v>
      </c>
      <c r="N464" s="4">
        <f t="shared" si="73"/>
        <v>1</v>
      </c>
      <c r="O464" s="4">
        <f t="shared" si="78"/>
        <v>1079.75</v>
      </c>
      <c r="P464" s="4">
        <f t="shared" si="79"/>
        <v>0</v>
      </c>
    </row>
    <row r="465" spans="1:16" x14ac:dyDescent="0.25">
      <c r="A465" s="1">
        <v>41927</v>
      </c>
      <c r="B465">
        <v>1110</v>
      </c>
      <c r="C465">
        <v>1146</v>
      </c>
      <c r="D465">
        <v>1106.3</v>
      </c>
      <c r="E465" s="7">
        <v>1122.95</v>
      </c>
      <c r="F465">
        <v>1960990</v>
      </c>
      <c r="G465" s="8">
        <f t="shared" si="70"/>
        <v>1125.0833333333333</v>
      </c>
      <c r="H465" s="9">
        <f t="shared" si="71"/>
        <v>2206277165.833333</v>
      </c>
      <c r="I465" s="9">
        <f t="shared" si="74"/>
        <v>12675851317.733334</v>
      </c>
      <c r="J465" s="9">
        <f t="shared" si="75"/>
        <v>11419470</v>
      </c>
      <c r="K465" s="21">
        <f t="shared" si="76"/>
        <v>1110.0209832622122</v>
      </c>
      <c r="L465" s="4" t="str">
        <f t="shared" si="72"/>
        <v>BUY</v>
      </c>
      <c r="M465" s="4">
        <f t="shared" si="77"/>
        <v>0</v>
      </c>
      <c r="N465" s="4">
        <f t="shared" si="73"/>
        <v>1</v>
      </c>
      <c r="O465" s="4">
        <f t="shared" si="78"/>
        <v>1079.75</v>
      </c>
      <c r="P465" s="4">
        <f t="shared" si="79"/>
        <v>0</v>
      </c>
    </row>
    <row r="466" spans="1:16" x14ac:dyDescent="0.25">
      <c r="A466" s="1">
        <v>41928</v>
      </c>
      <c r="B466">
        <v>1110</v>
      </c>
      <c r="C466">
        <v>1141</v>
      </c>
      <c r="D466">
        <v>1107.25</v>
      </c>
      <c r="E466" s="7">
        <v>1131</v>
      </c>
      <c r="F466">
        <v>1814795</v>
      </c>
      <c r="G466" s="8">
        <f t="shared" si="70"/>
        <v>1126.4166666666667</v>
      </c>
      <c r="H466" s="9">
        <f t="shared" si="71"/>
        <v>2044215334.5833335</v>
      </c>
      <c r="I466" s="9">
        <f t="shared" si="74"/>
        <v>12448628899.550001</v>
      </c>
      <c r="J466" s="9">
        <f t="shared" si="75"/>
        <v>11154892</v>
      </c>
      <c r="K466" s="21">
        <f t="shared" si="76"/>
        <v>1115.9793299253818</v>
      </c>
      <c r="L466" s="4" t="str">
        <f t="shared" si="72"/>
        <v>BUY</v>
      </c>
      <c r="M466" s="4">
        <f t="shared" si="77"/>
        <v>0</v>
      </c>
      <c r="N466" s="4">
        <f t="shared" si="73"/>
        <v>1</v>
      </c>
      <c r="O466" s="4">
        <f t="shared" si="78"/>
        <v>1079.75</v>
      </c>
      <c r="P466" s="4">
        <f t="shared" si="79"/>
        <v>0</v>
      </c>
    </row>
    <row r="467" spans="1:16" x14ac:dyDescent="0.25">
      <c r="A467" s="1">
        <v>41929</v>
      </c>
      <c r="B467">
        <v>1140</v>
      </c>
      <c r="C467">
        <v>1156</v>
      </c>
      <c r="D467">
        <v>1124.5</v>
      </c>
      <c r="E467" s="7">
        <v>1128.4000000000001</v>
      </c>
      <c r="F467">
        <v>1164575</v>
      </c>
      <c r="G467" s="8">
        <f t="shared" si="70"/>
        <v>1136.3</v>
      </c>
      <c r="H467" s="9">
        <f t="shared" si="71"/>
        <v>1323306572.5</v>
      </c>
      <c r="I467" s="9">
        <f t="shared" si="74"/>
        <v>13545428762.550001</v>
      </c>
      <c r="J467" s="9">
        <f t="shared" si="75"/>
        <v>12113505</v>
      </c>
      <c r="K467" s="21">
        <f t="shared" si="76"/>
        <v>1118.2088720440534</v>
      </c>
      <c r="L467" s="4" t="str">
        <f t="shared" si="72"/>
        <v>BUY</v>
      </c>
      <c r="M467" s="4">
        <f t="shared" si="77"/>
        <v>0</v>
      </c>
      <c r="N467" s="4">
        <f t="shared" si="73"/>
        <v>1</v>
      </c>
      <c r="O467" s="4">
        <f t="shared" si="78"/>
        <v>1079.75</v>
      </c>
      <c r="P467" s="4">
        <f t="shared" si="79"/>
        <v>0</v>
      </c>
    </row>
    <row r="468" spans="1:16" x14ac:dyDescent="0.25">
      <c r="A468" s="1">
        <v>41932</v>
      </c>
      <c r="B468">
        <v>1125.05</v>
      </c>
      <c r="C468">
        <v>1138.95</v>
      </c>
      <c r="D468">
        <v>1120</v>
      </c>
      <c r="E468" s="7">
        <v>1124.4000000000001</v>
      </c>
      <c r="F468">
        <v>734239</v>
      </c>
      <c r="G468" s="8">
        <f t="shared" si="70"/>
        <v>1127.7833333333333</v>
      </c>
      <c r="H468" s="9">
        <f t="shared" si="71"/>
        <v>828062506.88333333</v>
      </c>
      <c r="I468" s="9">
        <f t="shared" si="74"/>
        <v>12542085351.833334</v>
      </c>
      <c r="J468" s="9">
        <f t="shared" si="75"/>
        <v>11218186</v>
      </c>
      <c r="K468" s="21">
        <f t="shared" si="76"/>
        <v>1118.0136745667555</v>
      </c>
      <c r="L468" s="4" t="str">
        <f t="shared" si="72"/>
        <v>BUY</v>
      </c>
      <c r="M468" s="4">
        <f t="shared" si="77"/>
        <v>0</v>
      </c>
      <c r="N468" s="4">
        <f t="shared" si="73"/>
        <v>1</v>
      </c>
      <c r="O468" s="4">
        <f t="shared" si="78"/>
        <v>1079.75</v>
      </c>
      <c r="P468" s="4">
        <f t="shared" si="79"/>
        <v>0</v>
      </c>
    </row>
    <row r="469" spans="1:16" x14ac:dyDescent="0.25">
      <c r="A469" s="1">
        <v>41933</v>
      </c>
      <c r="B469">
        <v>1126</v>
      </c>
      <c r="C469">
        <v>1132.8</v>
      </c>
      <c r="D469">
        <v>1105.2</v>
      </c>
      <c r="E469" s="7">
        <v>1117.25</v>
      </c>
      <c r="F469">
        <v>935801</v>
      </c>
      <c r="G469" s="8">
        <f t="shared" si="70"/>
        <v>1118.4166666666667</v>
      </c>
      <c r="H469" s="9">
        <f t="shared" si="71"/>
        <v>1046615435.0833334</v>
      </c>
      <c r="I469" s="9">
        <f t="shared" si="74"/>
        <v>12592665678.25</v>
      </c>
      <c r="J469" s="9">
        <f t="shared" si="75"/>
        <v>11264617</v>
      </c>
      <c r="K469" s="21">
        <f t="shared" si="76"/>
        <v>1117.8955909686056</v>
      </c>
      <c r="L469" s="4" t="str">
        <f t="shared" si="72"/>
        <v>SELL</v>
      </c>
      <c r="M469" s="4" t="str">
        <f t="shared" si="77"/>
        <v>SELL</v>
      </c>
      <c r="N469" s="4">
        <f t="shared" si="73"/>
        <v>-1</v>
      </c>
      <c r="O469" s="4">
        <f t="shared" si="78"/>
        <v>1117.25</v>
      </c>
      <c r="P469" s="4">
        <f t="shared" si="79"/>
        <v>3.4730261634637646E-2</v>
      </c>
    </row>
    <row r="470" spans="1:16" x14ac:dyDescent="0.25">
      <c r="A470" s="1">
        <v>41934</v>
      </c>
      <c r="B470">
        <v>1115</v>
      </c>
      <c r="C470">
        <v>1123.5</v>
      </c>
      <c r="D470">
        <v>1107.5999999999999</v>
      </c>
      <c r="E470" s="7">
        <v>1115.1500000000001</v>
      </c>
      <c r="F470">
        <v>695994</v>
      </c>
      <c r="G470" s="8">
        <f t="shared" si="70"/>
        <v>1115.4166666666667</v>
      </c>
      <c r="H470" s="9">
        <f t="shared" si="71"/>
        <v>776323307.5</v>
      </c>
      <c r="I470" s="9">
        <f t="shared" si="74"/>
        <v>12560241416.25</v>
      </c>
      <c r="J470" s="9">
        <f t="shared" si="75"/>
        <v>11231506</v>
      </c>
      <c r="K470" s="21">
        <f t="shared" si="76"/>
        <v>1118.304296525328</v>
      </c>
      <c r="L470" s="4" t="str">
        <f t="shared" si="72"/>
        <v>SELL</v>
      </c>
      <c r="M470" s="4">
        <f t="shared" si="77"/>
        <v>0</v>
      </c>
      <c r="N470" s="4">
        <f t="shared" si="73"/>
        <v>-1</v>
      </c>
      <c r="O470" s="4">
        <f t="shared" si="78"/>
        <v>1117.25</v>
      </c>
      <c r="P470" s="4">
        <f t="shared" si="79"/>
        <v>0</v>
      </c>
    </row>
    <row r="471" spans="1:16" x14ac:dyDescent="0.25">
      <c r="A471" s="1">
        <v>41935</v>
      </c>
      <c r="B471">
        <v>1105.75</v>
      </c>
      <c r="C471">
        <v>1109.8</v>
      </c>
      <c r="D471">
        <v>1076.3</v>
      </c>
      <c r="E471" s="7">
        <v>1086.5999999999999</v>
      </c>
      <c r="F471">
        <v>1394721</v>
      </c>
      <c r="G471" s="8">
        <f t="shared" si="70"/>
        <v>1090.8999999999999</v>
      </c>
      <c r="H471" s="9">
        <f t="shared" si="71"/>
        <v>1521501138.8999999</v>
      </c>
      <c r="I471" s="9">
        <f t="shared" si="74"/>
        <v>13221360151.35</v>
      </c>
      <c r="J471" s="9">
        <f t="shared" si="75"/>
        <v>11850805</v>
      </c>
      <c r="K471" s="21">
        <f t="shared" si="76"/>
        <v>1115.650806114015</v>
      </c>
      <c r="L471" s="4" t="str">
        <f t="shared" si="72"/>
        <v>SELL</v>
      </c>
      <c r="M471" s="4">
        <f t="shared" si="77"/>
        <v>0</v>
      </c>
      <c r="N471" s="4">
        <f t="shared" si="73"/>
        <v>-1</v>
      </c>
      <c r="O471" s="4">
        <f t="shared" si="78"/>
        <v>1117.25</v>
      </c>
      <c r="P471" s="4">
        <f t="shared" si="79"/>
        <v>0</v>
      </c>
    </row>
    <row r="472" spans="1:16" x14ac:dyDescent="0.25">
      <c r="A472" s="1">
        <v>41936</v>
      </c>
      <c r="B472">
        <v>1085</v>
      </c>
      <c r="C472">
        <v>1088.3</v>
      </c>
      <c r="D472">
        <v>1060.0999999999999</v>
      </c>
      <c r="E472" s="7">
        <v>1067.2</v>
      </c>
      <c r="F472">
        <v>1435852</v>
      </c>
      <c r="G472" s="8">
        <f t="shared" si="70"/>
        <v>1071.8666666666666</v>
      </c>
      <c r="H472" s="9">
        <f t="shared" si="71"/>
        <v>1539041897.0666666</v>
      </c>
      <c r="I472" s="9">
        <f t="shared" si="74"/>
        <v>13719763352.549999</v>
      </c>
      <c r="J472" s="9">
        <f t="shared" si="75"/>
        <v>12341023</v>
      </c>
      <c r="K472" s="21">
        <f t="shared" si="76"/>
        <v>1111.7201023407865</v>
      </c>
      <c r="L472" s="4" t="str">
        <f t="shared" si="72"/>
        <v>SELL</v>
      </c>
      <c r="M472" s="4">
        <f t="shared" si="77"/>
        <v>0</v>
      </c>
      <c r="N472" s="4">
        <f t="shared" si="73"/>
        <v>-1</v>
      </c>
      <c r="O472" s="4">
        <f t="shared" si="78"/>
        <v>1117.25</v>
      </c>
      <c r="P472" s="4">
        <f t="shared" si="79"/>
        <v>0</v>
      </c>
    </row>
    <row r="473" spans="1:16" x14ac:dyDescent="0.25">
      <c r="A473" s="1">
        <v>41939</v>
      </c>
      <c r="B473">
        <v>1068.9000000000001</v>
      </c>
      <c r="C473">
        <v>1095</v>
      </c>
      <c r="D473">
        <v>1057</v>
      </c>
      <c r="E473" s="7">
        <v>1081.8499999999999</v>
      </c>
      <c r="F473">
        <v>1861791</v>
      </c>
      <c r="G473" s="8">
        <f t="shared" si="70"/>
        <v>1077.95</v>
      </c>
      <c r="H473" s="9">
        <f t="shared" si="71"/>
        <v>2006917608.45</v>
      </c>
      <c r="I473" s="9">
        <f t="shared" si="74"/>
        <v>14227444545</v>
      </c>
      <c r="J473" s="9">
        <f t="shared" si="75"/>
        <v>12844810</v>
      </c>
      <c r="K473" s="21">
        <f t="shared" si="76"/>
        <v>1107.6414945024489</v>
      </c>
      <c r="L473" s="4" t="str">
        <f t="shared" si="72"/>
        <v>SELL</v>
      </c>
      <c r="M473" s="4">
        <f t="shared" si="77"/>
        <v>0</v>
      </c>
      <c r="N473" s="4">
        <f t="shared" si="73"/>
        <v>-1</v>
      </c>
      <c r="O473" s="4">
        <f t="shared" si="78"/>
        <v>1117.25</v>
      </c>
      <c r="P473" s="4">
        <f t="shared" si="79"/>
        <v>0</v>
      </c>
    </row>
    <row r="474" spans="1:16" x14ac:dyDescent="0.25">
      <c r="A474" s="1">
        <v>41940</v>
      </c>
      <c r="B474">
        <v>1081.95</v>
      </c>
      <c r="C474">
        <v>1081.95</v>
      </c>
      <c r="D474">
        <v>1041</v>
      </c>
      <c r="E474" s="7">
        <v>1062.3</v>
      </c>
      <c r="F474">
        <v>1177875</v>
      </c>
      <c r="G474" s="8">
        <f t="shared" si="70"/>
        <v>1061.75</v>
      </c>
      <c r="H474" s="9">
        <f t="shared" si="71"/>
        <v>1250608781.25</v>
      </c>
      <c r="I474" s="9">
        <f t="shared" si="74"/>
        <v>14542869748.049999</v>
      </c>
      <c r="J474" s="9">
        <f t="shared" si="75"/>
        <v>13176633</v>
      </c>
      <c r="K474" s="21">
        <f t="shared" si="76"/>
        <v>1103.6863323164573</v>
      </c>
      <c r="L474" s="4" t="str">
        <f t="shared" si="72"/>
        <v>SELL</v>
      </c>
      <c r="M474" s="4">
        <f t="shared" si="77"/>
        <v>0</v>
      </c>
      <c r="N474" s="4">
        <f t="shared" si="73"/>
        <v>-1</v>
      </c>
      <c r="O474" s="4">
        <f t="shared" si="78"/>
        <v>1117.25</v>
      </c>
      <c r="P474" s="4">
        <f t="shared" si="79"/>
        <v>0</v>
      </c>
    </row>
    <row r="475" spans="1:16" x14ac:dyDescent="0.25">
      <c r="A475" s="1">
        <v>41941</v>
      </c>
      <c r="B475">
        <v>1062</v>
      </c>
      <c r="C475">
        <v>1096.4000000000001</v>
      </c>
      <c r="D475">
        <v>1045</v>
      </c>
      <c r="E475" s="7">
        <v>1091.8</v>
      </c>
      <c r="F475">
        <v>1883422</v>
      </c>
      <c r="G475" s="8">
        <f t="shared" si="70"/>
        <v>1077.7333333333333</v>
      </c>
      <c r="H475" s="9">
        <f t="shared" si="71"/>
        <v>2029826670.1333334</v>
      </c>
      <c r="I475" s="9">
        <f t="shared" si="74"/>
        <v>14366419252.35</v>
      </c>
      <c r="J475" s="9">
        <f t="shared" si="75"/>
        <v>13099065</v>
      </c>
      <c r="K475" s="21">
        <f t="shared" si="76"/>
        <v>1096.7515049623771</v>
      </c>
      <c r="L475" s="4" t="str">
        <f t="shared" si="72"/>
        <v>SELL</v>
      </c>
      <c r="M475" s="4">
        <f t="shared" si="77"/>
        <v>0</v>
      </c>
      <c r="N475" s="4">
        <f t="shared" si="73"/>
        <v>-1</v>
      </c>
      <c r="O475" s="4">
        <f t="shared" si="78"/>
        <v>1117.25</v>
      </c>
      <c r="P475" s="4">
        <f t="shared" si="79"/>
        <v>0</v>
      </c>
    </row>
    <row r="476" spans="1:16" x14ac:dyDescent="0.25">
      <c r="A476" s="1">
        <v>41942</v>
      </c>
      <c r="B476">
        <v>1085</v>
      </c>
      <c r="C476">
        <v>1087.9000000000001</v>
      </c>
      <c r="D476">
        <v>1057.0999999999999</v>
      </c>
      <c r="E476" s="7">
        <v>1063.9000000000001</v>
      </c>
      <c r="F476">
        <v>1070302</v>
      </c>
      <c r="G476" s="8">
        <f t="shared" si="70"/>
        <v>1069.6333333333334</v>
      </c>
      <c r="H476" s="9">
        <f t="shared" si="71"/>
        <v>1144830695.9333334</v>
      </c>
      <c r="I476" s="9">
        <f t="shared" si="74"/>
        <v>13467034613.700001</v>
      </c>
      <c r="J476" s="9">
        <f t="shared" si="75"/>
        <v>12354572</v>
      </c>
      <c r="K476" s="21">
        <f t="shared" si="76"/>
        <v>1090.0446096959085</v>
      </c>
      <c r="L476" s="4" t="str">
        <f t="shared" si="72"/>
        <v>SELL</v>
      </c>
      <c r="M476" s="4">
        <f t="shared" si="77"/>
        <v>0</v>
      </c>
      <c r="N476" s="4">
        <f t="shared" si="73"/>
        <v>-1</v>
      </c>
      <c r="O476" s="4">
        <f t="shared" si="78"/>
        <v>1117.25</v>
      </c>
      <c r="P476" s="4">
        <f t="shared" si="79"/>
        <v>0</v>
      </c>
    </row>
    <row r="477" spans="1:16" x14ac:dyDescent="0.25">
      <c r="A477" s="1">
        <v>41943</v>
      </c>
      <c r="B477">
        <v>1077.95</v>
      </c>
      <c r="C477">
        <v>1096</v>
      </c>
      <c r="D477">
        <v>1074</v>
      </c>
      <c r="E477" s="7">
        <v>1088.5</v>
      </c>
      <c r="F477">
        <v>752243</v>
      </c>
      <c r="G477" s="8">
        <f t="shared" si="70"/>
        <v>1086.1666666666667</v>
      </c>
      <c r="H477" s="9">
        <f t="shared" si="71"/>
        <v>817061271.83333337</v>
      </c>
      <c r="I477" s="9">
        <f t="shared" si="74"/>
        <v>12960789313.033335</v>
      </c>
      <c r="J477" s="9">
        <f t="shared" si="75"/>
        <v>11942240</v>
      </c>
      <c r="K477" s="21">
        <f t="shared" si="76"/>
        <v>1085.2896368715865</v>
      </c>
      <c r="L477" s="4" t="str">
        <f t="shared" si="72"/>
        <v>BUY</v>
      </c>
      <c r="M477" s="4" t="str">
        <f t="shared" si="77"/>
        <v>BUY</v>
      </c>
      <c r="N477" s="4">
        <f t="shared" si="73"/>
        <v>1</v>
      </c>
      <c r="O477" s="4">
        <f t="shared" si="78"/>
        <v>1088.5</v>
      </c>
      <c r="P477" s="4">
        <f t="shared" si="79"/>
        <v>2.5732826135600805E-2</v>
      </c>
    </row>
    <row r="478" spans="1:16" x14ac:dyDescent="0.25">
      <c r="A478" s="1">
        <v>41946</v>
      </c>
      <c r="B478">
        <v>1093</v>
      </c>
      <c r="C478">
        <v>1105.9000000000001</v>
      </c>
      <c r="D478">
        <v>1086.2</v>
      </c>
      <c r="E478" s="7">
        <v>1093.3</v>
      </c>
      <c r="F478">
        <v>1277348</v>
      </c>
      <c r="G478" s="8">
        <f t="shared" si="70"/>
        <v>1095.1333333333334</v>
      </c>
      <c r="H478" s="9">
        <f t="shared" si="71"/>
        <v>1398866373.0666668</v>
      </c>
      <c r="I478" s="9">
        <f t="shared" si="74"/>
        <v>13531593179.216667</v>
      </c>
      <c r="J478" s="9">
        <f t="shared" si="75"/>
        <v>12485349</v>
      </c>
      <c r="K478" s="21">
        <f t="shared" si="76"/>
        <v>1083.7977520065051</v>
      </c>
      <c r="L478" s="4" t="str">
        <f t="shared" si="72"/>
        <v>BUY</v>
      </c>
      <c r="M478" s="4">
        <f t="shared" si="77"/>
        <v>0</v>
      </c>
      <c r="N478" s="4">
        <f t="shared" si="73"/>
        <v>1</v>
      </c>
      <c r="O478" s="4">
        <f t="shared" si="78"/>
        <v>1088.5</v>
      </c>
      <c r="P478" s="4">
        <f t="shared" si="79"/>
        <v>0</v>
      </c>
    </row>
    <row r="479" spans="1:16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 s="7">
        <v>1115.55</v>
      </c>
      <c r="F479">
        <v>1740849</v>
      </c>
      <c r="G479" s="8">
        <f t="shared" si="70"/>
        <v>1106.5500000000002</v>
      </c>
      <c r="H479" s="9">
        <f t="shared" si="71"/>
        <v>1926336460.9500003</v>
      </c>
      <c r="I479" s="9">
        <f t="shared" si="74"/>
        <v>14411314205.083336</v>
      </c>
      <c r="J479" s="9">
        <f t="shared" si="75"/>
        <v>13290397</v>
      </c>
      <c r="K479" s="21">
        <f t="shared" si="76"/>
        <v>1084.3403853988211</v>
      </c>
      <c r="L479" s="4" t="str">
        <f t="shared" si="72"/>
        <v>BUY</v>
      </c>
      <c r="M479" s="4">
        <f t="shared" si="77"/>
        <v>0</v>
      </c>
      <c r="N479" s="4">
        <f t="shared" si="73"/>
        <v>1</v>
      </c>
      <c r="O479" s="4">
        <f t="shared" si="78"/>
        <v>1088.5</v>
      </c>
      <c r="P479" s="4">
        <f t="shared" si="79"/>
        <v>0</v>
      </c>
    </row>
    <row r="480" spans="1:16" x14ac:dyDescent="0.25">
      <c r="A480" s="1">
        <v>41948</v>
      </c>
      <c r="B480">
        <v>1140</v>
      </c>
      <c r="C480">
        <v>1148.55</v>
      </c>
      <c r="D480">
        <v>1126.2</v>
      </c>
      <c r="E480" s="7">
        <v>1134.8</v>
      </c>
      <c r="F480">
        <v>1240724</v>
      </c>
      <c r="G480" s="8">
        <f t="shared" si="70"/>
        <v>1136.5166666666667</v>
      </c>
      <c r="H480" s="9">
        <f t="shared" si="71"/>
        <v>1410103504.7333333</v>
      </c>
      <c r="I480" s="9">
        <f t="shared" si="74"/>
        <v>15045094402.316669</v>
      </c>
      <c r="J480" s="9">
        <f t="shared" si="75"/>
        <v>13835127</v>
      </c>
      <c r="K480" s="21">
        <f t="shared" si="76"/>
        <v>1087.4561832585034</v>
      </c>
      <c r="L480" s="4" t="str">
        <f t="shared" si="72"/>
        <v>BUY</v>
      </c>
      <c r="M480" s="4">
        <f t="shared" si="77"/>
        <v>0</v>
      </c>
      <c r="N480" s="4">
        <f t="shared" si="73"/>
        <v>1</v>
      </c>
      <c r="O480" s="4">
        <f t="shared" si="78"/>
        <v>1088.5</v>
      </c>
      <c r="P480" s="4">
        <f t="shared" si="79"/>
        <v>0</v>
      </c>
    </row>
    <row r="481" spans="1:16" x14ac:dyDescent="0.25">
      <c r="A481" s="1">
        <v>41949</v>
      </c>
      <c r="B481">
        <v>1134.8499999999999</v>
      </c>
      <c r="C481">
        <v>1185</v>
      </c>
      <c r="D481">
        <v>1129.5999999999999</v>
      </c>
      <c r="E481" s="7">
        <v>1178</v>
      </c>
      <c r="F481">
        <v>1984433</v>
      </c>
      <c r="G481" s="8">
        <f t="shared" si="70"/>
        <v>1164.2</v>
      </c>
      <c r="H481" s="9">
        <f t="shared" si="71"/>
        <v>2310276898.5999999</v>
      </c>
      <c r="I481" s="9">
        <f t="shared" si="74"/>
        <v>15833870162.016668</v>
      </c>
      <c r="J481" s="9">
        <f t="shared" si="75"/>
        <v>14424839</v>
      </c>
      <c r="K481" s="21">
        <f t="shared" si="76"/>
        <v>1097.6808934932769</v>
      </c>
      <c r="L481" s="4" t="str">
        <f t="shared" si="72"/>
        <v>BUY</v>
      </c>
      <c r="M481" s="4">
        <f t="shared" si="77"/>
        <v>0</v>
      </c>
      <c r="N481" s="4">
        <f t="shared" si="73"/>
        <v>1</v>
      </c>
      <c r="O481" s="4">
        <f t="shared" si="78"/>
        <v>1088.5</v>
      </c>
      <c r="P481" s="4">
        <f t="shared" si="79"/>
        <v>0</v>
      </c>
    </row>
    <row r="482" spans="1:16" x14ac:dyDescent="0.25">
      <c r="A482" s="1">
        <v>41950</v>
      </c>
      <c r="B482">
        <v>1172.5</v>
      </c>
      <c r="C482">
        <v>1183.9000000000001</v>
      </c>
      <c r="D482">
        <v>1162.55</v>
      </c>
      <c r="E482" s="7">
        <v>1180.95</v>
      </c>
      <c r="F482">
        <v>765238</v>
      </c>
      <c r="G482" s="8">
        <f t="shared" si="70"/>
        <v>1175.8</v>
      </c>
      <c r="H482" s="9">
        <f t="shared" si="71"/>
        <v>899766840.39999998</v>
      </c>
      <c r="I482" s="9">
        <f t="shared" si="74"/>
        <v>15194595105.35</v>
      </c>
      <c r="J482" s="9">
        <f t="shared" si="75"/>
        <v>13754225</v>
      </c>
      <c r="K482" s="21">
        <f t="shared" si="76"/>
        <v>1104.7220112619941</v>
      </c>
      <c r="L482" s="4" t="str">
        <f t="shared" si="72"/>
        <v>BUY</v>
      </c>
      <c r="M482" s="4">
        <f t="shared" si="77"/>
        <v>0</v>
      </c>
      <c r="N482" s="4">
        <f t="shared" si="73"/>
        <v>1</v>
      </c>
      <c r="O482" s="4">
        <f t="shared" si="78"/>
        <v>1088.5</v>
      </c>
      <c r="P482" s="4">
        <f t="shared" si="79"/>
        <v>0</v>
      </c>
    </row>
    <row r="483" spans="1:16" x14ac:dyDescent="0.25">
      <c r="A483" s="1">
        <v>41953</v>
      </c>
      <c r="B483">
        <v>1180</v>
      </c>
      <c r="C483">
        <v>1192.9000000000001</v>
      </c>
      <c r="D483">
        <v>1173.5999999999999</v>
      </c>
      <c r="E483" s="7">
        <v>1179.55</v>
      </c>
      <c r="F483">
        <v>1318711</v>
      </c>
      <c r="G483" s="8">
        <f t="shared" si="70"/>
        <v>1182.0166666666667</v>
      </c>
      <c r="H483" s="9">
        <f t="shared" si="71"/>
        <v>1558738380.5166667</v>
      </c>
      <c r="I483" s="9">
        <f t="shared" si="74"/>
        <v>14746415877.416666</v>
      </c>
      <c r="J483" s="9">
        <f t="shared" si="75"/>
        <v>13211145</v>
      </c>
      <c r="K483" s="21">
        <f t="shared" si="76"/>
        <v>1116.2102813508341</v>
      </c>
      <c r="L483" s="4" t="str">
        <f t="shared" si="72"/>
        <v>BUY</v>
      </c>
      <c r="M483" s="4">
        <f t="shared" si="77"/>
        <v>0</v>
      </c>
      <c r="N483" s="4">
        <f t="shared" si="73"/>
        <v>1</v>
      </c>
      <c r="O483" s="4">
        <f t="shared" si="78"/>
        <v>1088.5</v>
      </c>
      <c r="P483" s="4">
        <f t="shared" si="79"/>
        <v>0</v>
      </c>
    </row>
    <row r="484" spans="1:16" x14ac:dyDescent="0.25">
      <c r="A484" s="1">
        <v>41954</v>
      </c>
      <c r="B484">
        <v>1170</v>
      </c>
      <c r="C484">
        <v>1189</v>
      </c>
      <c r="D484">
        <v>1167.1500000000001</v>
      </c>
      <c r="E484" s="7">
        <v>1177.5999999999999</v>
      </c>
      <c r="F484">
        <v>1663222</v>
      </c>
      <c r="G484" s="8">
        <f t="shared" si="70"/>
        <v>1177.9166666666667</v>
      </c>
      <c r="H484" s="9">
        <f t="shared" si="71"/>
        <v>1959136914.1666667</v>
      </c>
      <c r="I484" s="9">
        <f t="shared" si="74"/>
        <v>15454944010.333334</v>
      </c>
      <c r="J484" s="9">
        <f t="shared" si="75"/>
        <v>13696492</v>
      </c>
      <c r="K484" s="21">
        <f t="shared" si="76"/>
        <v>1128.3870359164473</v>
      </c>
      <c r="L484" s="4" t="str">
        <f t="shared" si="72"/>
        <v>BUY</v>
      </c>
      <c r="M484" s="4">
        <f t="shared" si="77"/>
        <v>0</v>
      </c>
      <c r="N484" s="4">
        <f t="shared" si="73"/>
        <v>1</v>
      </c>
      <c r="O484" s="4">
        <f t="shared" si="78"/>
        <v>1088.5</v>
      </c>
      <c r="P484" s="4">
        <f t="shared" si="79"/>
        <v>0</v>
      </c>
    </row>
    <row r="485" spans="1:16" x14ac:dyDescent="0.25">
      <c r="A485" s="1">
        <v>41955</v>
      </c>
      <c r="B485">
        <v>1161</v>
      </c>
      <c r="C485">
        <v>1182.8</v>
      </c>
      <c r="D485">
        <v>1161</v>
      </c>
      <c r="E485" s="7">
        <v>1172.4000000000001</v>
      </c>
      <c r="F485">
        <v>1381615</v>
      </c>
      <c r="G485" s="8">
        <f t="shared" si="70"/>
        <v>1172.0666666666668</v>
      </c>
      <c r="H485" s="9">
        <f t="shared" si="71"/>
        <v>1619344887.666667</v>
      </c>
      <c r="I485" s="9">
        <f t="shared" si="74"/>
        <v>15044462227.866669</v>
      </c>
      <c r="J485" s="9">
        <f t="shared" si="75"/>
        <v>13194685</v>
      </c>
      <c r="K485" s="21">
        <f t="shared" si="76"/>
        <v>1140.1910866281892</v>
      </c>
      <c r="L485" s="4" t="str">
        <f t="shared" si="72"/>
        <v>BUY</v>
      </c>
      <c r="M485" s="4">
        <f t="shared" si="77"/>
        <v>0</v>
      </c>
      <c r="N485" s="4">
        <f t="shared" si="73"/>
        <v>1</v>
      </c>
      <c r="O485" s="4">
        <f t="shared" si="78"/>
        <v>1088.5</v>
      </c>
      <c r="P485" s="4">
        <f t="shared" si="79"/>
        <v>0</v>
      </c>
    </row>
    <row r="486" spans="1:16" x14ac:dyDescent="0.25">
      <c r="A486" s="1">
        <v>41956</v>
      </c>
      <c r="B486">
        <v>1176</v>
      </c>
      <c r="C486">
        <v>1190</v>
      </c>
      <c r="D486">
        <v>1155.0999999999999</v>
      </c>
      <c r="E486" s="7">
        <v>1180.3499999999999</v>
      </c>
      <c r="F486">
        <v>1586085</v>
      </c>
      <c r="G486" s="8">
        <f t="shared" si="70"/>
        <v>1175.1499999999999</v>
      </c>
      <c r="H486" s="9">
        <f t="shared" si="71"/>
        <v>1863887787.7499998</v>
      </c>
      <c r="I486" s="9">
        <f t="shared" si="74"/>
        <v>15763519319.683334</v>
      </c>
      <c r="J486" s="9">
        <f t="shared" si="75"/>
        <v>13710468</v>
      </c>
      <c r="K486" s="21">
        <f t="shared" si="76"/>
        <v>1149.743343530165</v>
      </c>
      <c r="L486" s="4" t="str">
        <f t="shared" si="72"/>
        <v>BUY</v>
      </c>
      <c r="M486" s="4">
        <f t="shared" si="77"/>
        <v>0</v>
      </c>
      <c r="N486" s="4">
        <f t="shared" si="73"/>
        <v>1</v>
      </c>
      <c r="O486" s="4">
        <f t="shared" si="78"/>
        <v>1088.5</v>
      </c>
      <c r="P486" s="4">
        <f t="shared" si="79"/>
        <v>0</v>
      </c>
    </row>
    <row r="487" spans="1:16" x14ac:dyDescent="0.25">
      <c r="A487" s="1">
        <v>41957</v>
      </c>
      <c r="B487">
        <v>1175</v>
      </c>
      <c r="C487">
        <v>1196.9000000000001</v>
      </c>
      <c r="D487">
        <v>1166.6500000000001</v>
      </c>
      <c r="E487" s="7">
        <v>1178.7</v>
      </c>
      <c r="F487">
        <v>1637279</v>
      </c>
      <c r="G487" s="8">
        <f t="shared" si="70"/>
        <v>1180.75</v>
      </c>
      <c r="H487" s="9">
        <f t="shared" si="71"/>
        <v>1933217179.25</v>
      </c>
      <c r="I487" s="9">
        <f t="shared" si="74"/>
        <v>16879675227.099998</v>
      </c>
      <c r="J487" s="9">
        <f t="shared" si="75"/>
        <v>14595504</v>
      </c>
      <c r="K487" s="21">
        <f t="shared" si="76"/>
        <v>1156.4982769419951</v>
      </c>
      <c r="L487" s="4" t="str">
        <f t="shared" si="72"/>
        <v>BUY</v>
      </c>
      <c r="M487" s="4">
        <f t="shared" si="77"/>
        <v>0</v>
      </c>
      <c r="N487" s="4">
        <f t="shared" si="73"/>
        <v>1</v>
      </c>
      <c r="O487" s="4">
        <f t="shared" si="78"/>
        <v>1088.5</v>
      </c>
      <c r="P487" s="4">
        <f t="shared" si="79"/>
        <v>0</v>
      </c>
    </row>
    <row r="488" spans="1:16" x14ac:dyDescent="0.25">
      <c r="A488" s="1">
        <v>41960</v>
      </c>
      <c r="B488">
        <v>1180.5</v>
      </c>
      <c r="C488">
        <v>1189</v>
      </c>
      <c r="D488">
        <v>1170</v>
      </c>
      <c r="E488" s="7">
        <v>1182.45</v>
      </c>
      <c r="F488">
        <v>1673088</v>
      </c>
      <c r="G488" s="8">
        <f t="shared" si="70"/>
        <v>1180.4833333333333</v>
      </c>
      <c r="H488" s="9">
        <f t="shared" si="71"/>
        <v>1975052499.2</v>
      </c>
      <c r="I488" s="9">
        <f t="shared" si="74"/>
        <v>17455861353.233334</v>
      </c>
      <c r="J488" s="9">
        <f t="shared" si="75"/>
        <v>14991244</v>
      </c>
      <c r="K488" s="21">
        <f t="shared" si="76"/>
        <v>1164.4037915221268</v>
      </c>
      <c r="L488" s="4" t="str">
        <f t="shared" si="72"/>
        <v>BUY</v>
      </c>
      <c r="M488" s="4">
        <f t="shared" si="77"/>
        <v>0</v>
      </c>
      <c r="N488" s="4">
        <f t="shared" si="73"/>
        <v>1</v>
      </c>
      <c r="O488" s="4">
        <f t="shared" si="78"/>
        <v>1088.5</v>
      </c>
      <c r="P488" s="4">
        <f t="shared" si="79"/>
        <v>0</v>
      </c>
    </row>
    <row r="489" spans="1:16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 s="7">
        <v>1182.5</v>
      </c>
      <c r="F489">
        <v>1834686</v>
      </c>
      <c r="G489" s="8">
        <f t="shared" si="70"/>
        <v>1175.6666666666667</v>
      </c>
      <c r="H489" s="9">
        <f t="shared" si="71"/>
        <v>2156979174</v>
      </c>
      <c r="I489" s="9">
        <f t="shared" si="74"/>
        <v>17686504066.283333</v>
      </c>
      <c r="J489" s="9">
        <f t="shared" si="75"/>
        <v>15085081</v>
      </c>
      <c r="K489" s="21">
        <f t="shared" si="76"/>
        <v>1172.4500562034325</v>
      </c>
      <c r="L489" s="4" t="str">
        <f t="shared" si="72"/>
        <v>BUY</v>
      </c>
      <c r="M489" s="4">
        <f t="shared" si="77"/>
        <v>0</v>
      </c>
      <c r="N489" s="4">
        <f t="shared" si="73"/>
        <v>1</v>
      </c>
      <c r="O489" s="4">
        <f t="shared" si="78"/>
        <v>1088.5</v>
      </c>
      <c r="P489" s="4">
        <f t="shared" si="79"/>
        <v>0</v>
      </c>
    </row>
    <row r="490" spans="1:16" x14ac:dyDescent="0.25">
      <c r="A490" s="1">
        <v>41962</v>
      </c>
      <c r="B490">
        <v>1176.55</v>
      </c>
      <c r="C490">
        <v>1182.55</v>
      </c>
      <c r="D490">
        <v>1132.3</v>
      </c>
      <c r="E490" s="7">
        <v>1146.3</v>
      </c>
      <c r="F490">
        <v>1775448</v>
      </c>
      <c r="G490" s="8">
        <f t="shared" si="70"/>
        <v>1153.7166666666665</v>
      </c>
      <c r="H490" s="9">
        <f t="shared" si="71"/>
        <v>2048363948.3999996</v>
      </c>
      <c r="I490" s="9">
        <f t="shared" si="74"/>
        <v>18324764509.950001</v>
      </c>
      <c r="J490" s="9">
        <f t="shared" si="75"/>
        <v>15619805</v>
      </c>
      <c r="K490" s="21">
        <f t="shared" si="76"/>
        <v>1173.1749858560975</v>
      </c>
      <c r="L490" s="4" t="str">
        <f t="shared" si="72"/>
        <v>SELL</v>
      </c>
      <c r="M490" s="4" t="str">
        <f t="shared" si="77"/>
        <v>SELL</v>
      </c>
      <c r="N490" s="4">
        <f t="shared" si="73"/>
        <v>-1</v>
      </c>
      <c r="O490" s="4">
        <f t="shared" si="78"/>
        <v>1146.3</v>
      </c>
      <c r="P490" s="4">
        <f t="shared" si="79"/>
        <v>5.3100597152044057E-2</v>
      </c>
    </row>
    <row r="491" spans="1:16" x14ac:dyDescent="0.25">
      <c r="A491" s="1">
        <v>41963</v>
      </c>
      <c r="B491">
        <v>1139</v>
      </c>
      <c r="C491">
        <v>1157.4000000000001</v>
      </c>
      <c r="D491">
        <v>1114.4000000000001</v>
      </c>
      <c r="E491" s="7">
        <v>1143.6500000000001</v>
      </c>
      <c r="F491">
        <v>1833862</v>
      </c>
      <c r="G491" s="8">
        <f t="shared" si="70"/>
        <v>1138.4833333333333</v>
      </c>
      <c r="H491" s="9">
        <f t="shared" si="71"/>
        <v>2087821322.6333334</v>
      </c>
      <c r="I491" s="9">
        <f t="shared" si="74"/>
        <v>18102308933.983334</v>
      </c>
      <c r="J491" s="9">
        <f t="shared" si="75"/>
        <v>15469234</v>
      </c>
      <c r="K491" s="21">
        <f t="shared" si="76"/>
        <v>1170.2136598349559</v>
      </c>
      <c r="L491" s="4" t="str">
        <f t="shared" si="72"/>
        <v>SELL</v>
      </c>
      <c r="M491" s="4">
        <f t="shared" si="77"/>
        <v>0</v>
      </c>
      <c r="N491" s="4">
        <f t="shared" si="73"/>
        <v>-1</v>
      </c>
      <c r="O491" s="4">
        <f t="shared" si="78"/>
        <v>1146.3</v>
      </c>
      <c r="P491" s="4">
        <f t="shared" si="79"/>
        <v>0</v>
      </c>
    </row>
    <row r="492" spans="1:16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 s="7">
        <v>1133.3499999999999</v>
      </c>
      <c r="F492">
        <v>904698</v>
      </c>
      <c r="G492" s="8">
        <f t="shared" si="70"/>
        <v>1137.5666666666666</v>
      </c>
      <c r="H492" s="9">
        <f t="shared" si="71"/>
        <v>1029154288.1999999</v>
      </c>
      <c r="I492" s="9">
        <f t="shared" si="74"/>
        <v>18231696381.783337</v>
      </c>
      <c r="J492" s="9">
        <f t="shared" si="75"/>
        <v>15608694</v>
      </c>
      <c r="K492" s="21">
        <f t="shared" si="76"/>
        <v>1168.0475241415672</v>
      </c>
      <c r="L492" s="4" t="str">
        <f t="shared" si="72"/>
        <v>SELL</v>
      </c>
      <c r="M492" s="4">
        <f t="shared" si="77"/>
        <v>0</v>
      </c>
      <c r="N492" s="4">
        <f t="shared" si="73"/>
        <v>-1</v>
      </c>
      <c r="O492" s="4">
        <f t="shared" si="78"/>
        <v>1146.3</v>
      </c>
      <c r="P492" s="4">
        <f t="shared" si="79"/>
        <v>0</v>
      </c>
    </row>
    <row r="493" spans="1:16" x14ac:dyDescent="0.25">
      <c r="A493" s="1">
        <v>41967</v>
      </c>
      <c r="B493">
        <v>1150</v>
      </c>
      <c r="C493">
        <v>1166</v>
      </c>
      <c r="D493">
        <v>1122.45</v>
      </c>
      <c r="E493" s="7">
        <v>1158.7</v>
      </c>
      <c r="F493">
        <v>1558488</v>
      </c>
      <c r="G493" s="8">
        <f t="shared" si="70"/>
        <v>1149.05</v>
      </c>
      <c r="H493" s="9">
        <f t="shared" si="71"/>
        <v>1790780636.3999999</v>
      </c>
      <c r="I493" s="9">
        <f t="shared" si="74"/>
        <v>18463738637.666668</v>
      </c>
      <c r="J493" s="9">
        <f t="shared" si="75"/>
        <v>15848471</v>
      </c>
      <c r="K493" s="21">
        <f t="shared" si="76"/>
        <v>1165.017031464213</v>
      </c>
      <c r="L493" s="4" t="str">
        <f t="shared" si="72"/>
        <v>SELL</v>
      </c>
      <c r="M493" s="4">
        <f t="shared" si="77"/>
        <v>0</v>
      </c>
      <c r="N493" s="4">
        <f t="shared" si="73"/>
        <v>-1</v>
      </c>
      <c r="O493" s="4">
        <f t="shared" si="78"/>
        <v>1146.3</v>
      </c>
      <c r="P493" s="4">
        <f t="shared" si="79"/>
        <v>0</v>
      </c>
    </row>
    <row r="494" spans="1:16" x14ac:dyDescent="0.25">
      <c r="A494" s="1">
        <v>41968</v>
      </c>
      <c r="B494">
        <v>1152</v>
      </c>
      <c r="C494">
        <v>1163.8499999999999</v>
      </c>
      <c r="D494">
        <v>1134.25</v>
      </c>
      <c r="E494" s="7">
        <v>1151.7</v>
      </c>
      <c r="F494">
        <v>1043134</v>
      </c>
      <c r="G494" s="8">
        <f t="shared" si="70"/>
        <v>1149.9333333333334</v>
      </c>
      <c r="H494" s="9">
        <f t="shared" si="71"/>
        <v>1199534557.7333333</v>
      </c>
      <c r="I494" s="9">
        <f t="shared" si="74"/>
        <v>17704136281.233334</v>
      </c>
      <c r="J494" s="9">
        <f t="shared" si="75"/>
        <v>15228383</v>
      </c>
      <c r="K494" s="21">
        <f t="shared" si="76"/>
        <v>1162.5749287520109</v>
      </c>
      <c r="L494" s="4" t="str">
        <f t="shared" si="72"/>
        <v>SELL</v>
      </c>
      <c r="M494" s="4">
        <f t="shared" si="77"/>
        <v>0</v>
      </c>
      <c r="N494" s="4">
        <f t="shared" si="73"/>
        <v>-1</v>
      </c>
      <c r="O494" s="4">
        <f t="shared" si="78"/>
        <v>1146.3</v>
      </c>
      <c r="P494" s="4">
        <f t="shared" si="79"/>
        <v>0</v>
      </c>
    </row>
    <row r="495" spans="1:16" x14ac:dyDescent="0.25">
      <c r="A495" s="1">
        <v>41969</v>
      </c>
      <c r="B495">
        <v>1151</v>
      </c>
      <c r="C495">
        <v>1162</v>
      </c>
      <c r="D495">
        <v>1139.0999999999999</v>
      </c>
      <c r="E495" s="7">
        <v>1157.1500000000001</v>
      </c>
      <c r="F495">
        <v>789295</v>
      </c>
      <c r="G495" s="8">
        <f t="shared" si="70"/>
        <v>1152.75</v>
      </c>
      <c r="H495" s="9">
        <f t="shared" si="71"/>
        <v>909859811.25</v>
      </c>
      <c r="I495" s="9">
        <f t="shared" si="74"/>
        <v>16994651204.816666</v>
      </c>
      <c r="J495" s="9">
        <f t="shared" si="75"/>
        <v>14636063</v>
      </c>
      <c r="K495" s="21">
        <f t="shared" si="76"/>
        <v>1161.1490880311642</v>
      </c>
      <c r="L495" s="4" t="str">
        <f t="shared" si="72"/>
        <v>SELL</v>
      </c>
      <c r="M495" s="4">
        <f t="shared" si="77"/>
        <v>0</v>
      </c>
      <c r="N495" s="4">
        <f t="shared" si="73"/>
        <v>-1</v>
      </c>
      <c r="O495" s="4">
        <f t="shared" si="78"/>
        <v>1146.3</v>
      </c>
      <c r="P495" s="4">
        <f t="shared" si="79"/>
        <v>0</v>
      </c>
    </row>
    <row r="496" spans="1:16" x14ac:dyDescent="0.25">
      <c r="A496" s="1">
        <v>41970</v>
      </c>
      <c r="B496">
        <v>1157.1500000000001</v>
      </c>
      <c r="C496">
        <v>1190.2</v>
      </c>
      <c r="D496">
        <v>1153.5</v>
      </c>
      <c r="E496" s="7">
        <v>1188.4000000000001</v>
      </c>
      <c r="F496">
        <v>1114676</v>
      </c>
      <c r="G496" s="8">
        <f t="shared" si="70"/>
        <v>1177.3666666666666</v>
      </c>
      <c r="H496" s="9">
        <f t="shared" si="71"/>
        <v>1312382366.5333333</v>
      </c>
      <c r="I496" s="9">
        <f t="shared" si="74"/>
        <v>16443145783.6</v>
      </c>
      <c r="J496" s="9">
        <f t="shared" si="75"/>
        <v>14164654</v>
      </c>
      <c r="K496" s="21">
        <f t="shared" si="76"/>
        <v>1160.8575672656741</v>
      </c>
      <c r="L496" s="4" t="str">
        <f t="shared" si="72"/>
        <v>BUY</v>
      </c>
      <c r="M496" s="4" t="str">
        <f t="shared" si="77"/>
        <v>BUY</v>
      </c>
      <c r="N496" s="4">
        <f t="shared" si="73"/>
        <v>1</v>
      </c>
      <c r="O496" s="4">
        <f t="shared" si="78"/>
        <v>1188.4000000000001</v>
      </c>
      <c r="P496" s="4">
        <f t="shared" si="79"/>
        <v>-3.6726860333246215E-2</v>
      </c>
    </row>
    <row r="497" spans="1:16" x14ac:dyDescent="0.25">
      <c r="A497" s="1">
        <v>41971</v>
      </c>
      <c r="B497">
        <v>1185.4000000000001</v>
      </c>
      <c r="C497">
        <v>1190</v>
      </c>
      <c r="D497">
        <v>1170</v>
      </c>
      <c r="E497" s="7">
        <v>1179.45</v>
      </c>
      <c r="F497">
        <v>491951</v>
      </c>
      <c r="G497" s="8">
        <f t="shared" si="70"/>
        <v>1179.8166666666666</v>
      </c>
      <c r="H497" s="9">
        <f t="shared" si="71"/>
        <v>580411988.98333335</v>
      </c>
      <c r="I497" s="9">
        <f t="shared" si="74"/>
        <v>15090340593.333332</v>
      </c>
      <c r="J497" s="9">
        <f t="shared" si="75"/>
        <v>13019326</v>
      </c>
      <c r="K497" s="21">
        <f t="shared" si="76"/>
        <v>1159.0723354905879</v>
      </c>
      <c r="L497" s="4" t="str">
        <f t="shared" si="72"/>
        <v>BUY</v>
      </c>
      <c r="M497" s="4">
        <f t="shared" si="77"/>
        <v>0</v>
      </c>
      <c r="N497" s="4">
        <f t="shared" si="73"/>
        <v>1</v>
      </c>
      <c r="O497" s="4">
        <f t="shared" si="78"/>
        <v>1188.4000000000001</v>
      </c>
      <c r="P497" s="4">
        <f t="shared" si="79"/>
        <v>0</v>
      </c>
    </row>
    <row r="498" spans="1:16" x14ac:dyDescent="0.25">
      <c r="A498" s="1">
        <v>41974</v>
      </c>
      <c r="B498">
        <v>1178.7</v>
      </c>
      <c r="C498">
        <v>1183.55</v>
      </c>
      <c r="D498">
        <v>1165.9000000000001</v>
      </c>
      <c r="E498" s="7">
        <v>1169.2</v>
      </c>
      <c r="F498">
        <v>598955</v>
      </c>
      <c r="G498" s="8">
        <f t="shared" si="70"/>
        <v>1172.8833333333332</v>
      </c>
      <c r="H498" s="9">
        <f t="shared" si="71"/>
        <v>702504336.91666663</v>
      </c>
      <c r="I498" s="9">
        <f t="shared" si="74"/>
        <v>13817792431.049999</v>
      </c>
      <c r="J498" s="9">
        <f t="shared" si="75"/>
        <v>11945193</v>
      </c>
      <c r="K498" s="21">
        <f t="shared" si="76"/>
        <v>1156.7659418353473</v>
      </c>
      <c r="L498" s="4" t="str">
        <f t="shared" si="72"/>
        <v>BUY</v>
      </c>
      <c r="M498" s="4">
        <f t="shared" si="77"/>
        <v>0</v>
      </c>
      <c r="N498" s="4">
        <f t="shared" si="73"/>
        <v>1</v>
      </c>
      <c r="O498" s="4">
        <f t="shared" si="78"/>
        <v>1188.4000000000001</v>
      </c>
      <c r="P498" s="4">
        <f t="shared" si="79"/>
        <v>0</v>
      </c>
    </row>
    <row r="499" spans="1:16" x14ac:dyDescent="0.25">
      <c r="A499" s="1">
        <v>41975</v>
      </c>
      <c r="B499">
        <v>1163.5</v>
      </c>
      <c r="C499">
        <v>1178.0999999999999</v>
      </c>
      <c r="D499">
        <v>1159.5</v>
      </c>
      <c r="E499" s="7">
        <v>1165.7</v>
      </c>
      <c r="F499">
        <v>792864</v>
      </c>
      <c r="G499" s="8">
        <f t="shared" si="70"/>
        <v>1167.7666666666667</v>
      </c>
      <c r="H499" s="9">
        <f t="shared" si="71"/>
        <v>925880150.39999998</v>
      </c>
      <c r="I499" s="9">
        <f t="shared" si="74"/>
        <v>12586693407.449997</v>
      </c>
      <c r="J499" s="9">
        <f t="shared" si="75"/>
        <v>10903371</v>
      </c>
      <c r="K499" s="21">
        <f t="shared" si="76"/>
        <v>1154.3855021946879</v>
      </c>
      <c r="L499" s="4" t="str">
        <f t="shared" si="72"/>
        <v>BUY</v>
      </c>
      <c r="M499" s="4">
        <f t="shared" si="77"/>
        <v>0</v>
      </c>
      <c r="N499" s="4">
        <f t="shared" si="73"/>
        <v>1</v>
      </c>
      <c r="O499" s="4">
        <f t="shared" si="78"/>
        <v>1188.4000000000001</v>
      </c>
      <c r="P499" s="4">
        <f t="shared" si="79"/>
        <v>0</v>
      </c>
    </row>
    <row r="500" spans="1:16" x14ac:dyDescent="0.25">
      <c r="A500" s="1">
        <v>41976</v>
      </c>
      <c r="B500">
        <v>1178</v>
      </c>
      <c r="C500">
        <v>1182.5</v>
      </c>
      <c r="D500">
        <v>1156.5</v>
      </c>
      <c r="E500" s="7">
        <v>1160.6500000000001</v>
      </c>
      <c r="F500">
        <v>772705</v>
      </c>
      <c r="G500" s="8">
        <f t="shared" si="70"/>
        <v>1166.55</v>
      </c>
      <c r="H500" s="9">
        <f t="shared" si="71"/>
        <v>901399017.75</v>
      </c>
      <c r="I500" s="9">
        <f t="shared" si="74"/>
        <v>11439728476.799999</v>
      </c>
      <c r="J500" s="9">
        <f t="shared" si="75"/>
        <v>9900628</v>
      </c>
      <c r="K500" s="21">
        <f t="shared" si="76"/>
        <v>1155.4548334509689</v>
      </c>
      <c r="L500" s="4" t="str">
        <f t="shared" si="72"/>
        <v>BUY</v>
      </c>
      <c r="M500" s="4">
        <f t="shared" si="77"/>
        <v>0</v>
      </c>
      <c r="N500" s="4">
        <f t="shared" si="73"/>
        <v>1</v>
      </c>
      <c r="O500" s="4">
        <f t="shared" si="78"/>
        <v>1188.4000000000001</v>
      </c>
      <c r="P500" s="4">
        <f t="shared" si="79"/>
        <v>0</v>
      </c>
    </row>
    <row r="501" spans="1:16" x14ac:dyDescent="0.25">
      <c r="A501" s="1">
        <v>41977</v>
      </c>
      <c r="B501">
        <v>1161</v>
      </c>
      <c r="C501">
        <v>1185.95</v>
      </c>
      <c r="D501">
        <v>1153</v>
      </c>
      <c r="E501" s="7">
        <v>1178.5999999999999</v>
      </c>
      <c r="F501">
        <v>1124271</v>
      </c>
      <c r="G501" s="8">
        <f t="shared" si="70"/>
        <v>1172.5166666666667</v>
      </c>
      <c r="H501" s="9">
        <f t="shared" si="71"/>
        <v>1318226485.3499999</v>
      </c>
      <c r="I501" s="9">
        <f t="shared" si="74"/>
        <v>10670133639.516668</v>
      </c>
      <c r="J501" s="9">
        <f t="shared" si="75"/>
        <v>9191037</v>
      </c>
      <c r="K501" s="21">
        <f t="shared" si="76"/>
        <v>1160.9281563676295</v>
      </c>
      <c r="L501" s="4" t="str">
        <f t="shared" si="72"/>
        <v>BUY</v>
      </c>
      <c r="M501" s="4">
        <f t="shared" si="77"/>
        <v>0</v>
      </c>
      <c r="N501" s="4">
        <f t="shared" si="73"/>
        <v>1</v>
      </c>
      <c r="O501" s="4">
        <f t="shared" si="78"/>
        <v>1188.4000000000001</v>
      </c>
      <c r="P501" s="4">
        <f t="shared" si="79"/>
        <v>0</v>
      </c>
    </row>
    <row r="502" spans="1:16" x14ac:dyDescent="0.25">
      <c r="A502" s="1">
        <v>41978</v>
      </c>
      <c r="B502">
        <v>1183.25</v>
      </c>
      <c r="C502">
        <v>1209.9000000000001</v>
      </c>
      <c r="D502">
        <v>1180</v>
      </c>
      <c r="E502" s="7">
        <v>1197.5999999999999</v>
      </c>
      <c r="F502">
        <v>1354442</v>
      </c>
      <c r="G502" s="8">
        <f t="shared" si="70"/>
        <v>1195.8333333333333</v>
      </c>
      <c r="H502" s="9">
        <f t="shared" si="71"/>
        <v>1619686891.6666665</v>
      </c>
      <c r="I502" s="9">
        <f t="shared" si="74"/>
        <v>11260666242.983332</v>
      </c>
      <c r="J502" s="9">
        <f t="shared" si="75"/>
        <v>9640781</v>
      </c>
      <c r="K502" s="21">
        <f t="shared" si="76"/>
        <v>1168.0242755211773</v>
      </c>
      <c r="L502" s="4" t="str">
        <f t="shared" si="72"/>
        <v>BUY</v>
      </c>
      <c r="M502" s="4">
        <f t="shared" si="77"/>
        <v>0</v>
      </c>
      <c r="N502" s="4">
        <f t="shared" si="73"/>
        <v>1</v>
      </c>
      <c r="O502" s="4">
        <f t="shared" si="78"/>
        <v>1188.4000000000001</v>
      </c>
      <c r="P502" s="4">
        <f t="shared" si="79"/>
        <v>0</v>
      </c>
    </row>
    <row r="503" spans="1:16" x14ac:dyDescent="0.25">
      <c r="A503" s="1">
        <v>41981</v>
      </c>
      <c r="B503">
        <v>1204.9000000000001</v>
      </c>
      <c r="C503">
        <v>1205</v>
      </c>
      <c r="D503">
        <v>1169.3</v>
      </c>
      <c r="E503" s="7">
        <v>1173</v>
      </c>
      <c r="F503">
        <v>1193385</v>
      </c>
      <c r="G503" s="8">
        <f t="shared" si="70"/>
        <v>1182.4333333333334</v>
      </c>
      <c r="H503" s="9">
        <f t="shared" si="71"/>
        <v>1411098203.5</v>
      </c>
      <c r="I503" s="9">
        <f t="shared" si="74"/>
        <v>10880983810.083332</v>
      </c>
      <c r="J503" s="9">
        <f t="shared" si="75"/>
        <v>9275678</v>
      </c>
      <c r="K503" s="21">
        <f t="shared" si="76"/>
        <v>1173.0661424516172</v>
      </c>
      <c r="L503" s="4" t="str">
        <f t="shared" si="72"/>
        <v>SELL</v>
      </c>
      <c r="M503" s="4" t="str">
        <f t="shared" si="77"/>
        <v>SELL</v>
      </c>
      <c r="N503" s="4">
        <f t="shared" si="73"/>
        <v>-1</v>
      </c>
      <c r="O503" s="4">
        <f t="shared" si="78"/>
        <v>1173</v>
      </c>
      <c r="P503" s="4">
        <f t="shared" si="79"/>
        <v>-1.295859979804787E-2</v>
      </c>
    </row>
    <row r="504" spans="1:16" x14ac:dyDescent="0.25">
      <c r="A504" s="1">
        <v>41982</v>
      </c>
      <c r="B504">
        <v>1172.8</v>
      </c>
      <c r="C504">
        <v>1185</v>
      </c>
      <c r="D504">
        <v>1167.3499999999999</v>
      </c>
      <c r="E504" s="7">
        <v>1172</v>
      </c>
      <c r="F504">
        <v>1273656</v>
      </c>
      <c r="G504" s="8">
        <f t="shared" si="70"/>
        <v>1174.7833333333333</v>
      </c>
      <c r="H504" s="9">
        <f t="shared" si="71"/>
        <v>1496269841.2</v>
      </c>
      <c r="I504" s="9">
        <f t="shared" si="74"/>
        <v>11177719093.549999</v>
      </c>
      <c r="J504" s="9">
        <f t="shared" si="75"/>
        <v>9506200</v>
      </c>
      <c r="K504" s="21">
        <f t="shared" si="76"/>
        <v>1175.8346230407524</v>
      </c>
      <c r="L504" s="4" t="str">
        <f t="shared" si="72"/>
        <v>SELL</v>
      </c>
      <c r="M504" s="4">
        <f t="shared" si="77"/>
        <v>0</v>
      </c>
      <c r="N504" s="4">
        <f t="shared" si="73"/>
        <v>-1</v>
      </c>
      <c r="O504" s="4">
        <f t="shared" si="78"/>
        <v>1173</v>
      </c>
      <c r="P504" s="4">
        <f t="shared" si="79"/>
        <v>0</v>
      </c>
    </row>
    <row r="505" spans="1:16" x14ac:dyDescent="0.25">
      <c r="A505" s="1">
        <v>41983</v>
      </c>
      <c r="B505">
        <v>1166</v>
      </c>
      <c r="C505">
        <v>1188.3499999999999</v>
      </c>
      <c r="D505">
        <v>1156.8</v>
      </c>
      <c r="E505" s="7">
        <v>1169.4000000000001</v>
      </c>
      <c r="F505">
        <v>1059864</v>
      </c>
      <c r="G505" s="8">
        <f t="shared" si="70"/>
        <v>1171.5166666666667</v>
      </c>
      <c r="H505" s="9">
        <f t="shared" si="71"/>
        <v>1241648340.4000001</v>
      </c>
      <c r="I505" s="9">
        <f t="shared" si="74"/>
        <v>11509507622.700001</v>
      </c>
      <c r="J505" s="9">
        <f t="shared" si="75"/>
        <v>9776769</v>
      </c>
      <c r="K505" s="21">
        <f t="shared" si="76"/>
        <v>1177.2301895135295</v>
      </c>
      <c r="L505" s="4" t="str">
        <f t="shared" si="72"/>
        <v>SELL</v>
      </c>
      <c r="M505" s="4">
        <f t="shared" si="77"/>
        <v>0</v>
      </c>
      <c r="N505" s="4">
        <f t="shared" si="73"/>
        <v>-1</v>
      </c>
      <c r="O505" s="4">
        <f t="shared" si="78"/>
        <v>1173</v>
      </c>
      <c r="P505" s="4">
        <f t="shared" si="79"/>
        <v>0</v>
      </c>
    </row>
    <row r="506" spans="1:16" x14ac:dyDescent="0.25">
      <c r="A506" s="1">
        <v>41984</v>
      </c>
      <c r="B506">
        <v>1170</v>
      </c>
      <c r="C506">
        <v>1178.75</v>
      </c>
      <c r="D506">
        <v>1170</v>
      </c>
      <c r="E506" s="7">
        <v>1172.5</v>
      </c>
      <c r="F506">
        <v>67051</v>
      </c>
      <c r="G506" s="8">
        <f t="shared" si="70"/>
        <v>1173.75</v>
      </c>
      <c r="H506" s="9">
        <f t="shared" si="71"/>
        <v>78701111.25</v>
      </c>
      <c r="I506" s="9">
        <f t="shared" si="74"/>
        <v>10275826367.416666</v>
      </c>
      <c r="J506" s="9">
        <f t="shared" si="75"/>
        <v>8729144</v>
      </c>
      <c r="K506" s="21">
        <f t="shared" si="76"/>
        <v>1177.1860296286402</v>
      </c>
      <c r="L506" s="4" t="str">
        <f t="shared" si="72"/>
        <v>SELL</v>
      </c>
      <c r="M506" s="4">
        <f t="shared" si="77"/>
        <v>0</v>
      </c>
      <c r="N506" s="4">
        <f t="shared" si="73"/>
        <v>-1</v>
      </c>
      <c r="O506" s="4">
        <f t="shared" si="78"/>
        <v>1173</v>
      </c>
      <c r="P506" s="4">
        <f t="shared" si="79"/>
        <v>0</v>
      </c>
    </row>
    <row r="507" spans="1:16" x14ac:dyDescent="0.25">
      <c r="A507" s="1">
        <v>41985</v>
      </c>
      <c r="B507">
        <v>1171</v>
      </c>
      <c r="C507">
        <v>1179.7</v>
      </c>
      <c r="D507">
        <v>1165.25</v>
      </c>
      <c r="E507" s="7">
        <v>1171.3499999999999</v>
      </c>
      <c r="F507">
        <v>754514</v>
      </c>
      <c r="G507" s="8">
        <f t="shared" si="70"/>
        <v>1172.0999999999999</v>
      </c>
      <c r="H507" s="9">
        <f t="shared" si="71"/>
        <v>884365859.39999998</v>
      </c>
      <c r="I507" s="9">
        <f t="shared" si="74"/>
        <v>10579780237.833332</v>
      </c>
      <c r="J507" s="9">
        <f t="shared" si="75"/>
        <v>8991707</v>
      </c>
      <c r="K507" s="21">
        <f t="shared" si="76"/>
        <v>1176.6153231898384</v>
      </c>
      <c r="L507" s="4" t="str">
        <f t="shared" si="72"/>
        <v>SELL</v>
      </c>
      <c r="M507" s="4">
        <f t="shared" si="77"/>
        <v>0</v>
      </c>
      <c r="N507" s="4">
        <f t="shared" si="73"/>
        <v>-1</v>
      </c>
      <c r="O507" s="4">
        <f t="shared" si="78"/>
        <v>1173</v>
      </c>
      <c r="P507" s="4">
        <f t="shared" si="79"/>
        <v>0</v>
      </c>
    </row>
    <row r="508" spans="1:16" x14ac:dyDescent="0.25">
      <c r="A508" s="1">
        <v>41988</v>
      </c>
      <c r="B508">
        <v>1175</v>
      </c>
      <c r="C508">
        <v>1185.5</v>
      </c>
      <c r="D508">
        <v>1158.5</v>
      </c>
      <c r="E508" s="7">
        <v>1165.4000000000001</v>
      </c>
      <c r="F508">
        <v>1795895</v>
      </c>
      <c r="G508" s="8">
        <f t="shared" si="70"/>
        <v>1169.8</v>
      </c>
      <c r="H508" s="9">
        <f t="shared" si="71"/>
        <v>2100837971</v>
      </c>
      <c r="I508" s="9">
        <f t="shared" si="74"/>
        <v>11978113871.916666</v>
      </c>
      <c r="J508" s="9">
        <f t="shared" si="75"/>
        <v>10188647</v>
      </c>
      <c r="K508" s="21">
        <f t="shared" si="76"/>
        <v>1175.6334154983156</v>
      </c>
      <c r="L508" s="4" t="str">
        <f t="shared" si="72"/>
        <v>SELL</v>
      </c>
      <c r="M508" s="4">
        <f t="shared" si="77"/>
        <v>0</v>
      </c>
      <c r="N508" s="4">
        <f t="shared" si="73"/>
        <v>-1</v>
      </c>
      <c r="O508" s="4">
        <f t="shared" si="78"/>
        <v>1173</v>
      </c>
      <c r="P508" s="4">
        <f t="shared" si="79"/>
        <v>0</v>
      </c>
    </row>
    <row r="509" spans="1:16" x14ac:dyDescent="0.25">
      <c r="A509" s="1">
        <v>41989</v>
      </c>
      <c r="B509">
        <v>1171.4000000000001</v>
      </c>
      <c r="C509">
        <v>1175</v>
      </c>
      <c r="D509">
        <v>1133.1500000000001</v>
      </c>
      <c r="E509" s="7">
        <v>1137</v>
      </c>
      <c r="F509">
        <v>2837690</v>
      </c>
      <c r="G509" s="8">
        <f t="shared" si="70"/>
        <v>1148.3833333333334</v>
      </c>
      <c r="H509" s="9">
        <f t="shared" si="71"/>
        <v>3258755901.166667</v>
      </c>
      <c r="I509" s="9">
        <f t="shared" si="74"/>
        <v>14310989622.683334</v>
      </c>
      <c r="J509" s="9">
        <f t="shared" si="75"/>
        <v>12233473</v>
      </c>
      <c r="K509" s="21">
        <f t="shared" si="76"/>
        <v>1169.8223082425845</v>
      </c>
      <c r="L509" s="4" t="str">
        <f t="shared" si="72"/>
        <v>SELL</v>
      </c>
      <c r="M509" s="4">
        <f t="shared" si="77"/>
        <v>0</v>
      </c>
      <c r="N509" s="4">
        <f t="shared" si="73"/>
        <v>-1</v>
      </c>
      <c r="O509" s="4">
        <f t="shared" si="78"/>
        <v>1173</v>
      </c>
      <c r="P509" s="4">
        <f t="shared" si="79"/>
        <v>0</v>
      </c>
    </row>
    <row r="510" spans="1:16" x14ac:dyDescent="0.25">
      <c r="A510" s="1">
        <v>41990</v>
      </c>
      <c r="B510">
        <v>1101</v>
      </c>
      <c r="C510">
        <v>1115</v>
      </c>
      <c r="D510">
        <v>1068.6500000000001</v>
      </c>
      <c r="E510" s="7">
        <v>1089.5</v>
      </c>
      <c r="F510">
        <v>4764342</v>
      </c>
      <c r="G510" s="8">
        <f t="shared" si="70"/>
        <v>1091.05</v>
      </c>
      <c r="H510" s="9">
        <f t="shared" si="71"/>
        <v>5198135339.0999994</v>
      </c>
      <c r="I510" s="9">
        <f t="shared" si="74"/>
        <v>18607725944.033333</v>
      </c>
      <c r="J510" s="9">
        <f t="shared" si="75"/>
        <v>16225110</v>
      </c>
      <c r="K510" s="21">
        <f t="shared" si="76"/>
        <v>1146.8474447343244</v>
      </c>
      <c r="L510" s="4" t="str">
        <f t="shared" si="72"/>
        <v>SELL</v>
      </c>
      <c r="M510" s="4">
        <f t="shared" si="77"/>
        <v>0</v>
      </c>
      <c r="N510" s="4">
        <f t="shared" si="73"/>
        <v>-1</v>
      </c>
      <c r="O510" s="4">
        <f t="shared" si="78"/>
        <v>1173</v>
      </c>
      <c r="P510" s="4">
        <f t="shared" si="79"/>
        <v>0</v>
      </c>
    </row>
    <row r="511" spans="1:16" x14ac:dyDescent="0.25">
      <c r="A511" s="1">
        <v>41991</v>
      </c>
      <c r="B511">
        <v>1097.1500000000001</v>
      </c>
      <c r="C511">
        <v>1103.3499999999999</v>
      </c>
      <c r="D511">
        <v>1073</v>
      </c>
      <c r="E511" s="7">
        <v>1085.75</v>
      </c>
      <c r="F511">
        <v>2009914</v>
      </c>
      <c r="G511" s="8">
        <f t="shared" si="70"/>
        <v>1087.3666666666666</v>
      </c>
      <c r="H511" s="9">
        <f t="shared" si="71"/>
        <v>2185513486.4666662</v>
      </c>
      <c r="I511" s="9">
        <f t="shared" si="74"/>
        <v>19475012945.149998</v>
      </c>
      <c r="J511" s="9">
        <f t="shared" si="75"/>
        <v>17110753</v>
      </c>
      <c r="K511" s="21">
        <f t="shared" si="76"/>
        <v>1138.1739275384314</v>
      </c>
      <c r="L511" s="4" t="str">
        <f t="shared" si="72"/>
        <v>SELL</v>
      </c>
      <c r="M511" s="4">
        <f t="shared" si="77"/>
        <v>0</v>
      </c>
      <c r="N511" s="4">
        <f t="shared" si="73"/>
        <v>-1</v>
      </c>
      <c r="O511" s="4">
        <f t="shared" si="78"/>
        <v>1173</v>
      </c>
      <c r="P511" s="4">
        <f t="shared" si="79"/>
        <v>0</v>
      </c>
    </row>
    <row r="512" spans="1:16" x14ac:dyDescent="0.25">
      <c r="A512" s="1">
        <v>41992</v>
      </c>
      <c r="B512">
        <v>1084</v>
      </c>
      <c r="C512">
        <v>1114</v>
      </c>
      <c r="D512">
        <v>1078.9000000000001</v>
      </c>
      <c r="E512" s="7">
        <v>1109.4000000000001</v>
      </c>
      <c r="F512">
        <v>1523601</v>
      </c>
      <c r="G512" s="8">
        <f t="shared" si="70"/>
        <v>1100.7666666666667</v>
      </c>
      <c r="H512" s="9">
        <f t="shared" si="71"/>
        <v>1677129194.0999999</v>
      </c>
      <c r="I512" s="9">
        <f t="shared" si="74"/>
        <v>19532455247.583332</v>
      </c>
      <c r="J512" s="9">
        <f t="shared" si="75"/>
        <v>17279912</v>
      </c>
      <c r="K512" s="21">
        <f t="shared" si="76"/>
        <v>1130.35617586382</v>
      </c>
      <c r="L512" s="4" t="str">
        <f t="shared" si="72"/>
        <v>SELL</v>
      </c>
      <c r="M512" s="4">
        <f t="shared" si="77"/>
        <v>0</v>
      </c>
      <c r="N512" s="4">
        <f t="shared" si="73"/>
        <v>-1</v>
      </c>
      <c r="O512" s="4">
        <f t="shared" si="78"/>
        <v>1173</v>
      </c>
      <c r="P512" s="4">
        <f t="shared" si="79"/>
        <v>0</v>
      </c>
    </row>
    <row r="513" spans="1:16" x14ac:dyDescent="0.25">
      <c r="A513" s="1">
        <v>41995</v>
      </c>
      <c r="B513">
        <v>1119.9000000000001</v>
      </c>
      <c r="C513">
        <v>1124.7</v>
      </c>
      <c r="D513">
        <v>1094</v>
      </c>
      <c r="E513" s="7">
        <v>1103.95</v>
      </c>
      <c r="F513">
        <v>1852109</v>
      </c>
      <c r="G513" s="8">
        <f t="shared" si="70"/>
        <v>1107.55</v>
      </c>
      <c r="H513" s="9">
        <f t="shared" si="71"/>
        <v>2051303322.9499998</v>
      </c>
      <c r="I513" s="9">
        <f t="shared" si="74"/>
        <v>20172660367.033333</v>
      </c>
      <c r="J513" s="9">
        <f t="shared" si="75"/>
        <v>17938636</v>
      </c>
      <c r="K513" s="21">
        <f t="shared" si="76"/>
        <v>1124.5370253921944</v>
      </c>
      <c r="L513" s="4" t="str">
        <f t="shared" si="72"/>
        <v>SELL</v>
      </c>
      <c r="M513" s="4">
        <f t="shared" si="77"/>
        <v>0</v>
      </c>
      <c r="N513" s="4">
        <f t="shared" si="73"/>
        <v>-1</v>
      </c>
      <c r="O513" s="4">
        <f t="shared" si="78"/>
        <v>1173</v>
      </c>
      <c r="P513" s="4">
        <f t="shared" si="79"/>
        <v>0</v>
      </c>
    </row>
    <row r="514" spans="1:16" x14ac:dyDescent="0.25">
      <c r="A514" s="1">
        <v>41996</v>
      </c>
      <c r="B514">
        <v>1080</v>
      </c>
      <c r="C514">
        <v>1096.3</v>
      </c>
      <c r="D514">
        <v>1045.3</v>
      </c>
      <c r="E514" s="7">
        <v>1076.1500000000001</v>
      </c>
      <c r="F514">
        <v>5832766</v>
      </c>
      <c r="G514" s="8">
        <f t="shared" ref="G514:G577" si="80">AVERAGE(C514:E514)</f>
        <v>1072.5833333333333</v>
      </c>
      <c r="H514" s="9">
        <f t="shared" si="71"/>
        <v>6256127598.833333</v>
      </c>
      <c r="I514" s="9">
        <f t="shared" si="74"/>
        <v>24932518124.666664</v>
      </c>
      <c r="J514" s="9">
        <f t="shared" si="75"/>
        <v>22497746</v>
      </c>
      <c r="K514" s="21">
        <f t="shared" si="76"/>
        <v>1108.2229359628589</v>
      </c>
      <c r="L514" s="4" t="str">
        <f t="shared" si="72"/>
        <v>SELL</v>
      </c>
      <c r="M514" s="4">
        <f t="shared" si="77"/>
        <v>0</v>
      </c>
      <c r="N514" s="4">
        <f t="shared" si="73"/>
        <v>-1</v>
      </c>
      <c r="O514" s="4">
        <f t="shared" si="78"/>
        <v>1173</v>
      </c>
      <c r="P514" s="4">
        <f t="shared" si="79"/>
        <v>0</v>
      </c>
    </row>
    <row r="515" spans="1:16" x14ac:dyDescent="0.25">
      <c r="A515" s="1">
        <v>41997</v>
      </c>
      <c r="B515">
        <v>1087</v>
      </c>
      <c r="C515">
        <v>1088.9000000000001</v>
      </c>
      <c r="D515">
        <v>1065.4000000000001</v>
      </c>
      <c r="E515" s="7">
        <v>1075.55</v>
      </c>
      <c r="F515">
        <v>2081646</v>
      </c>
      <c r="G515" s="8">
        <f t="shared" si="80"/>
        <v>1076.6166666666668</v>
      </c>
      <c r="H515" s="9">
        <f t="shared" ref="H515:H578" si="81">G515*F515</f>
        <v>2241134777.7000003</v>
      </c>
      <c r="I515" s="9">
        <f t="shared" si="74"/>
        <v>25932004561.966667</v>
      </c>
      <c r="J515" s="9">
        <f t="shared" si="75"/>
        <v>23519528</v>
      </c>
      <c r="K515" s="21">
        <f t="shared" si="76"/>
        <v>1102.573340841137</v>
      </c>
      <c r="L515" s="4" t="str">
        <f t="shared" si="72"/>
        <v>SELL</v>
      </c>
      <c r="M515" s="4">
        <f t="shared" si="77"/>
        <v>0</v>
      </c>
      <c r="N515" s="4">
        <f t="shared" si="73"/>
        <v>-1</v>
      </c>
      <c r="O515" s="4">
        <f t="shared" si="78"/>
        <v>1173</v>
      </c>
      <c r="P515" s="4">
        <f t="shared" si="79"/>
        <v>0</v>
      </c>
    </row>
    <row r="516" spans="1:16" x14ac:dyDescent="0.25">
      <c r="A516" s="1">
        <v>41998</v>
      </c>
      <c r="B516">
        <v>1079.95</v>
      </c>
      <c r="C516">
        <v>1090.95</v>
      </c>
      <c r="D516">
        <v>1073</v>
      </c>
      <c r="E516" s="7">
        <v>1079.5</v>
      </c>
      <c r="F516">
        <v>1286347</v>
      </c>
      <c r="G516" s="8">
        <f t="shared" si="80"/>
        <v>1081.1499999999999</v>
      </c>
      <c r="H516" s="9">
        <f t="shared" si="81"/>
        <v>1390734059.0499997</v>
      </c>
      <c r="I516" s="9">
        <f t="shared" si="74"/>
        <v>27244037509.766666</v>
      </c>
      <c r="J516" s="9">
        <f t="shared" si="75"/>
        <v>24738824</v>
      </c>
      <c r="K516" s="21">
        <f t="shared" si="76"/>
        <v>1101.2664753088775</v>
      </c>
      <c r="L516" s="4" t="str">
        <f t="shared" si="72"/>
        <v>SELL</v>
      </c>
      <c r="M516" s="4">
        <f t="shared" si="77"/>
        <v>0</v>
      </c>
      <c r="N516" s="4">
        <f t="shared" si="73"/>
        <v>-1</v>
      </c>
      <c r="O516" s="4">
        <f t="shared" si="78"/>
        <v>1173</v>
      </c>
      <c r="P516" s="4">
        <f t="shared" si="79"/>
        <v>0</v>
      </c>
    </row>
    <row r="517" spans="1:16" x14ac:dyDescent="0.25">
      <c r="A517" s="1">
        <v>41999</v>
      </c>
      <c r="B517">
        <v>1086</v>
      </c>
      <c r="C517">
        <v>1091.45</v>
      </c>
      <c r="D517">
        <v>1074.1500000000001</v>
      </c>
      <c r="E517" s="7">
        <v>1077.7</v>
      </c>
      <c r="F517">
        <v>1065248</v>
      </c>
      <c r="G517" s="8">
        <f t="shared" si="80"/>
        <v>1081.1000000000001</v>
      </c>
      <c r="H517" s="9">
        <f t="shared" si="81"/>
        <v>1151639612.8000002</v>
      </c>
      <c r="I517" s="9">
        <f t="shared" si="74"/>
        <v>27511311263.166664</v>
      </c>
      <c r="J517" s="9">
        <f t="shared" si="75"/>
        <v>25049558</v>
      </c>
      <c r="K517" s="21">
        <f t="shared" si="76"/>
        <v>1098.2753173994793</v>
      </c>
      <c r="L517" s="4" t="str">
        <f t="shared" si="72"/>
        <v>SELL</v>
      </c>
      <c r="M517" s="4">
        <f t="shared" si="77"/>
        <v>0</v>
      </c>
      <c r="N517" s="4">
        <f t="shared" si="73"/>
        <v>-1</v>
      </c>
      <c r="O517" s="4">
        <f t="shared" si="78"/>
        <v>1173</v>
      </c>
      <c r="P517" s="4">
        <f t="shared" si="79"/>
        <v>0</v>
      </c>
    </row>
    <row r="518" spans="1:16" x14ac:dyDescent="0.25">
      <c r="A518" s="1">
        <v>42002</v>
      </c>
      <c r="B518">
        <v>1088</v>
      </c>
      <c r="C518">
        <v>1095</v>
      </c>
      <c r="D518">
        <v>1078</v>
      </c>
      <c r="E518" s="7">
        <v>1088.7</v>
      </c>
      <c r="F518">
        <v>1320655</v>
      </c>
      <c r="G518" s="8">
        <f t="shared" si="80"/>
        <v>1087.2333333333333</v>
      </c>
      <c r="H518" s="9">
        <f t="shared" si="81"/>
        <v>1435860137.8333333</v>
      </c>
      <c r="I518" s="9">
        <f t="shared" si="74"/>
        <v>26846333429.999996</v>
      </c>
      <c r="J518" s="9">
        <f t="shared" si="75"/>
        <v>24574318</v>
      </c>
      <c r="K518" s="21">
        <f t="shared" si="76"/>
        <v>1092.4548721962497</v>
      </c>
      <c r="L518" s="4" t="str">
        <f t="shared" si="72"/>
        <v>SELL</v>
      </c>
      <c r="M518" s="4">
        <f t="shared" si="77"/>
        <v>0</v>
      </c>
      <c r="N518" s="4">
        <f t="shared" si="73"/>
        <v>-1</v>
      </c>
      <c r="O518" s="4">
        <f t="shared" si="78"/>
        <v>1173</v>
      </c>
      <c r="P518" s="4">
        <f t="shared" si="79"/>
        <v>0</v>
      </c>
    </row>
    <row r="519" spans="1:16" x14ac:dyDescent="0.25">
      <c r="A519" s="1">
        <v>42003</v>
      </c>
      <c r="B519">
        <v>1094.9000000000001</v>
      </c>
      <c r="C519">
        <v>1109.95</v>
      </c>
      <c r="D519">
        <v>1091.05</v>
      </c>
      <c r="E519" s="7">
        <v>1098</v>
      </c>
      <c r="F519">
        <v>2922619</v>
      </c>
      <c r="G519" s="8">
        <f t="shared" si="80"/>
        <v>1099.6666666666667</v>
      </c>
      <c r="H519" s="9">
        <f t="shared" si="81"/>
        <v>3213906693.666667</v>
      </c>
      <c r="I519" s="9">
        <f t="shared" si="74"/>
        <v>26801484222.499996</v>
      </c>
      <c r="J519" s="9">
        <f t="shared" si="75"/>
        <v>24659247</v>
      </c>
      <c r="K519" s="21">
        <f t="shared" si="76"/>
        <v>1086.8735863061836</v>
      </c>
      <c r="L519" s="4" t="str">
        <f t="shared" si="72"/>
        <v>BUY</v>
      </c>
      <c r="M519" s="4" t="str">
        <f t="shared" si="77"/>
        <v>BUY</v>
      </c>
      <c r="N519" s="4">
        <f t="shared" si="73"/>
        <v>1</v>
      </c>
      <c r="O519" s="4">
        <f t="shared" si="78"/>
        <v>1098</v>
      </c>
      <c r="P519" s="4">
        <f t="shared" si="79"/>
        <v>6.3938618925831206E-2</v>
      </c>
    </row>
    <row r="520" spans="1:16" x14ac:dyDescent="0.25">
      <c r="A520" s="1">
        <v>42004</v>
      </c>
      <c r="B520">
        <v>1105</v>
      </c>
      <c r="C520">
        <v>1120.55</v>
      </c>
      <c r="D520">
        <v>1100.0999999999999</v>
      </c>
      <c r="E520" s="7">
        <v>1108.75</v>
      </c>
      <c r="F520">
        <v>2604859</v>
      </c>
      <c r="G520" s="8">
        <f t="shared" si="80"/>
        <v>1109.8</v>
      </c>
      <c r="H520" s="9">
        <f t="shared" si="81"/>
        <v>2890872518.1999998</v>
      </c>
      <c r="I520" s="9">
        <f t="shared" si="74"/>
        <v>24494221401.599998</v>
      </c>
      <c r="J520" s="9">
        <f t="shared" si="75"/>
        <v>22499764</v>
      </c>
      <c r="K520" s="21">
        <f t="shared" si="76"/>
        <v>1088.6434809538446</v>
      </c>
      <c r="L520" s="4" t="str">
        <f t="shared" si="72"/>
        <v>BUY</v>
      </c>
      <c r="M520" s="4">
        <f t="shared" si="77"/>
        <v>0</v>
      </c>
      <c r="N520" s="4">
        <f t="shared" si="73"/>
        <v>1</v>
      </c>
      <c r="O520" s="4">
        <f t="shared" si="78"/>
        <v>1098</v>
      </c>
      <c r="P520" s="4">
        <f t="shared" si="79"/>
        <v>0</v>
      </c>
    </row>
    <row r="521" spans="1:16" x14ac:dyDescent="0.25">
      <c r="A521" s="1">
        <v>42005</v>
      </c>
      <c r="B521">
        <v>1102.5</v>
      </c>
      <c r="C521">
        <v>1118.95</v>
      </c>
      <c r="D521">
        <v>1100.75</v>
      </c>
      <c r="E521" s="7">
        <v>1111.75</v>
      </c>
      <c r="F521">
        <v>1297779</v>
      </c>
      <c r="G521" s="8">
        <f t="shared" si="80"/>
        <v>1110.4833333333333</v>
      </c>
      <c r="H521" s="9">
        <f t="shared" si="81"/>
        <v>1441161949.8499999</v>
      </c>
      <c r="I521" s="9">
        <f t="shared" si="74"/>
        <v>23749869864.983334</v>
      </c>
      <c r="J521" s="9">
        <f t="shared" si="75"/>
        <v>21787629</v>
      </c>
      <c r="K521" s="21">
        <f t="shared" si="76"/>
        <v>1090.0621570609328</v>
      </c>
      <c r="L521" s="4" t="str">
        <f t="shared" si="72"/>
        <v>BUY</v>
      </c>
      <c r="M521" s="4">
        <f t="shared" si="77"/>
        <v>0</v>
      </c>
      <c r="N521" s="4">
        <f t="shared" si="73"/>
        <v>1</v>
      </c>
      <c r="O521" s="4">
        <f t="shared" si="78"/>
        <v>1098</v>
      </c>
      <c r="P521" s="4">
        <f t="shared" si="79"/>
        <v>0</v>
      </c>
    </row>
    <row r="522" spans="1:16" x14ac:dyDescent="0.25">
      <c r="A522" s="1">
        <v>42006</v>
      </c>
      <c r="B522">
        <v>1113</v>
      </c>
      <c r="C522">
        <v>1135.9000000000001</v>
      </c>
      <c r="D522">
        <v>1113</v>
      </c>
      <c r="E522" s="7">
        <v>1132.4000000000001</v>
      </c>
      <c r="F522">
        <v>1769060</v>
      </c>
      <c r="G522" s="8">
        <f t="shared" si="80"/>
        <v>1127.1000000000001</v>
      </c>
      <c r="H522" s="9">
        <f t="shared" si="81"/>
        <v>1993907526.0000002</v>
      </c>
      <c r="I522" s="9">
        <f t="shared" si="74"/>
        <v>24066648196.883331</v>
      </c>
      <c r="J522" s="9">
        <f t="shared" si="75"/>
        <v>22033088</v>
      </c>
      <c r="K522" s="21">
        <f t="shared" si="76"/>
        <v>1092.2957416084087</v>
      </c>
      <c r="L522" s="4" t="str">
        <f t="shared" si="72"/>
        <v>BUY</v>
      </c>
      <c r="M522" s="4">
        <f t="shared" si="77"/>
        <v>0</v>
      </c>
      <c r="N522" s="4">
        <f t="shared" si="73"/>
        <v>1</v>
      </c>
      <c r="O522" s="4">
        <f t="shared" si="78"/>
        <v>1098</v>
      </c>
      <c r="P522" s="4">
        <f t="shared" si="79"/>
        <v>0</v>
      </c>
    </row>
    <row r="523" spans="1:16" x14ac:dyDescent="0.25">
      <c r="A523" s="1">
        <v>42009</v>
      </c>
      <c r="B523">
        <v>1129.4000000000001</v>
      </c>
      <c r="C523">
        <v>1135</v>
      </c>
      <c r="D523">
        <v>1108.25</v>
      </c>
      <c r="E523" s="7">
        <v>1128.7</v>
      </c>
      <c r="F523">
        <v>1144402</v>
      </c>
      <c r="G523" s="8">
        <f t="shared" si="80"/>
        <v>1123.9833333333333</v>
      </c>
      <c r="H523" s="9">
        <f t="shared" si="81"/>
        <v>1286288774.6333334</v>
      </c>
      <c r="I523" s="9">
        <f t="shared" si="74"/>
        <v>23301633648.566666</v>
      </c>
      <c r="J523" s="9">
        <f t="shared" si="75"/>
        <v>21325381</v>
      </c>
      <c r="K523" s="21">
        <f t="shared" si="76"/>
        <v>1092.6713876092842</v>
      </c>
      <c r="L523" s="4" t="str">
        <f t="shared" ref="L523:L586" si="82">IF(E523&gt;K523,"BUY",IF(E523&lt;K523,"SELL",0))</f>
        <v>BUY</v>
      </c>
      <c r="M523" s="4">
        <f t="shared" si="77"/>
        <v>0</v>
      </c>
      <c r="N523" s="4">
        <f t="shared" ref="N523:N586" si="83">IF(M523="BUY",1,IF(M523="SELL",-1,N522))</f>
        <v>1</v>
      </c>
      <c r="O523" s="4">
        <f t="shared" si="78"/>
        <v>1098</v>
      </c>
      <c r="P523" s="4">
        <f t="shared" si="79"/>
        <v>0</v>
      </c>
    </row>
    <row r="524" spans="1:16" x14ac:dyDescent="0.25">
      <c r="A524" s="1">
        <v>42010</v>
      </c>
      <c r="B524">
        <v>1136</v>
      </c>
      <c r="C524">
        <v>1152.6500000000001</v>
      </c>
      <c r="D524">
        <v>1130.3</v>
      </c>
      <c r="E524" s="7">
        <v>1148</v>
      </c>
      <c r="F524">
        <v>1693070</v>
      </c>
      <c r="G524" s="8">
        <f t="shared" si="80"/>
        <v>1143.6499999999999</v>
      </c>
      <c r="H524" s="9">
        <f t="shared" si="81"/>
        <v>1936279505.4999998</v>
      </c>
      <c r="I524" s="9">
        <f t="shared" ref="I524:I587" si="84">SUM(H515:H524)</f>
        <v>18981785555.233334</v>
      </c>
      <c r="J524" s="9">
        <f t="shared" ref="J524:J587" si="85">SUM(F515:F524)</f>
        <v>17185685</v>
      </c>
      <c r="K524" s="21">
        <f t="shared" ref="K524:K587" si="86">I524/J524</f>
        <v>1104.5114323481046</v>
      </c>
      <c r="L524" s="4" t="str">
        <f t="shared" si="82"/>
        <v>BUY</v>
      </c>
      <c r="M524" s="4">
        <f t="shared" ref="M524:M587" si="87">IF(L524&lt;&gt;L523,L524,0)</f>
        <v>0</v>
      </c>
      <c r="N524" s="4">
        <f t="shared" si="83"/>
        <v>1</v>
      </c>
      <c r="O524" s="4">
        <f t="shared" ref="O524:O587" si="88">IF(M524&lt;&gt;0,E524,O523)</f>
        <v>1098</v>
      </c>
      <c r="P524" s="4">
        <f t="shared" ref="P524:P587" si="89">IF(M524="BUY",(O523-O524)/O523,IF(M524="SELL",(O524-O523)/O523,0))</f>
        <v>0</v>
      </c>
    </row>
    <row r="525" spans="1:16" x14ac:dyDescent="0.25">
      <c r="A525" s="1">
        <v>42011</v>
      </c>
      <c r="B525">
        <v>1145</v>
      </c>
      <c r="C525">
        <v>1176</v>
      </c>
      <c r="D525">
        <v>1141</v>
      </c>
      <c r="E525" s="7">
        <v>1171.55</v>
      </c>
      <c r="F525">
        <v>1388779</v>
      </c>
      <c r="G525" s="8">
        <f t="shared" si="80"/>
        <v>1162.8500000000001</v>
      </c>
      <c r="H525" s="9">
        <f t="shared" si="81"/>
        <v>1614941660.1500001</v>
      </c>
      <c r="I525" s="9">
        <f t="shared" si="84"/>
        <v>18355592437.683334</v>
      </c>
      <c r="J525" s="9">
        <f t="shared" si="85"/>
        <v>16492818</v>
      </c>
      <c r="K525" s="21">
        <f t="shared" si="86"/>
        <v>1112.9445821619649</v>
      </c>
      <c r="L525" s="4" t="str">
        <f t="shared" si="82"/>
        <v>BUY</v>
      </c>
      <c r="M525" s="4">
        <f t="shared" si="87"/>
        <v>0</v>
      </c>
      <c r="N525" s="4">
        <f t="shared" si="83"/>
        <v>1</v>
      </c>
      <c r="O525" s="4">
        <f t="shared" si="88"/>
        <v>1098</v>
      </c>
      <c r="P525" s="4">
        <f t="shared" si="89"/>
        <v>0</v>
      </c>
    </row>
    <row r="526" spans="1:16" x14ac:dyDescent="0.25">
      <c r="A526" s="1">
        <v>42012</v>
      </c>
      <c r="B526">
        <v>1183.7</v>
      </c>
      <c r="C526">
        <v>1200.05</v>
      </c>
      <c r="D526">
        <v>1173.3499999999999</v>
      </c>
      <c r="E526" s="7">
        <v>1193.8499999999999</v>
      </c>
      <c r="F526">
        <v>1713598</v>
      </c>
      <c r="G526" s="8">
        <f t="shared" si="80"/>
        <v>1189.0833333333333</v>
      </c>
      <c r="H526" s="9">
        <f t="shared" si="81"/>
        <v>2037610821.8333333</v>
      </c>
      <c r="I526" s="9">
        <f t="shared" si="84"/>
        <v>19002469200.466667</v>
      </c>
      <c r="J526" s="9">
        <f t="shared" si="85"/>
        <v>16920069</v>
      </c>
      <c r="K526" s="21">
        <f t="shared" si="86"/>
        <v>1123.0727960073134</v>
      </c>
      <c r="L526" s="4" t="str">
        <f t="shared" si="82"/>
        <v>BUY</v>
      </c>
      <c r="M526" s="4">
        <f t="shared" si="87"/>
        <v>0</v>
      </c>
      <c r="N526" s="4">
        <f t="shared" si="83"/>
        <v>1</v>
      </c>
      <c r="O526" s="4">
        <f t="shared" si="88"/>
        <v>1098</v>
      </c>
      <c r="P526" s="4">
        <f t="shared" si="89"/>
        <v>0</v>
      </c>
    </row>
    <row r="527" spans="1:16" x14ac:dyDescent="0.25">
      <c r="A527" s="1">
        <v>42013</v>
      </c>
      <c r="B527">
        <v>1209.7</v>
      </c>
      <c r="C527">
        <v>1209.7</v>
      </c>
      <c r="D527">
        <v>1191.9000000000001</v>
      </c>
      <c r="E527" s="7">
        <v>1198</v>
      </c>
      <c r="F527">
        <v>1703828</v>
      </c>
      <c r="G527" s="8">
        <f t="shared" si="80"/>
        <v>1199.8666666666668</v>
      </c>
      <c r="H527" s="9">
        <f t="shared" si="81"/>
        <v>2044366422.9333336</v>
      </c>
      <c r="I527" s="9">
        <f t="shared" si="84"/>
        <v>19895196010.599998</v>
      </c>
      <c r="J527" s="9">
        <f t="shared" si="85"/>
        <v>17558649</v>
      </c>
      <c r="K527" s="21">
        <f t="shared" si="86"/>
        <v>1133.0710016812795</v>
      </c>
      <c r="L527" s="4" t="str">
        <f t="shared" si="82"/>
        <v>BUY</v>
      </c>
      <c r="M527" s="4">
        <f t="shared" si="87"/>
        <v>0</v>
      </c>
      <c r="N527" s="4">
        <f t="shared" si="83"/>
        <v>1</v>
      </c>
      <c r="O527" s="4">
        <f t="shared" si="88"/>
        <v>1098</v>
      </c>
      <c r="P527" s="4">
        <f t="shared" si="89"/>
        <v>0</v>
      </c>
    </row>
    <row r="528" spans="1:16" x14ac:dyDescent="0.25">
      <c r="A528" s="1">
        <v>42016</v>
      </c>
      <c r="B528">
        <v>1216.4000000000001</v>
      </c>
      <c r="C528">
        <v>1226.8499999999999</v>
      </c>
      <c r="D528">
        <v>1211</v>
      </c>
      <c r="E528" s="7">
        <v>1219.6500000000001</v>
      </c>
      <c r="F528">
        <v>1813592</v>
      </c>
      <c r="G528" s="8">
        <f t="shared" si="80"/>
        <v>1219.1666666666667</v>
      </c>
      <c r="H528" s="9">
        <f t="shared" si="81"/>
        <v>2211070913.3333335</v>
      </c>
      <c r="I528" s="9">
        <f t="shared" si="84"/>
        <v>20670406786.099998</v>
      </c>
      <c r="J528" s="9">
        <f t="shared" si="85"/>
        <v>18051586</v>
      </c>
      <c r="K528" s="21">
        <f t="shared" si="86"/>
        <v>1145.0742769139508</v>
      </c>
      <c r="L528" s="4" t="str">
        <f t="shared" si="82"/>
        <v>BUY</v>
      </c>
      <c r="M528" s="4">
        <f t="shared" si="87"/>
        <v>0</v>
      </c>
      <c r="N528" s="4">
        <f t="shared" si="83"/>
        <v>1</v>
      </c>
      <c r="O528" s="4">
        <f t="shared" si="88"/>
        <v>1098</v>
      </c>
      <c r="P528" s="4">
        <f t="shared" si="89"/>
        <v>0</v>
      </c>
    </row>
    <row r="529" spans="1:16" x14ac:dyDescent="0.25">
      <c r="A529" s="1">
        <v>42017</v>
      </c>
      <c r="B529">
        <v>1211.0999999999999</v>
      </c>
      <c r="C529">
        <v>1232</v>
      </c>
      <c r="D529">
        <v>1188</v>
      </c>
      <c r="E529" s="7">
        <v>1228.5999999999999</v>
      </c>
      <c r="F529">
        <v>1519031</v>
      </c>
      <c r="G529" s="8">
        <f t="shared" si="80"/>
        <v>1216.2</v>
      </c>
      <c r="H529" s="9">
        <f t="shared" si="81"/>
        <v>1847445502.2</v>
      </c>
      <c r="I529" s="9">
        <f t="shared" si="84"/>
        <v>19303945594.633335</v>
      </c>
      <c r="J529" s="9">
        <f t="shared" si="85"/>
        <v>16647998</v>
      </c>
      <c r="K529" s="21">
        <f t="shared" si="86"/>
        <v>1159.5355546434673</v>
      </c>
      <c r="L529" s="4" t="str">
        <f t="shared" si="82"/>
        <v>BUY</v>
      </c>
      <c r="M529" s="4">
        <f t="shared" si="87"/>
        <v>0</v>
      </c>
      <c r="N529" s="4">
        <f t="shared" si="83"/>
        <v>1</v>
      </c>
      <c r="O529" s="4">
        <f t="shared" si="88"/>
        <v>1098</v>
      </c>
      <c r="P529" s="4">
        <f t="shared" si="89"/>
        <v>0</v>
      </c>
    </row>
    <row r="530" spans="1:16" x14ac:dyDescent="0.25">
      <c r="A530" s="1">
        <v>42018</v>
      </c>
      <c r="B530">
        <v>1228</v>
      </c>
      <c r="C530">
        <v>1238</v>
      </c>
      <c r="D530">
        <v>1212</v>
      </c>
      <c r="E530" s="7">
        <v>1233.4000000000001</v>
      </c>
      <c r="F530">
        <v>1162151</v>
      </c>
      <c r="G530" s="8">
        <f t="shared" si="80"/>
        <v>1227.8</v>
      </c>
      <c r="H530" s="9">
        <f t="shared" si="81"/>
        <v>1426888997.8</v>
      </c>
      <c r="I530" s="9">
        <f t="shared" si="84"/>
        <v>17839962074.233337</v>
      </c>
      <c r="J530" s="9">
        <f t="shared" si="85"/>
        <v>15205290</v>
      </c>
      <c r="K530" s="21">
        <f t="shared" si="86"/>
        <v>1173.2733853963546</v>
      </c>
      <c r="L530" s="4" t="str">
        <f t="shared" si="82"/>
        <v>BUY</v>
      </c>
      <c r="M530" s="4">
        <f t="shared" si="87"/>
        <v>0</v>
      </c>
      <c r="N530" s="4">
        <f t="shared" si="83"/>
        <v>1</v>
      </c>
      <c r="O530" s="4">
        <f t="shared" si="88"/>
        <v>1098</v>
      </c>
      <c r="P530" s="4">
        <f t="shared" si="89"/>
        <v>0</v>
      </c>
    </row>
    <row r="531" spans="1:16" x14ac:dyDescent="0.25">
      <c r="A531" s="1">
        <v>42019</v>
      </c>
      <c r="B531">
        <v>1222.2</v>
      </c>
      <c r="C531">
        <v>1237.95</v>
      </c>
      <c r="D531">
        <v>1214</v>
      </c>
      <c r="E531" s="7">
        <v>1225.7</v>
      </c>
      <c r="F531">
        <v>815885</v>
      </c>
      <c r="G531" s="8">
        <f t="shared" si="80"/>
        <v>1225.8833333333332</v>
      </c>
      <c r="H531" s="9">
        <f t="shared" si="81"/>
        <v>1000179823.4166666</v>
      </c>
      <c r="I531" s="9">
        <f t="shared" si="84"/>
        <v>17398979947.800003</v>
      </c>
      <c r="J531" s="9">
        <f t="shared" si="85"/>
        <v>14723396</v>
      </c>
      <c r="K531" s="21">
        <f t="shared" si="86"/>
        <v>1181.7232890971623</v>
      </c>
      <c r="L531" s="4" t="str">
        <f t="shared" si="82"/>
        <v>BUY</v>
      </c>
      <c r="M531" s="4">
        <f t="shared" si="87"/>
        <v>0</v>
      </c>
      <c r="N531" s="4">
        <f t="shared" si="83"/>
        <v>1</v>
      </c>
      <c r="O531" s="4">
        <f t="shared" si="88"/>
        <v>1098</v>
      </c>
      <c r="P531" s="4">
        <f t="shared" si="89"/>
        <v>0</v>
      </c>
    </row>
    <row r="532" spans="1:16" x14ac:dyDescent="0.25">
      <c r="A532" s="1">
        <v>42020</v>
      </c>
      <c r="B532">
        <v>1225</v>
      </c>
      <c r="C532">
        <v>1229.55</v>
      </c>
      <c r="D532">
        <v>1215</v>
      </c>
      <c r="E532" s="7">
        <v>1220</v>
      </c>
      <c r="F532">
        <v>913323</v>
      </c>
      <c r="G532" s="8">
        <f t="shared" si="80"/>
        <v>1221.5166666666667</v>
      </c>
      <c r="H532" s="9">
        <f t="shared" si="81"/>
        <v>1115639266.55</v>
      </c>
      <c r="I532" s="9">
        <f t="shared" si="84"/>
        <v>16520711688.349998</v>
      </c>
      <c r="J532" s="9">
        <f t="shared" si="85"/>
        <v>13867659</v>
      </c>
      <c r="K532" s="21">
        <f t="shared" si="86"/>
        <v>1191.3122242441927</v>
      </c>
      <c r="L532" s="4" t="str">
        <f t="shared" si="82"/>
        <v>BUY</v>
      </c>
      <c r="M532" s="4">
        <f t="shared" si="87"/>
        <v>0</v>
      </c>
      <c r="N532" s="4">
        <f t="shared" si="83"/>
        <v>1</v>
      </c>
      <c r="O532" s="4">
        <f t="shared" si="88"/>
        <v>1098</v>
      </c>
      <c r="P532" s="4">
        <f t="shared" si="89"/>
        <v>0</v>
      </c>
    </row>
    <row r="533" spans="1:16" x14ac:dyDescent="0.25">
      <c r="A533" s="1">
        <v>42023</v>
      </c>
      <c r="B533">
        <v>1227.1500000000001</v>
      </c>
      <c r="C533">
        <v>1248.8</v>
      </c>
      <c r="D533">
        <v>1219.5</v>
      </c>
      <c r="E533" s="7">
        <v>1241.5999999999999</v>
      </c>
      <c r="F533">
        <v>1083583</v>
      </c>
      <c r="G533" s="8">
        <f t="shared" si="80"/>
        <v>1236.6333333333334</v>
      </c>
      <c r="H533" s="9">
        <f t="shared" si="81"/>
        <v>1339994857.2333333</v>
      </c>
      <c r="I533" s="9">
        <f t="shared" si="84"/>
        <v>16574417770.949999</v>
      </c>
      <c r="J533" s="9">
        <f t="shared" si="85"/>
        <v>13806840</v>
      </c>
      <c r="K533" s="21">
        <f t="shared" si="86"/>
        <v>1200.4497604774156</v>
      </c>
      <c r="L533" s="4" t="str">
        <f t="shared" si="82"/>
        <v>BUY</v>
      </c>
      <c r="M533" s="4">
        <f t="shared" si="87"/>
        <v>0</v>
      </c>
      <c r="N533" s="4">
        <f t="shared" si="83"/>
        <v>1</v>
      </c>
      <c r="O533" s="4">
        <f t="shared" si="88"/>
        <v>1098</v>
      </c>
      <c r="P533" s="4">
        <f t="shared" si="89"/>
        <v>0</v>
      </c>
    </row>
    <row r="534" spans="1:16" x14ac:dyDescent="0.25">
      <c r="A534" s="1">
        <v>42024</v>
      </c>
      <c r="B534">
        <v>1238</v>
      </c>
      <c r="C534">
        <v>1242</v>
      </c>
      <c r="D534">
        <v>1218</v>
      </c>
      <c r="E534" s="7">
        <v>1225.3499999999999</v>
      </c>
      <c r="F534">
        <v>943330</v>
      </c>
      <c r="G534" s="8">
        <f t="shared" si="80"/>
        <v>1228.45</v>
      </c>
      <c r="H534" s="9">
        <f t="shared" si="81"/>
        <v>1158833738.5</v>
      </c>
      <c r="I534" s="9">
        <f t="shared" si="84"/>
        <v>15796972003.949999</v>
      </c>
      <c r="J534" s="9">
        <f t="shared" si="85"/>
        <v>13057100</v>
      </c>
      <c r="K534" s="21">
        <f t="shared" si="86"/>
        <v>1209.8377131177672</v>
      </c>
      <c r="L534" s="4" t="str">
        <f t="shared" si="82"/>
        <v>BUY</v>
      </c>
      <c r="M534" s="4">
        <f t="shared" si="87"/>
        <v>0</v>
      </c>
      <c r="N534" s="4">
        <f t="shared" si="83"/>
        <v>1</v>
      </c>
      <c r="O534" s="4">
        <f t="shared" si="88"/>
        <v>1098</v>
      </c>
      <c r="P534" s="4">
        <f t="shared" si="89"/>
        <v>0</v>
      </c>
    </row>
    <row r="535" spans="1:16" x14ac:dyDescent="0.25">
      <c r="A535" s="1">
        <v>42025</v>
      </c>
      <c r="B535">
        <v>1234.8499999999999</v>
      </c>
      <c r="C535">
        <v>1254</v>
      </c>
      <c r="D535">
        <v>1221</v>
      </c>
      <c r="E535" s="7">
        <v>1228.75</v>
      </c>
      <c r="F535">
        <v>2048284</v>
      </c>
      <c r="G535" s="8">
        <f t="shared" si="80"/>
        <v>1234.5833333333333</v>
      </c>
      <c r="H535" s="9">
        <f t="shared" si="81"/>
        <v>2528777288.333333</v>
      </c>
      <c r="I535" s="9">
        <f t="shared" si="84"/>
        <v>16710807632.133331</v>
      </c>
      <c r="J535" s="9">
        <f t="shared" si="85"/>
        <v>13716605</v>
      </c>
      <c r="K535" s="21">
        <f t="shared" si="86"/>
        <v>1218.2903591765842</v>
      </c>
      <c r="L535" s="4" t="str">
        <f t="shared" si="82"/>
        <v>BUY</v>
      </c>
      <c r="M535" s="4">
        <f t="shared" si="87"/>
        <v>0</v>
      </c>
      <c r="N535" s="4">
        <f t="shared" si="83"/>
        <v>1</v>
      </c>
      <c r="O535" s="4">
        <f t="shared" si="88"/>
        <v>1098</v>
      </c>
      <c r="P535" s="4">
        <f t="shared" si="89"/>
        <v>0</v>
      </c>
    </row>
    <row r="536" spans="1:16" x14ac:dyDescent="0.25">
      <c r="A536" s="1">
        <v>42026</v>
      </c>
      <c r="B536">
        <v>1223.55</v>
      </c>
      <c r="C536">
        <v>1240</v>
      </c>
      <c r="D536">
        <v>1204.75</v>
      </c>
      <c r="E536" s="7">
        <v>1237.05</v>
      </c>
      <c r="F536">
        <v>1244752</v>
      </c>
      <c r="G536" s="8">
        <f t="shared" si="80"/>
        <v>1227.2666666666667</v>
      </c>
      <c r="H536" s="9">
        <f t="shared" si="81"/>
        <v>1527642637.8666666</v>
      </c>
      <c r="I536" s="9">
        <f t="shared" si="84"/>
        <v>16200839448.166666</v>
      </c>
      <c r="J536" s="9">
        <f t="shared" si="85"/>
        <v>13247759</v>
      </c>
      <c r="K536" s="21">
        <f t="shared" si="86"/>
        <v>1222.9116976061134</v>
      </c>
      <c r="L536" s="4" t="str">
        <f t="shared" si="82"/>
        <v>BUY</v>
      </c>
      <c r="M536" s="4">
        <f t="shared" si="87"/>
        <v>0</v>
      </c>
      <c r="N536" s="4">
        <f t="shared" si="83"/>
        <v>1</v>
      </c>
      <c r="O536" s="4">
        <f t="shared" si="88"/>
        <v>1098</v>
      </c>
      <c r="P536" s="4">
        <f t="shared" si="89"/>
        <v>0</v>
      </c>
    </row>
    <row r="537" spans="1:16" x14ac:dyDescent="0.25">
      <c r="A537" s="1">
        <v>42027</v>
      </c>
      <c r="B537">
        <v>1235</v>
      </c>
      <c r="C537">
        <v>1266.8499999999999</v>
      </c>
      <c r="D537">
        <v>1229</v>
      </c>
      <c r="E537" s="7">
        <v>1252.3499999999999</v>
      </c>
      <c r="F537">
        <v>1570913</v>
      </c>
      <c r="G537" s="8">
        <f t="shared" si="80"/>
        <v>1249.3999999999999</v>
      </c>
      <c r="H537" s="9">
        <f t="shared" si="81"/>
        <v>1962698702.1999998</v>
      </c>
      <c r="I537" s="9">
        <f t="shared" si="84"/>
        <v>16119171727.433334</v>
      </c>
      <c r="J537" s="9">
        <f t="shared" si="85"/>
        <v>13114844</v>
      </c>
      <c r="K537" s="21">
        <f t="shared" si="86"/>
        <v>1229.0784188842304</v>
      </c>
      <c r="L537" s="4" t="str">
        <f t="shared" si="82"/>
        <v>BUY</v>
      </c>
      <c r="M537" s="4">
        <f t="shared" si="87"/>
        <v>0</v>
      </c>
      <c r="N537" s="4">
        <f t="shared" si="83"/>
        <v>1</v>
      </c>
      <c r="O537" s="4">
        <f t="shared" si="88"/>
        <v>1098</v>
      </c>
      <c r="P537" s="4">
        <f t="shared" si="89"/>
        <v>0</v>
      </c>
    </row>
    <row r="538" spans="1:16" x14ac:dyDescent="0.25">
      <c r="A538" s="1">
        <v>42030</v>
      </c>
      <c r="B538">
        <v>1249.05</v>
      </c>
      <c r="C538">
        <v>1274.9000000000001</v>
      </c>
      <c r="D538">
        <v>1244</v>
      </c>
      <c r="E538" s="7">
        <v>1259.8</v>
      </c>
      <c r="F538">
        <v>2043440</v>
      </c>
      <c r="G538" s="8">
        <f t="shared" si="80"/>
        <v>1259.5666666666666</v>
      </c>
      <c r="H538" s="9">
        <f t="shared" si="81"/>
        <v>2573848909.333333</v>
      </c>
      <c r="I538" s="9">
        <f t="shared" si="84"/>
        <v>16481949723.433331</v>
      </c>
      <c r="J538" s="9">
        <f t="shared" si="85"/>
        <v>13344692</v>
      </c>
      <c r="K538" s="21">
        <f t="shared" si="86"/>
        <v>1235.0940526340607</v>
      </c>
      <c r="L538" s="4" t="str">
        <f t="shared" si="82"/>
        <v>BUY</v>
      </c>
      <c r="M538" s="4">
        <f t="shared" si="87"/>
        <v>0</v>
      </c>
      <c r="N538" s="4">
        <f t="shared" si="83"/>
        <v>1</v>
      </c>
      <c r="O538" s="4">
        <f t="shared" si="88"/>
        <v>1098</v>
      </c>
      <c r="P538" s="4">
        <f t="shared" si="89"/>
        <v>0</v>
      </c>
    </row>
    <row r="539" spans="1:16" x14ac:dyDescent="0.25">
      <c r="A539" s="1">
        <v>42031</v>
      </c>
      <c r="B539">
        <v>1259</v>
      </c>
      <c r="C539">
        <v>1280.8499999999999</v>
      </c>
      <c r="D539">
        <v>1257.25</v>
      </c>
      <c r="E539" s="7">
        <v>1270</v>
      </c>
      <c r="F539">
        <v>1173200</v>
      </c>
      <c r="G539" s="8">
        <f t="shared" si="80"/>
        <v>1269.3666666666666</v>
      </c>
      <c r="H539" s="9">
        <f t="shared" si="81"/>
        <v>1489220973.3333333</v>
      </c>
      <c r="I539" s="9">
        <f t="shared" si="84"/>
        <v>16123725194.566664</v>
      </c>
      <c r="J539" s="9">
        <f t="shared" si="85"/>
        <v>12998861</v>
      </c>
      <c r="K539" s="21">
        <f t="shared" si="86"/>
        <v>1240.3952311334558</v>
      </c>
      <c r="L539" s="4" t="str">
        <f t="shared" si="82"/>
        <v>BUY</v>
      </c>
      <c r="M539" s="4">
        <f t="shared" si="87"/>
        <v>0</v>
      </c>
      <c r="N539" s="4">
        <f t="shared" si="83"/>
        <v>1</v>
      </c>
      <c r="O539" s="4">
        <f t="shared" si="88"/>
        <v>1098</v>
      </c>
      <c r="P539" s="4">
        <f t="shared" si="89"/>
        <v>0</v>
      </c>
    </row>
    <row r="540" spans="1:16" x14ac:dyDescent="0.25">
      <c r="A540" s="1">
        <v>42032</v>
      </c>
      <c r="B540">
        <v>1279</v>
      </c>
      <c r="C540">
        <v>1279.95</v>
      </c>
      <c r="D540">
        <v>1245.5999999999999</v>
      </c>
      <c r="E540" s="7">
        <v>1252.05</v>
      </c>
      <c r="F540">
        <v>930685</v>
      </c>
      <c r="G540" s="8">
        <f t="shared" si="80"/>
        <v>1259.2</v>
      </c>
      <c r="H540" s="9">
        <f t="shared" si="81"/>
        <v>1171918552</v>
      </c>
      <c r="I540" s="9">
        <f t="shared" si="84"/>
        <v>15868754748.766665</v>
      </c>
      <c r="J540" s="9">
        <f t="shared" si="85"/>
        <v>12767395</v>
      </c>
      <c r="K540" s="21">
        <f t="shared" si="86"/>
        <v>1242.9124930157377</v>
      </c>
      <c r="L540" s="4" t="str">
        <f t="shared" si="82"/>
        <v>BUY</v>
      </c>
      <c r="M540" s="4">
        <f t="shared" si="87"/>
        <v>0</v>
      </c>
      <c r="N540" s="4">
        <f t="shared" si="83"/>
        <v>1</v>
      </c>
      <c r="O540" s="4">
        <f t="shared" si="88"/>
        <v>1098</v>
      </c>
      <c r="P540" s="4">
        <f t="shared" si="89"/>
        <v>0</v>
      </c>
    </row>
    <row r="541" spans="1:16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 s="7">
        <v>1226.55</v>
      </c>
      <c r="F541">
        <v>1986745</v>
      </c>
      <c r="G541" s="8">
        <f t="shared" si="80"/>
        <v>1235.3500000000001</v>
      </c>
      <c r="H541" s="9">
        <f t="shared" si="81"/>
        <v>2454325435.7500005</v>
      </c>
      <c r="I541" s="9">
        <f t="shared" si="84"/>
        <v>17322900361.100002</v>
      </c>
      <c r="J541" s="9">
        <f t="shared" si="85"/>
        <v>13938255</v>
      </c>
      <c r="K541" s="21">
        <f t="shared" si="86"/>
        <v>1242.831355940898</v>
      </c>
      <c r="L541" s="4" t="str">
        <f t="shared" si="82"/>
        <v>SELL</v>
      </c>
      <c r="M541" s="4" t="str">
        <f t="shared" si="87"/>
        <v>SELL</v>
      </c>
      <c r="N541" s="4">
        <f t="shared" si="83"/>
        <v>-1</v>
      </c>
      <c r="O541" s="4">
        <f t="shared" si="88"/>
        <v>1226.55</v>
      </c>
      <c r="P541" s="4">
        <f t="shared" si="89"/>
        <v>0.11707650273224039</v>
      </c>
    </row>
    <row r="542" spans="1:16" x14ac:dyDescent="0.25">
      <c r="A542" s="1">
        <v>42034</v>
      </c>
      <c r="B542">
        <v>1240</v>
      </c>
      <c r="C542">
        <v>1240</v>
      </c>
      <c r="D542">
        <v>1212.25</v>
      </c>
      <c r="E542" s="7">
        <v>1221.95</v>
      </c>
      <c r="F542">
        <v>1530108</v>
      </c>
      <c r="G542" s="8">
        <f t="shared" si="80"/>
        <v>1224.7333333333333</v>
      </c>
      <c r="H542" s="9">
        <f t="shared" si="81"/>
        <v>1873974271.2</v>
      </c>
      <c r="I542" s="9">
        <f t="shared" si="84"/>
        <v>18081235365.75</v>
      </c>
      <c r="J542" s="9">
        <f t="shared" si="85"/>
        <v>14555040</v>
      </c>
      <c r="K542" s="21">
        <f t="shared" si="86"/>
        <v>1242.2662779181644</v>
      </c>
      <c r="L542" s="4" t="str">
        <f t="shared" si="82"/>
        <v>SELL</v>
      </c>
      <c r="M542" s="4">
        <f t="shared" si="87"/>
        <v>0</v>
      </c>
      <c r="N542" s="4">
        <f t="shared" si="83"/>
        <v>-1</v>
      </c>
      <c r="O542" s="4">
        <f t="shared" si="88"/>
        <v>1226.55</v>
      </c>
      <c r="P542" s="4">
        <f t="shared" si="89"/>
        <v>0</v>
      </c>
    </row>
    <row r="543" spans="1:16" x14ac:dyDescent="0.25">
      <c r="A543" s="1">
        <v>42037</v>
      </c>
      <c r="B543">
        <v>1223</v>
      </c>
      <c r="C543">
        <v>1226.95</v>
      </c>
      <c r="D543">
        <v>1210.05</v>
      </c>
      <c r="E543" s="7">
        <v>1219.5999999999999</v>
      </c>
      <c r="F543">
        <v>784297</v>
      </c>
      <c r="G543" s="8">
        <f t="shared" si="80"/>
        <v>1218.8666666666666</v>
      </c>
      <c r="H543" s="9">
        <f t="shared" si="81"/>
        <v>955953470.0666666</v>
      </c>
      <c r="I543" s="9">
        <f t="shared" si="84"/>
        <v>17697193978.583336</v>
      </c>
      <c r="J543" s="9">
        <f t="shared" si="85"/>
        <v>14255754</v>
      </c>
      <c r="K543" s="21">
        <f t="shared" si="86"/>
        <v>1241.4070822618949</v>
      </c>
      <c r="L543" s="4" t="str">
        <f t="shared" si="82"/>
        <v>SELL</v>
      </c>
      <c r="M543" s="4">
        <f t="shared" si="87"/>
        <v>0</v>
      </c>
      <c r="N543" s="4">
        <f t="shared" si="83"/>
        <v>-1</v>
      </c>
      <c r="O543" s="4">
        <f t="shared" si="88"/>
        <v>1226.55</v>
      </c>
      <c r="P543" s="4">
        <f t="shared" si="89"/>
        <v>0</v>
      </c>
    </row>
    <row r="544" spans="1:16" x14ac:dyDescent="0.25">
      <c r="A544" s="1">
        <v>42038</v>
      </c>
      <c r="B544">
        <v>1226</v>
      </c>
      <c r="C544">
        <v>1227</v>
      </c>
      <c r="D544">
        <v>1207</v>
      </c>
      <c r="E544" s="7">
        <v>1217.25</v>
      </c>
      <c r="F544">
        <v>1154616</v>
      </c>
      <c r="G544" s="8">
        <f t="shared" si="80"/>
        <v>1217.0833333333333</v>
      </c>
      <c r="H544" s="9">
        <f t="shared" si="81"/>
        <v>1405263890</v>
      </c>
      <c r="I544" s="9">
        <f t="shared" si="84"/>
        <v>17943624130.083336</v>
      </c>
      <c r="J544" s="9">
        <f t="shared" si="85"/>
        <v>14467040</v>
      </c>
      <c r="K544" s="21">
        <f t="shared" si="86"/>
        <v>1240.3106737856076</v>
      </c>
      <c r="L544" s="4" t="str">
        <f t="shared" si="82"/>
        <v>SELL</v>
      </c>
      <c r="M544" s="4">
        <f t="shared" si="87"/>
        <v>0</v>
      </c>
      <c r="N544" s="4">
        <f t="shared" si="83"/>
        <v>-1</v>
      </c>
      <c r="O544" s="4">
        <f t="shared" si="88"/>
        <v>1226.55</v>
      </c>
      <c r="P544" s="4">
        <f t="shared" si="89"/>
        <v>0</v>
      </c>
    </row>
    <row r="545" spans="1:16" x14ac:dyDescent="0.25">
      <c r="A545" s="1">
        <v>42039</v>
      </c>
      <c r="B545">
        <v>1219</v>
      </c>
      <c r="C545">
        <v>1223.8499999999999</v>
      </c>
      <c r="D545">
        <v>1213</v>
      </c>
      <c r="E545" s="7">
        <v>1218.4000000000001</v>
      </c>
      <c r="F545">
        <v>32711</v>
      </c>
      <c r="G545" s="8">
        <f t="shared" si="80"/>
        <v>1218.4166666666667</v>
      </c>
      <c r="H545" s="9">
        <f t="shared" si="81"/>
        <v>39855627.583333336</v>
      </c>
      <c r="I545" s="9">
        <f t="shared" si="84"/>
        <v>15454702469.333334</v>
      </c>
      <c r="J545" s="9">
        <f t="shared" si="85"/>
        <v>12451467</v>
      </c>
      <c r="K545" s="21">
        <f t="shared" si="86"/>
        <v>1241.1953121132904</v>
      </c>
      <c r="L545" s="4" t="str">
        <f t="shared" si="82"/>
        <v>SELL</v>
      </c>
      <c r="M545" s="4">
        <f t="shared" si="87"/>
        <v>0</v>
      </c>
      <c r="N545" s="4">
        <f t="shared" si="83"/>
        <v>-1</v>
      </c>
      <c r="O545" s="4">
        <f t="shared" si="88"/>
        <v>1226.55</v>
      </c>
      <c r="P545" s="4">
        <f t="shared" si="89"/>
        <v>0</v>
      </c>
    </row>
    <row r="546" spans="1:16" x14ac:dyDescent="0.25">
      <c r="A546" s="1">
        <v>42040</v>
      </c>
      <c r="B546">
        <v>1214</v>
      </c>
      <c r="C546">
        <v>1222.45</v>
      </c>
      <c r="D546">
        <v>1201</v>
      </c>
      <c r="E546" s="7">
        <v>1207.3</v>
      </c>
      <c r="F546">
        <v>770439</v>
      </c>
      <c r="G546" s="8">
        <f t="shared" si="80"/>
        <v>1210.25</v>
      </c>
      <c r="H546" s="9">
        <f t="shared" si="81"/>
        <v>932423799.75</v>
      </c>
      <c r="I546" s="9">
        <f t="shared" si="84"/>
        <v>14859483631.216669</v>
      </c>
      <c r="J546" s="9">
        <f t="shared" si="85"/>
        <v>11977154</v>
      </c>
      <c r="K546" s="21">
        <f t="shared" si="86"/>
        <v>1240.6522978010194</v>
      </c>
      <c r="L546" s="4" t="str">
        <f t="shared" si="82"/>
        <v>SELL</v>
      </c>
      <c r="M546" s="4">
        <f t="shared" si="87"/>
        <v>0</v>
      </c>
      <c r="N546" s="4">
        <f t="shared" si="83"/>
        <v>-1</v>
      </c>
      <c r="O546" s="4">
        <f t="shared" si="88"/>
        <v>1226.55</v>
      </c>
      <c r="P546" s="4">
        <f t="shared" si="89"/>
        <v>0</v>
      </c>
    </row>
    <row r="547" spans="1:16" x14ac:dyDescent="0.25">
      <c r="A547" s="1">
        <v>42041</v>
      </c>
      <c r="B547">
        <v>1203</v>
      </c>
      <c r="C547">
        <v>1221.3</v>
      </c>
      <c r="D547">
        <v>1189</v>
      </c>
      <c r="E547" s="7">
        <v>1202</v>
      </c>
      <c r="F547">
        <v>858861</v>
      </c>
      <c r="G547" s="8">
        <f t="shared" si="80"/>
        <v>1204.1000000000001</v>
      </c>
      <c r="H547" s="9">
        <f t="shared" si="81"/>
        <v>1034154530.1000001</v>
      </c>
      <c r="I547" s="9">
        <f t="shared" si="84"/>
        <v>13930939459.116669</v>
      </c>
      <c r="J547" s="9">
        <f t="shared" si="85"/>
        <v>11265102</v>
      </c>
      <c r="K547" s="21">
        <f t="shared" si="86"/>
        <v>1236.64565656988</v>
      </c>
      <c r="L547" s="4" t="str">
        <f t="shared" si="82"/>
        <v>SELL</v>
      </c>
      <c r="M547" s="4">
        <f t="shared" si="87"/>
        <v>0</v>
      </c>
      <c r="N547" s="4">
        <f t="shared" si="83"/>
        <v>-1</v>
      </c>
      <c r="O547" s="4">
        <f t="shared" si="88"/>
        <v>1226.55</v>
      </c>
      <c r="P547" s="4">
        <f t="shared" si="89"/>
        <v>0</v>
      </c>
    </row>
    <row r="548" spans="1:16" x14ac:dyDescent="0.25">
      <c r="A548" s="1">
        <v>42044</v>
      </c>
      <c r="B548">
        <v>1195</v>
      </c>
      <c r="C548">
        <v>1206</v>
      </c>
      <c r="D548">
        <v>1186.55</v>
      </c>
      <c r="E548" s="7">
        <v>1192.8499999999999</v>
      </c>
      <c r="F548">
        <v>972833</v>
      </c>
      <c r="G548" s="8">
        <f t="shared" si="80"/>
        <v>1195.1333333333334</v>
      </c>
      <c r="H548" s="9">
        <f t="shared" si="81"/>
        <v>1162665146.0666668</v>
      </c>
      <c r="I548" s="9">
        <f t="shared" si="84"/>
        <v>12519755695.850002</v>
      </c>
      <c r="J548" s="9">
        <f t="shared" si="85"/>
        <v>10194495</v>
      </c>
      <c r="K548" s="21">
        <f t="shared" si="86"/>
        <v>1228.0898363136184</v>
      </c>
      <c r="L548" s="4" t="str">
        <f t="shared" si="82"/>
        <v>SELL</v>
      </c>
      <c r="M548" s="4">
        <f t="shared" si="87"/>
        <v>0</v>
      </c>
      <c r="N548" s="4">
        <f t="shared" si="83"/>
        <v>-1</v>
      </c>
      <c r="O548" s="4">
        <f t="shared" si="88"/>
        <v>1226.55</v>
      </c>
      <c r="P548" s="4">
        <f t="shared" si="89"/>
        <v>0</v>
      </c>
    </row>
    <row r="549" spans="1:16" x14ac:dyDescent="0.25">
      <c r="A549" s="1">
        <v>42045</v>
      </c>
      <c r="B549">
        <v>1227</v>
      </c>
      <c r="C549">
        <v>1227</v>
      </c>
      <c r="D549">
        <v>1202.95</v>
      </c>
      <c r="E549" s="7">
        <v>1208.55</v>
      </c>
      <c r="F549">
        <v>1112879</v>
      </c>
      <c r="G549" s="8">
        <f t="shared" si="80"/>
        <v>1212.8333333333333</v>
      </c>
      <c r="H549" s="9">
        <f t="shared" si="81"/>
        <v>1349736747.1666665</v>
      </c>
      <c r="I549" s="9">
        <f t="shared" si="84"/>
        <v>12380271469.683334</v>
      </c>
      <c r="J549" s="9">
        <f t="shared" si="85"/>
        <v>10134174</v>
      </c>
      <c r="K549" s="21">
        <f t="shared" si="86"/>
        <v>1221.635968524256</v>
      </c>
      <c r="L549" s="4" t="str">
        <f t="shared" si="82"/>
        <v>SELL</v>
      </c>
      <c r="M549" s="4">
        <f t="shared" si="87"/>
        <v>0</v>
      </c>
      <c r="N549" s="4">
        <f t="shared" si="83"/>
        <v>-1</v>
      </c>
      <c r="O549" s="4">
        <f t="shared" si="88"/>
        <v>1226.55</v>
      </c>
      <c r="P549" s="4">
        <f t="shared" si="89"/>
        <v>0</v>
      </c>
    </row>
    <row r="550" spans="1:16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 s="7">
        <v>1189.05</v>
      </c>
      <c r="F550">
        <v>1120139</v>
      </c>
      <c r="G550" s="8">
        <f t="shared" si="80"/>
        <v>1197.0333333333335</v>
      </c>
      <c r="H550" s="9">
        <f t="shared" si="81"/>
        <v>1340843720.9666669</v>
      </c>
      <c r="I550" s="9">
        <f t="shared" si="84"/>
        <v>12549196638.650002</v>
      </c>
      <c r="J550" s="9">
        <f t="shared" si="85"/>
        <v>10323628</v>
      </c>
      <c r="K550" s="21">
        <f t="shared" si="86"/>
        <v>1215.5800885744818</v>
      </c>
      <c r="L550" s="4" t="str">
        <f t="shared" si="82"/>
        <v>SELL</v>
      </c>
      <c r="M550" s="4">
        <f t="shared" si="87"/>
        <v>0</v>
      </c>
      <c r="N550" s="4">
        <f t="shared" si="83"/>
        <v>-1</v>
      </c>
      <c r="O550" s="4">
        <f t="shared" si="88"/>
        <v>1226.55</v>
      </c>
      <c r="P550" s="4">
        <f t="shared" si="89"/>
        <v>0</v>
      </c>
    </row>
    <row r="551" spans="1:16" x14ac:dyDescent="0.25">
      <c r="A551" s="1">
        <v>42047</v>
      </c>
      <c r="B551">
        <v>1190</v>
      </c>
      <c r="C551">
        <v>1214.95</v>
      </c>
      <c r="D551">
        <v>1190</v>
      </c>
      <c r="E551" s="7">
        <v>1197</v>
      </c>
      <c r="F551">
        <v>1246232</v>
      </c>
      <c r="G551" s="8">
        <f t="shared" si="80"/>
        <v>1200.6499999999999</v>
      </c>
      <c r="H551" s="9">
        <f t="shared" si="81"/>
        <v>1496288450.7999997</v>
      </c>
      <c r="I551" s="9">
        <f t="shared" si="84"/>
        <v>11591159653.700001</v>
      </c>
      <c r="J551" s="9">
        <f t="shared" si="85"/>
        <v>9583115</v>
      </c>
      <c r="K551" s="21">
        <f t="shared" si="86"/>
        <v>1209.5398681639531</v>
      </c>
      <c r="L551" s="4" t="str">
        <f t="shared" si="82"/>
        <v>SELL</v>
      </c>
      <c r="M551" s="4">
        <f t="shared" si="87"/>
        <v>0</v>
      </c>
      <c r="N551" s="4">
        <f t="shared" si="83"/>
        <v>-1</v>
      </c>
      <c r="O551" s="4">
        <f t="shared" si="88"/>
        <v>1226.55</v>
      </c>
      <c r="P551" s="4">
        <f t="shared" si="89"/>
        <v>0</v>
      </c>
    </row>
    <row r="552" spans="1:16" x14ac:dyDescent="0.25">
      <c r="A552" s="1">
        <v>42048</v>
      </c>
      <c r="B552">
        <v>1210.0999999999999</v>
      </c>
      <c r="C552">
        <v>1214</v>
      </c>
      <c r="D552">
        <v>1151</v>
      </c>
      <c r="E552" s="7">
        <v>1154.55</v>
      </c>
      <c r="F552">
        <v>4032657</v>
      </c>
      <c r="G552" s="8">
        <f t="shared" si="80"/>
        <v>1173.1833333333334</v>
      </c>
      <c r="H552" s="9">
        <f t="shared" si="81"/>
        <v>4731045981.4499998</v>
      </c>
      <c r="I552" s="9">
        <f t="shared" si="84"/>
        <v>14448231363.950001</v>
      </c>
      <c r="J552" s="9">
        <f t="shared" si="85"/>
        <v>12085664</v>
      </c>
      <c r="K552" s="21">
        <f t="shared" si="86"/>
        <v>1195.485110619491</v>
      </c>
      <c r="L552" s="4" t="str">
        <f t="shared" si="82"/>
        <v>SELL</v>
      </c>
      <c r="M552" s="4">
        <f t="shared" si="87"/>
        <v>0</v>
      </c>
      <c r="N552" s="4">
        <f t="shared" si="83"/>
        <v>-1</v>
      </c>
      <c r="O552" s="4">
        <f t="shared" si="88"/>
        <v>1226.55</v>
      </c>
      <c r="P552" s="4">
        <f t="shared" si="89"/>
        <v>0</v>
      </c>
    </row>
    <row r="553" spans="1:16" x14ac:dyDescent="0.25">
      <c r="A553" s="1">
        <v>42051</v>
      </c>
      <c r="B553">
        <v>1159</v>
      </c>
      <c r="C553">
        <v>1170.95</v>
      </c>
      <c r="D553">
        <v>1145</v>
      </c>
      <c r="E553" s="7">
        <v>1163.7</v>
      </c>
      <c r="F553">
        <v>2142118</v>
      </c>
      <c r="G553" s="8">
        <f t="shared" si="80"/>
        <v>1159.8833333333332</v>
      </c>
      <c r="H553" s="9">
        <f t="shared" si="81"/>
        <v>2484606966.2333331</v>
      </c>
      <c r="I553" s="9">
        <f t="shared" si="84"/>
        <v>15976884860.116665</v>
      </c>
      <c r="J553" s="9">
        <f t="shared" si="85"/>
        <v>13443485</v>
      </c>
      <c r="K553" s="21">
        <f t="shared" si="86"/>
        <v>1188.4481486844122</v>
      </c>
      <c r="L553" s="4" t="str">
        <f t="shared" si="82"/>
        <v>SELL</v>
      </c>
      <c r="M553" s="4">
        <f t="shared" si="87"/>
        <v>0</v>
      </c>
      <c r="N553" s="4">
        <f t="shared" si="83"/>
        <v>-1</v>
      </c>
      <c r="O553" s="4">
        <f t="shared" si="88"/>
        <v>1226.55</v>
      </c>
      <c r="P553" s="4">
        <f t="shared" si="89"/>
        <v>0</v>
      </c>
    </row>
    <row r="554" spans="1:16" x14ac:dyDescent="0.25">
      <c r="A554" s="1">
        <v>42052</v>
      </c>
      <c r="B554">
        <v>1169.95</v>
      </c>
      <c r="C554">
        <v>1180</v>
      </c>
      <c r="D554">
        <v>1158</v>
      </c>
      <c r="E554" s="7">
        <v>1169.55</v>
      </c>
      <c r="F554">
        <v>1027362</v>
      </c>
      <c r="G554" s="8">
        <f t="shared" si="80"/>
        <v>1169.1833333333334</v>
      </c>
      <c r="H554" s="9">
        <f t="shared" si="81"/>
        <v>1201174527.7</v>
      </c>
      <c r="I554" s="9">
        <f t="shared" si="84"/>
        <v>15772795497.816666</v>
      </c>
      <c r="J554" s="9">
        <f t="shared" si="85"/>
        <v>13316231</v>
      </c>
      <c r="K554" s="21">
        <f t="shared" si="86"/>
        <v>1184.4789638912591</v>
      </c>
      <c r="L554" s="4" t="str">
        <f t="shared" si="82"/>
        <v>SELL</v>
      </c>
      <c r="M554" s="4">
        <f t="shared" si="87"/>
        <v>0</v>
      </c>
      <c r="N554" s="4">
        <f t="shared" si="83"/>
        <v>-1</v>
      </c>
      <c r="O554" s="4">
        <f t="shared" si="88"/>
        <v>1226.55</v>
      </c>
      <c r="P554" s="4">
        <f t="shared" si="89"/>
        <v>0</v>
      </c>
    </row>
    <row r="555" spans="1:16" x14ac:dyDescent="0.25">
      <c r="A555" s="1">
        <v>42053</v>
      </c>
      <c r="B555">
        <v>1169.55</v>
      </c>
      <c r="C555">
        <v>1169.55</v>
      </c>
      <c r="D555">
        <v>1111.8</v>
      </c>
      <c r="E555" s="7">
        <v>1122</v>
      </c>
      <c r="F555">
        <v>2566432</v>
      </c>
      <c r="G555" s="8">
        <f t="shared" si="80"/>
        <v>1134.45</v>
      </c>
      <c r="H555" s="9">
        <f t="shared" si="81"/>
        <v>2911488782.4000001</v>
      </c>
      <c r="I555" s="9">
        <f t="shared" si="84"/>
        <v>18644428652.633335</v>
      </c>
      <c r="J555" s="9">
        <f t="shared" si="85"/>
        <v>15849952</v>
      </c>
      <c r="K555" s="21">
        <f t="shared" si="86"/>
        <v>1176.3082091752287</v>
      </c>
      <c r="L555" s="4" t="str">
        <f t="shared" si="82"/>
        <v>SELL</v>
      </c>
      <c r="M555" s="4">
        <f t="shared" si="87"/>
        <v>0</v>
      </c>
      <c r="N555" s="4">
        <f t="shared" si="83"/>
        <v>-1</v>
      </c>
      <c r="O555" s="4">
        <f t="shared" si="88"/>
        <v>1226.55</v>
      </c>
      <c r="P555" s="4">
        <f t="shared" si="89"/>
        <v>0</v>
      </c>
    </row>
    <row r="556" spans="1:16" x14ac:dyDescent="0.25">
      <c r="A556" s="1">
        <v>42054</v>
      </c>
      <c r="B556">
        <v>1129</v>
      </c>
      <c r="C556">
        <v>1145</v>
      </c>
      <c r="D556">
        <v>1120</v>
      </c>
      <c r="E556" s="7">
        <v>1134.8499999999999</v>
      </c>
      <c r="F556">
        <v>1841602</v>
      </c>
      <c r="G556" s="8">
        <f t="shared" si="80"/>
        <v>1133.2833333333333</v>
      </c>
      <c r="H556" s="9">
        <f t="shared" si="81"/>
        <v>2087056853.2333333</v>
      </c>
      <c r="I556" s="9">
        <f t="shared" si="84"/>
        <v>19799061706.116669</v>
      </c>
      <c r="J556" s="9">
        <f t="shared" si="85"/>
        <v>16921115</v>
      </c>
      <c r="K556" s="21">
        <f t="shared" si="86"/>
        <v>1170.0802048870107</v>
      </c>
      <c r="L556" s="4" t="str">
        <f t="shared" si="82"/>
        <v>SELL</v>
      </c>
      <c r="M556" s="4">
        <f t="shared" si="87"/>
        <v>0</v>
      </c>
      <c r="N556" s="4">
        <f t="shared" si="83"/>
        <v>-1</v>
      </c>
      <c r="O556" s="4">
        <f t="shared" si="88"/>
        <v>1226.55</v>
      </c>
      <c r="P556" s="4">
        <f t="shared" si="89"/>
        <v>0</v>
      </c>
    </row>
    <row r="557" spans="1:16" x14ac:dyDescent="0.25">
      <c r="A557" s="1">
        <v>42055</v>
      </c>
      <c r="B557">
        <v>1136.95</v>
      </c>
      <c r="C557">
        <v>1179.8</v>
      </c>
      <c r="D557">
        <v>1136.55</v>
      </c>
      <c r="E557" s="7">
        <v>1175.75</v>
      </c>
      <c r="F557">
        <v>2276621</v>
      </c>
      <c r="G557" s="8">
        <f t="shared" si="80"/>
        <v>1164.0333333333333</v>
      </c>
      <c r="H557" s="9">
        <f t="shared" si="81"/>
        <v>2650062731.3666668</v>
      </c>
      <c r="I557" s="9">
        <f t="shared" si="84"/>
        <v>21414969907.383331</v>
      </c>
      <c r="J557" s="9">
        <f t="shared" si="85"/>
        <v>18338875</v>
      </c>
      <c r="K557" s="21">
        <f t="shared" si="86"/>
        <v>1167.7362928414818</v>
      </c>
      <c r="L557" s="4" t="str">
        <f t="shared" si="82"/>
        <v>BUY</v>
      </c>
      <c r="M557" s="4" t="str">
        <f t="shared" si="87"/>
        <v>BUY</v>
      </c>
      <c r="N557" s="4">
        <f t="shared" si="83"/>
        <v>1</v>
      </c>
      <c r="O557" s="4">
        <f t="shared" si="88"/>
        <v>1175.75</v>
      </c>
      <c r="P557" s="4">
        <f t="shared" si="89"/>
        <v>4.1416982593453146E-2</v>
      </c>
    </row>
    <row r="558" spans="1:16" x14ac:dyDescent="0.25">
      <c r="A558" s="1">
        <v>42058</v>
      </c>
      <c r="B558">
        <v>1174.7</v>
      </c>
      <c r="C558">
        <v>1189.7</v>
      </c>
      <c r="D558">
        <v>1160</v>
      </c>
      <c r="E558" s="7">
        <v>1167.75</v>
      </c>
      <c r="F558">
        <v>1710847</v>
      </c>
      <c r="G558" s="8">
        <f t="shared" si="80"/>
        <v>1172.4833333333333</v>
      </c>
      <c r="H558" s="9">
        <f t="shared" si="81"/>
        <v>2005939593.3833334</v>
      </c>
      <c r="I558" s="9">
        <f t="shared" si="84"/>
        <v>22258244354.700001</v>
      </c>
      <c r="J558" s="9">
        <f t="shared" si="85"/>
        <v>19076889</v>
      </c>
      <c r="K558" s="21">
        <f t="shared" si="86"/>
        <v>1166.7648930965631</v>
      </c>
      <c r="L558" s="4" t="str">
        <f t="shared" si="82"/>
        <v>BUY</v>
      </c>
      <c r="M558" s="4">
        <f t="shared" si="87"/>
        <v>0</v>
      </c>
      <c r="N558" s="4">
        <f t="shared" si="83"/>
        <v>1</v>
      </c>
      <c r="O558" s="4">
        <f t="shared" si="88"/>
        <v>1175.75</v>
      </c>
      <c r="P558" s="4">
        <f t="shared" si="89"/>
        <v>0</v>
      </c>
    </row>
    <row r="559" spans="1:16" x14ac:dyDescent="0.25">
      <c r="A559" s="1">
        <v>42059</v>
      </c>
      <c r="B559">
        <v>1175</v>
      </c>
      <c r="C559">
        <v>1191.9000000000001</v>
      </c>
      <c r="D559">
        <v>1164.8</v>
      </c>
      <c r="E559" s="7">
        <v>1184.6500000000001</v>
      </c>
      <c r="F559">
        <v>1579218</v>
      </c>
      <c r="G559" s="8">
        <f t="shared" si="80"/>
        <v>1180.45</v>
      </c>
      <c r="H559" s="9">
        <f t="shared" si="81"/>
        <v>1864187888.1000001</v>
      </c>
      <c r="I559" s="9">
        <f t="shared" si="84"/>
        <v>22772695495.633335</v>
      </c>
      <c r="J559" s="9">
        <f t="shared" si="85"/>
        <v>19543228</v>
      </c>
      <c r="K559" s="21">
        <f t="shared" si="86"/>
        <v>1165.2473939122715</v>
      </c>
      <c r="L559" s="4" t="str">
        <f t="shared" si="82"/>
        <v>BUY</v>
      </c>
      <c r="M559" s="4">
        <f t="shared" si="87"/>
        <v>0</v>
      </c>
      <c r="N559" s="4">
        <f t="shared" si="83"/>
        <v>1</v>
      </c>
      <c r="O559" s="4">
        <f t="shared" si="88"/>
        <v>1175.75</v>
      </c>
      <c r="P559" s="4">
        <f t="shared" si="89"/>
        <v>0</v>
      </c>
    </row>
    <row r="560" spans="1:16" x14ac:dyDescent="0.25">
      <c r="A560" s="1">
        <v>42060</v>
      </c>
      <c r="B560">
        <v>1177</v>
      </c>
      <c r="C560">
        <v>1185</v>
      </c>
      <c r="D560">
        <v>1154</v>
      </c>
      <c r="E560" s="7">
        <v>1161.5999999999999</v>
      </c>
      <c r="F560">
        <v>1526692</v>
      </c>
      <c r="G560" s="8">
        <f t="shared" si="80"/>
        <v>1166.8666666666666</v>
      </c>
      <c r="H560" s="9">
        <f t="shared" si="81"/>
        <v>1781446005.0666666</v>
      </c>
      <c r="I560" s="9">
        <f t="shared" si="84"/>
        <v>23213297779.733334</v>
      </c>
      <c r="J560" s="9">
        <f t="shared" si="85"/>
        <v>19949781</v>
      </c>
      <c r="K560" s="21">
        <f t="shared" si="86"/>
        <v>1163.5865967517805</v>
      </c>
      <c r="L560" s="4" t="str">
        <f t="shared" si="82"/>
        <v>SELL</v>
      </c>
      <c r="M560" s="4" t="str">
        <f t="shared" si="87"/>
        <v>SELL</v>
      </c>
      <c r="N560" s="4">
        <f t="shared" si="83"/>
        <v>-1</v>
      </c>
      <c r="O560" s="4">
        <f t="shared" si="88"/>
        <v>1161.5999999999999</v>
      </c>
      <c r="P560" s="4">
        <f t="shared" si="89"/>
        <v>-1.2034871358707285E-2</v>
      </c>
    </row>
    <row r="561" spans="1:16" x14ac:dyDescent="0.25">
      <c r="A561" s="1">
        <v>42061</v>
      </c>
      <c r="B561">
        <v>1173</v>
      </c>
      <c r="C561">
        <v>1179.6500000000001</v>
      </c>
      <c r="D561">
        <v>1151.95</v>
      </c>
      <c r="E561" s="7">
        <v>1174.75</v>
      </c>
      <c r="F561">
        <v>794123</v>
      </c>
      <c r="G561" s="8">
        <f t="shared" si="80"/>
        <v>1168.7833333333335</v>
      </c>
      <c r="H561" s="9">
        <f t="shared" si="81"/>
        <v>928157727.01666677</v>
      </c>
      <c r="I561" s="9">
        <f t="shared" si="84"/>
        <v>22645167055.949997</v>
      </c>
      <c r="J561" s="9">
        <f t="shared" si="85"/>
        <v>19497672</v>
      </c>
      <c r="K561" s="21">
        <f t="shared" si="86"/>
        <v>1161.4292750411432</v>
      </c>
      <c r="L561" s="4" t="str">
        <f t="shared" si="82"/>
        <v>BUY</v>
      </c>
      <c r="M561" s="4" t="str">
        <f t="shared" si="87"/>
        <v>BUY</v>
      </c>
      <c r="N561" s="4">
        <f t="shared" si="83"/>
        <v>1</v>
      </c>
      <c r="O561" s="4">
        <f t="shared" si="88"/>
        <v>1174.75</v>
      </c>
      <c r="P561" s="4">
        <f t="shared" si="89"/>
        <v>-1.1320592286501457E-2</v>
      </c>
    </row>
    <row r="562" spans="1:16" x14ac:dyDescent="0.25">
      <c r="A562" s="1">
        <v>42062</v>
      </c>
      <c r="B562">
        <v>1174</v>
      </c>
      <c r="C562">
        <v>1174.6500000000001</v>
      </c>
      <c r="D562">
        <v>1154.45</v>
      </c>
      <c r="E562" s="7">
        <v>1165.0999999999999</v>
      </c>
      <c r="F562">
        <v>1025548</v>
      </c>
      <c r="G562" s="8">
        <f t="shared" si="80"/>
        <v>1164.7333333333333</v>
      </c>
      <c r="H562" s="9">
        <f t="shared" si="81"/>
        <v>1194489940.5333333</v>
      </c>
      <c r="I562" s="9">
        <f t="shared" si="84"/>
        <v>19108611015.033333</v>
      </c>
      <c r="J562" s="9">
        <f t="shared" si="85"/>
        <v>16490563</v>
      </c>
      <c r="K562" s="21">
        <f t="shared" si="86"/>
        <v>1158.760377983052</v>
      </c>
      <c r="L562" s="4" t="str">
        <f t="shared" si="82"/>
        <v>BUY</v>
      </c>
      <c r="M562" s="4">
        <f t="shared" si="87"/>
        <v>0</v>
      </c>
      <c r="N562" s="4">
        <f t="shared" si="83"/>
        <v>1</v>
      </c>
      <c r="O562" s="4">
        <f t="shared" si="88"/>
        <v>1174.75</v>
      </c>
      <c r="P562" s="4">
        <f t="shared" si="89"/>
        <v>0</v>
      </c>
    </row>
    <row r="563" spans="1:16" x14ac:dyDescent="0.25">
      <c r="A563" s="1">
        <v>42065</v>
      </c>
      <c r="B563">
        <v>1151</v>
      </c>
      <c r="C563">
        <v>1164</v>
      </c>
      <c r="D563">
        <v>1132.4000000000001</v>
      </c>
      <c r="E563" s="7">
        <v>1141.2</v>
      </c>
      <c r="F563">
        <v>1340607</v>
      </c>
      <c r="G563" s="8">
        <f t="shared" si="80"/>
        <v>1145.8666666666668</v>
      </c>
      <c r="H563" s="9">
        <f t="shared" si="81"/>
        <v>1536156874.4000001</v>
      </c>
      <c r="I563" s="9">
        <f t="shared" si="84"/>
        <v>18160160923.200001</v>
      </c>
      <c r="J563" s="9">
        <f t="shared" si="85"/>
        <v>15689052</v>
      </c>
      <c r="K563" s="21">
        <f t="shared" si="86"/>
        <v>1157.5053051771388</v>
      </c>
      <c r="L563" s="4" t="str">
        <f t="shared" si="82"/>
        <v>SELL</v>
      </c>
      <c r="M563" s="4" t="str">
        <f t="shared" si="87"/>
        <v>SELL</v>
      </c>
      <c r="N563" s="4">
        <f t="shared" si="83"/>
        <v>-1</v>
      </c>
      <c r="O563" s="4">
        <f t="shared" si="88"/>
        <v>1141.2</v>
      </c>
      <c r="P563" s="4">
        <f t="shared" si="89"/>
        <v>-2.855926792934663E-2</v>
      </c>
    </row>
    <row r="564" spans="1:16" x14ac:dyDescent="0.25">
      <c r="A564" s="1">
        <v>42066</v>
      </c>
      <c r="B564">
        <v>1145.5</v>
      </c>
      <c r="C564">
        <v>1175.75</v>
      </c>
      <c r="D564">
        <v>1145.5</v>
      </c>
      <c r="E564" s="7">
        <v>1168.8</v>
      </c>
      <c r="F564">
        <v>1271671</v>
      </c>
      <c r="G564" s="8">
        <f t="shared" si="80"/>
        <v>1163.3500000000001</v>
      </c>
      <c r="H564" s="9">
        <f t="shared" si="81"/>
        <v>1479398457.8500001</v>
      </c>
      <c r="I564" s="9">
        <f t="shared" si="84"/>
        <v>18438384853.349998</v>
      </c>
      <c r="J564" s="9">
        <f t="shared" si="85"/>
        <v>15933361</v>
      </c>
      <c r="K564" s="21">
        <f t="shared" si="86"/>
        <v>1157.2187972989502</v>
      </c>
      <c r="L564" s="4" t="str">
        <f t="shared" si="82"/>
        <v>BUY</v>
      </c>
      <c r="M564" s="4" t="str">
        <f t="shared" si="87"/>
        <v>BUY</v>
      </c>
      <c r="N564" s="4">
        <f t="shared" si="83"/>
        <v>1</v>
      </c>
      <c r="O564" s="4">
        <f t="shared" si="88"/>
        <v>1168.8</v>
      </c>
      <c r="P564" s="4">
        <f t="shared" si="89"/>
        <v>-2.4185068349106123E-2</v>
      </c>
    </row>
    <row r="565" spans="1:16" x14ac:dyDescent="0.25">
      <c r="A565" s="1">
        <v>42067</v>
      </c>
      <c r="B565">
        <v>1170</v>
      </c>
      <c r="C565">
        <v>1199</v>
      </c>
      <c r="D565">
        <v>1170</v>
      </c>
      <c r="E565" s="7">
        <v>1194.25</v>
      </c>
      <c r="F565">
        <v>1163494</v>
      </c>
      <c r="G565" s="8">
        <f t="shared" si="80"/>
        <v>1187.75</v>
      </c>
      <c r="H565" s="9">
        <f t="shared" si="81"/>
        <v>1381939998.5</v>
      </c>
      <c r="I565" s="9">
        <f t="shared" si="84"/>
        <v>16908836069.450001</v>
      </c>
      <c r="J565" s="9">
        <f t="shared" si="85"/>
        <v>14530423</v>
      </c>
      <c r="K565" s="21">
        <f t="shared" si="86"/>
        <v>1163.6850537283051</v>
      </c>
      <c r="L565" s="4" t="str">
        <f t="shared" si="82"/>
        <v>BUY</v>
      </c>
      <c r="M565" s="4">
        <f t="shared" si="87"/>
        <v>0</v>
      </c>
      <c r="N565" s="4">
        <f t="shared" si="83"/>
        <v>1</v>
      </c>
      <c r="O565" s="4">
        <f t="shared" si="88"/>
        <v>1168.8</v>
      </c>
      <c r="P565" s="4">
        <f t="shared" si="89"/>
        <v>0</v>
      </c>
    </row>
    <row r="566" spans="1:16" x14ac:dyDescent="0.25">
      <c r="A566" s="1">
        <v>42068</v>
      </c>
      <c r="B566">
        <v>1200.2</v>
      </c>
      <c r="C566">
        <v>1207.3499999999999</v>
      </c>
      <c r="D566">
        <v>1175.3</v>
      </c>
      <c r="E566" s="7">
        <v>1178</v>
      </c>
      <c r="F566">
        <v>1134577</v>
      </c>
      <c r="G566" s="8">
        <f t="shared" si="80"/>
        <v>1186.8833333333332</v>
      </c>
      <c r="H566" s="9">
        <f t="shared" si="81"/>
        <v>1346610531.6833332</v>
      </c>
      <c r="I566" s="9">
        <f t="shared" si="84"/>
        <v>16168389747.9</v>
      </c>
      <c r="J566" s="9">
        <f t="shared" si="85"/>
        <v>13823398</v>
      </c>
      <c r="K566" s="21">
        <f t="shared" si="86"/>
        <v>1169.6393135681978</v>
      </c>
      <c r="L566" s="4" t="str">
        <f t="shared" si="82"/>
        <v>BUY</v>
      </c>
      <c r="M566" s="4">
        <f t="shared" si="87"/>
        <v>0</v>
      </c>
      <c r="N566" s="4">
        <f t="shared" si="83"/>
        <v>1</v>
      </c>
      <c r="O566" s="4">
        <f t="shared" si="88"/>
        <v>1168.8</v>
      </c>
      <c r="P566" s="4">
        <f t="shared" si="89"/>
        <v>0</v>
      </c>
    </row>
    <row r="567" spans="1:16" x14ac:dyDescent="0.25">
      <c r="A567" s="1">
        <v>42069</v>
      </c>
      <c r="B567">
        <v>1169</v>
      </c>
      <c r="C567">
        <v>1189.8</v>
      </c>
      <c r="D567">
        <v>1167</v>
      </c>
      <c r="E567" s="7">
        <v>1178.45</v>
      </c>
      <c r="F567">
        <v>1082527</v>
      </c>
      <c r="G567" s="8">
        <f t="shared" si="80"/>
        <v>1178.4166666666667</v>
      </c>
      <c r="H567" s="9">
        <f t="shared" si="81"/>
        <v>1275667858.9166667</v>
      </c>
      <c r="I567" s="9">
        <f t="shared" si="84"/>
        <v>14793994875.449999</v>
      </c>
      <c r="J567" s="9">
        <f t="shared" si="85"/>
        <v>12629304</v>
      </c>
      <c r="K567" s="21">
        <f t="shared" si="86"/>
        <v>1171.4022305148405</v>
      </c>
      <c r="L567" s="4" t="str">
        <f t="shared" si="82"/>
        <v>BUY</v>
      </c>
      <c r="M567" s="4">
        <f t="shared" si="87"/>
        <v>0</v>
      </c>
      <c r="N567" s="4">
        <f t="shared" si="83"/>
        <v>1</v>
      </c>
      <c r="O567" s="4">
        <f t="shared" si="88"/>
        <v>1168.8</v>
      </c>
      <c r="P567" s="4">
        <f t="shared" si="89"/>
        <v>0</v>
      </c>
    </row>
    <row r="568" spans="1:16" x14ac:dyDescent="0.25">
      <c r="A568" s="1">
        <v>42072</v>
      </c>
      <c r="B568">
        <v>1170</v>
      </c>
      <c r="C568">
        <v>1188</v>
      </c>
      <c r="D568">
        <v>1158.25</v>
      </c>
      <c r="E568" s="7">
        <v>1164.0999999999999</v>
      </c>
      <c r="F568">
        <v>788314</v>
      </c>
      <c r="G568" s="8">
        <f t="shared" si="80"/>
        <v>1170.1166666666666</v>
      </c>
      <c r="H568" s="9">
        <f t="shared" si="81"/>
        <v>922419349.96666658</v>
      </c>
      <c r="I568" s="9">
        <f t="shared" si="84"/>
        <v>13710474632.033333</v>
      </c>
      <c r="J568" s="9">
        <f t="shared" si="85"/>
        <v>11706771</v>
      </c>
      <c r="K568" s="21">
        <f t="shared" si="86"/>
        <v>1171.1576686716887</v>
      </c>
      <c r="L568" s="4" t="str">
        <f t="shared" si="82"/>
        <v>SELL</v>
      </c>
      <c r="M568" s="4" t="str">
        <f t="shared" si="87"/>
        <v>SELL</v>
      </c>
      <c r="N568" s="4">
        <f t="shared" si="83"/>
        <v>-1</v>
      </c>
      <c r="O568" s="4">
        <f t="shared" si="88"/>
        <v>1164.0999999999999</v>
      </c>
      <c r="P568" s="4">
        <f t="shared" si="89"/>
        <v>-4.0212183436003131E-3</v>
      </c>
    </row>
    <row r="569" spans="1:16" x14ac:dyDescent="0.25">
      <c r="A569" s="1">
        <v>42073</v>
      </c>
      <c r="B569">
        <v>1166.3</v>
      </c>
      <c r="C569">
        <v>1175.6500000000001</v>
      </c>
      <c r="D569">
        <v>1152.25</v>
      </c>
      <c r="E569" s="7">
        <v>1156.2</v>
      </c>
      <c r="F569">
        <v>766496</v>
      </c>
      <c r="G569" s="8">
        <f t="shared" si="80"/>
        <v>1161.3666666666668</v>
      </c>
      <c r="H569" s="9">
        <f t="shared" si="81"/>
        <v>890182904.53333342</v>
      </c>
      <c r="I569" s="9">
        <f t="shared" si="84"/>
        <v>12736469648.466665</v>
      </c>
      <c r="J569" s="9">
        <f t="shared" si="85"/>
        <v>10894049</v>
      </c>
      <c r="K569" s="21">
        <f t="shared" si="86"/>
        <v>1169.121751560569</v>
      </c>
      <c r="L569" s="4" t="str">
        <f t="shared" si="82"/>
        <v>SELL</v>
      </c>
      <c r="M569" s="4">
        <f t="shared" si="87"/>
        <v>0</v>
      </c>
      <c r="N569" s="4">
        <f t="shared" si="83"/>
        <v>-1</v>
      </c>
      <c r="O569" s="4">
        <f t="shared" si="88"/>
        <v>1164.0999999999999</v>
      </c>
      <c r="P569" s="4">
        <f t="shared" si="89"/>
        <v>0</v>
      </c>
    </row>
    <row r="570" spans="1:16" x14ac:dyDescent="0.25">
      <c r="A570" s="1">
        <v>42074</v>
      </c>
      <c r="B570">
        <v>1149.7</v>
      </c>
      <c r="C570">
        <v>1155</v>
      </c>
      <c r="D570">
        <v>1135.2</v>
      </c>
      <c r="E570" s="7">
        <v>1138.0999999999999</v>
      </c>
      <c r="F570">
        <v>890793</v>
      </c>
      <c r="G570" s="8">
        <f t="shared" si="80"/>
        <v>1142.7666666666667</v>
      </c>
      <c r="H570" s="9">
        <f t="shared" si="81"/>
        <v>1017968547.3</v>
      </c>
      <c r="I570" s="9">
        <f t="shared" si="84"/>
        <v>11972992190.699999</v>
      </c>
      <c r="J570" s="9">
        <f t="shared" si="85"/>
        <v>10258150</v>
      </c>
      <c r="K570" s="21">
        <f t="shared" si="86"/>
        <v>1167.1687575927433</v>
      </c>
      <c r="L570" s="4" t="str">
        <f t="shared" si="82"/>
        <v>SELL</v>
      </c>
      <c r="M570" s="4">
        <f t="shared" si="87"/>
        <v>0</v>
      </c>
      <c r="N570" s="4">
        <f t="shared" si="83"/>
        <v>-1</v>
      </c>
      <c r="O570" s="4">
        <f t="shared" si="88"/>
        <v>1164.0999999999999</v>
      </c>
      <c r="P570" s="4">
        <f t="shared" si="89"/>
        <v>0</v>
      </c>
    </row>
    <row r="571" spans="1:16" x14ac:dyDescent="0.25">
      <c r="A571" s="1">
        <v>42075</v>
      </c>
      <c r="B571">
        <v>1140.25</v>
      </c>
      <c r="C571">
        <v>1148</v>
      </c>
      <c r="D571">
        <v>1129.0999999999999</v>
      </c>
      <c r="E571" s="7">
        <v>1131.6500000000001</v>
      </c>
      <c r="F571">
        <v>1057343</v>
      </c>
      <c r="G571" s="8">
        <f t="shared" si="80"/>
        <v>1136.25</v>
      </c>
      <c r="H571" s="9">
        <f t="shared" si="81"/>
        <v>1201405983.75</v>
      </c>
      <c r="I571" s="9">
        <f t="shared" si="84"/>
        <v>12246240447.433332</v>
      </c>
      <c r="J571" s="9">
        <f t="shared" si="85"/>
        <v>10521370</v>
      </c>
      <c r="K571" s="21">
        <f t="shared" si="86"/>
        <v>1163.9397195834129</v>
      </c>
      <c r="L571" s="4" t="str">
        <f t="shared" si="82"/>
        <v>SELL</v>
      </c>
      <c r="M571" s="4">
        <f t="shared" si="87"/>
        <v>0</v>
      </c>
      <c r="N571" s="4">
        <f t="shared" si="83"/>
        <v>-1</v>
      </c>
      <c r="O571" s="4">
        <f t="shared" si="88"/>
        <v>1164.0999999999999</v>
      </c>
      <c r="P571" s="4">
        <f t="shared" si="89"/>
        <v>0</v>
      </c>
    </row>
    <row r="572" spans="1:16" x14ac:dyDescent="0.25">
      <c r="A572" s="1">
        <v>42076</v>
      </c>
      <c r="B572">
        <v>1091.3499999999999</v>
      </c>
      <c r="C572">
        <v>1104.7</v>
      </c>
      <c r="D572">
        <v>1061.25</v>
      </c>
      <c r="E572" s="7">
        <v>1068.3499999999999</v>
      </c>
      <c r="F572">
        <v>4497340</v>
      </c>
      <c r="G572" s="8">
        <f t="shared" si="80"/>
        <v>1078.0999999999999</v>
      </c>
      <c r="H572" s="9">
        <f t="shared" si="81"/>
        <v>4848582254</v>
      </c>
      <c r="I572" s="9">
        <f t="shared" si="84"/>
        <v>15900332760.9</v>
      </c>
      <c r="J572" s="9">
        <f t="shared" si="85"/>
        <v>13993162</v>
      </c>
      <c r="K572" s="21">
        <f t="shared" si="86"/>
        <v>1136.2930523422797</v>
      </c>
      <c r="L572" s="4" t="str">
        <f t="shared" si="82"/>
        <v>SELL</v>
      </c>
      <c r="M572" s="4">
        <f t="shared" si="87"/>
        <v>0</v>
      </c>
      <c r="N572" s="4">
        <f t="shared" si="83"/>
        <v>-1</v>
      </c>
      <c r="O572" s="4">
        <f t="shared" si="88"/>
        <v>1164.0999999999999</v>
      </c>
      <c r="P572" s="4">
        <f t="shared" si="89"/>
        <v>0</v>
      </c>
    </row>
    <row r="573" spans="1:16" x14ac:dyDescent="0.25">
      <c r="A573" s="1">
        <v>42079</v>
      </c>
      <c r="B573">
        <v>1065.25</v>
      </c>
      <c r="C573">
        <v>1074.3</v>
      </c>
      <c r="D573">
        <v>1053.3</v>
      </c>
      <c r="E573" s="7">
        <v>1069.75</v>
      </c>
      <c r="F573">
        <v>2508055</v>
      </c>
      <c r="G573" s="8">
        <f t="shared" si="80"/>
        <v>1065.7833333333333</v>
      </c>
      <c r="H573" s="9">
        <f t="shared" si="81"/>
        <v>2673043218.0833335</v>
      </c>
      <c r="I573" s="9">
        <f t="shared" si="84"/>
        <v>17037219104.583334</v>
      </c>
      <c r="J573" s="9">
        <f t="shared" si="85"/>
        <v>15160610</v>
      </c>
      <c r="K573" s="21">
        <f t="shared" si="86"/>
        <v>1123.7818995794585</v>
      </c>
      <c r="L573" s="4" t="str">
        <f t="shared" si="82"/>
        <v>SELL</v>
      </c>
      <c r="M573" s="4">
        <f t="shared" si="87"/>
        <v>0</v>
      </c>
      <c r="N573" s="4">
        <f t="shared" si="83"/>
        <v>-1</v>
      </c>
      <c r="O573" s="4">
        <f t="shared" si="88"/>
        <v>1164.0999999999999</v>
      </c>
      <c r="P573" s="4">
        <f t="shared" si="89"/>
        <v>0</v>
      </c>
    </row>
    <row r="574" spans="1:16" x14ac:dyDescent="0.25">
      <c r="A574" s="1">
        <v>42080</v>
      </c>
      <c r="B574">
        <v>1085</v>
      </c>
      <c r="C574">
        <v>1094.95</v>
      </c>
      <c r="D574">
        <v>1073.8</v>
      </c>
      <c r="E574" s="7">
        <v>1090.8499999999999</v>
      </c>
      <c r="F574">
        <v>1236832</v>
      </c>
      <c r="G574" s="8">
        <f t="shared" si="80"/>
        <v>1086.5333333333333</v>
      </c>
      <c r="H574" s="9">
        <f t="shared" si="81"/>
        <v>1343859195.7333333</v>
      </c>
      <c r="I574" s="9">
        <f t="shared" si="84"/>
        <v>16901679842.466669</v>
      </c>
      <c r="J574" s="9">
        <f t="shared" si="85"/>
        <v>15125771</v>
      </c>
      <c r="K574" s="21">
        <f t="shared" si="86"/>
        <v>1117.4094756866721</v>
      </c>
      <c r="L574" s="4" t="str">
        <f t="shared" si="82"/>
        <v>SELL</v>
      </c>
      <c r="M574" s="4">
        <f t="shared" si="87"/>
        <v>0</v>
      </c>
      <c r="N574" s="4">
        <f t="shared" si="83"/>
        <v>-1</v>
      </c>
      <c r="O574" s="4">
        <f t="shared" si="88"/>
        <v>1164.0999999999999</v>
      </c>
      <c r="P574" s="4">
        <f t="shared" si="89"/>
        <v>0</v>
      </c>
    </row>
    <row r="575" spans="1:16" x14ac:dyDescent="0.25">
      <c r="A575" s="1">
        <v>42081</v>
      </c>
      <c r="B575">
        <v>1100</v>
      </c>
      <c r="C575">
        <v>1114.7</v>
      </c>
      <c r="D575">
        <v>1093.8499999999999</v>
      </c>
      <c r="E575" s="7">
        <v>1097.55</v>
      </c>
      <c r="F575">
        <v>1441132</v>
      </c>
      <c r="G575" s="8">
        <f t="shared" si="80"/>
        <v>1102.0333333333335</v>
      </c>
      <c r="H575" s="9">
        <f t="shared" si="81"/>
        <v>1588175501.7333336</v>
      </c>
      <c r="I575" s="9">
        <f t="shared" si="84"/>
        <v>17107915345.700003</v>
      </c>
      <c r="J575" s="9">
        <f t="shared" si="85"/>
        <v>15403409</v>
      </c>
      <c r="K575" s="21">
        <f t="shared" si="86"/>
        <v>1110.6577346417278</v>
      </c>
      <c r="L575" s="4" t="str">
        <f t="shared" si="82"/>
        <v>SELL</v>
      </c>
      <c r="M575" s="4">
        <f t="shared" si="87"/>
        <v>0</v>
      </c>
      <c r="N575" s="4">
        <f t="shared" si="83"/>
        <v>-1</v>
      </c>
      <c r="O575" s="4">
        <f t="shared" si="88"/>
        <v>1164.0999999999999</v>
      </c>
      <c r="P575" s="4">
        <f t="shared" si="89"/>
        <v>0</v>
      </c>
    </row>
    <row r="576" spans="1:16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 s="7">
        <v>1102.95</v>
      </c>
      <c r="F576">
        <v>883708</v>
      </c>
      <c r="G576" s="8">
        <f t="shared" si="80"/>
        <v>1100.2833333333331</v>
      </c>
      <c r="H576" s="9">
        <f t="shared" si="81"/>
        <v>972329183.93333316</v>
      </c>
      <c r="I576" s="9">
        <f t="shared" si="84"/>
        <v>16733633997.950001</v>
      </c>
      <c r="J576" s="9">
        <f t="shared" si="85"/>
        <v>15152540</v>
      </c>
      <c r="K576" s="21">
        <f t="shared" si="86"/>
        <v>1104.3451459590274</v>
      </c>
      <c r="L576" s="4" t="str">
        <f t="shared" si="82"/>
        <v>SELL</v>
      </c>
      <c r="M576" s="4">
        <f t="shared" si="87"/>
        <v>0</v>
      </c>
      <c r="N576" s="4">
        <f t="shared" si="83"/>
        <v>-1</v>
      </c>
      <c r="O576" s="4">
        <f t="shared" si="88"/>
        <v>1164.0999999999999</v>
      </c>
      <c r="P576" s="4">
        <f t="shared" si="89"/>
        <v>0</v>
      </c>
    </row>
    <row r="577" spans="1:16" x14ac:dyDescent="0.25">
      <c r="A577" s="1">
        <v>42083</v>
      </c>
      <c r="B577">
        <v>1093.25</v>
      </c>
      <c r="C577">
        <v>1107.95</v>
      </c>
      <c r="D577">
        <v>1077.4000000000001</v>
      </c>
      <c r="E577" s="7">
        <v>1088.45</v>
      </c>
      <c r="F577">
        <v>1225012</v>
      </c>
      <c r="G577" s="8">
        <f t="shared" si="80"/>
        <v>1091.2666666666667</v>
      </c>
      <c r="H577" s="9">
        <f t="shared" si="81"/>
        <v>1336814761.8666666</v>
      </c>
      <c r="I577" s="9">
        <f t="shared" si="84"/>
        <v>16794780900.9</v>
      </c>
      <c r="J577" s="9">
        <f t="shared" si="85"/>
        <v>15295025</v>
      </c>
      <c r="K577" s="21">
        <f t="shared" si="86"/>
        <v>1098.0551454410829</v>
      </c>
      <c r="L577" s="4" t="str">
        <f t="shared" si="82"/>
        <v>SELL</v>
      </c>
      <c r="M577" s="4">
        <f t="shared" si="87"/>
        <v>0</v>
      </c>
      <c r="N577" s="4">
        <f t="shared" si="83"/>
        <v>-1</v>
      </c>
      <c r="O577" s="4">
        <f t="shared" si="88"/>
        <v>1164.0999999999999</v>
      </c>
      <c r="P577" s="4">
        <f t="shared" si="89"/>
        <v>0</v>
      </c>
    </row>
    <row r="578" spans="1:16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 s="7">
        <v>1064.25</v>
      </c>
      <c r="F578">
        <v>1421934</v>
      </c>
      <c r="G578" s="8">
        <f t="shared" ref="G578:G641" si="90">AVERAGE(C578:E578)</f>
        <v>1071.4333333333334</v>
      </c>
      <c r="H578" s="9">
        <f t="shared" si="81"/>
        <v>1523507485.4000001</v>
      </c>
      <c r="I578" s="9">
        <f t="shared" si="84"/>
        <v>17395869036.333336</v>
      </c>
      <c r="J578" s="9">
        <f t="shared" si="85"/>
        <v>15928645</v>
      </c>
      <c r="K578" s="21">
        <f t="shared" si="86"/>
        <v>1092.1122943184016</v>
      </c>
      <c r="L578" s="4" t="str">
        <f t="shared" si="82"/>
        <v>SELL</v>
      </c>
      <c r="M578" s="4">
        <f t="shared" si="87"/>
        <v>0</v>
      </c>
      <c r="N578" s="4">
        <f t="shared" si="83"/>
        <v>-1</v>
      </c>
      <c r="O578" s="4">
        <f t="shared" si="88"/>
        <v>1164.0999999999999</v>
      </c>
      <c r="P578" s="4">
        <f t="shared" si="89"/>
        <v>0</v>
      </c>
    </row>
    <row r="579" spans="1:16" x14ac:dyDescent="0.25">
      <c r="A579" s="1">
        <v>42087</v>
      </c>
      <c r="B579">
        <v>1122</v>
      </c>
      <c r="C579">
        <v>1205</v>
      </c>
      <c r="D579">
        <v>1117.3</v>
      </c>
      <c r="E579" s="7">
        <v>1194.2</v>
      </c>
      <c r="F579">
        <v>9056891</v>
      </c>
      <c r="G579" s="8">
        <f t="shared" si="90"/>
        <v>1172.1666666666667</v>
      </c>
      <c r="H579" s="9">
        <f t="shared" ref="H579:H642" si="91">G579*F579</f>
        <v>10616185733.833334</v>
      </c>
      <c r="I579" s="9">
        <f t="shared" si="84"/>
        <v>27121871865.633331</v>
      </c>
      <c r="J579" s="9">
        <f t="shared" si="85"/>
        <v>24219040</v>
      </c>
      <c r="K579" s="21">
        <f t="shared" si="86"/>
        <v>1119.8574289333239</v>
      </c>
      <c r="L579" s="4" t="str">
        <f t="shared" si="82"/>
        <v>BUY</v>
      </c>
      <c r="M579" s="4" t="str">
        <f t="shared" si="87"/>
        <v>BUY</v>
      </c>
      <c r="N579" s="4">
        <f t="shared" si="83"/>
        <v>1</v>
      </c>
      <c r="O579" s="4">
        <f t="shared" si="88"/>
        <v>1194.2</v>
      </c>
      <c r="P579" s="4">
        <f t="shared" si="89"/>
        <v>-2.5856885147324232E-2</v>
      </c>
    </row>
    <row r="580" spans="1:16" x14ac:dyDescent="0.25">
      <c r="A580" s="1">
        <v>42088</v>
      </c>
      <c r="B580">
        <v>1189</v>
      </c>
      <c r="C580">
        <v>1190</v>
      </c>
      <c r="D580">
        <v>1167.5</v>
      </c>
      <c r="E580" s="7">
        <v>1171.05</v>
      </c>
      <c r="F580">
        <v>2708949</v>
      </c>
      <c r="G580" s="8">
        <f t="shared" si="90"/>
        <v>1176.1833333333334</v>
      </c>
      <c r="H580" s="9">
        <f t="shared" si="91"/>
        <v>3186220664.6500001</v>
      </c>
      <c r="I580" s="9">
        <f t="shared" si="84"/>
        <v>29290123982.983337</v>
      </c>
      <c r="J580" s="9">
        <f t="shared" si="85"/>
        <v>26037196</v>
      </c>
      <c r="K580" s="21">
        <f t="shared" si="86"/>
        <v>1124.9338823959131</v>
      </c>
      <c r="L580" s="4" t="str">
        <f t="shared" si="82"/>
        <v>BUY</v>
      </c>
      <c r="M580" s="4">
        <f t="shared" si="87"/>
        <v>0</v>
      </c>
      <c r="N580" s="4">
        <f t="shared" si="83"/>
        <v>1</v>
      </c>
      <c r="O580" s="4">
        <f t="shared" si="88"/>
        <v>1194.2</v>
      </c>
      <c r="P580" s="4">
        <f t="shared" si="89"/>
        <v>0</v>
      </c>
    </row>
    <row r="581" spans="1:16" x14ac:dyDescent="0.25">
      <c r="A581" s="1">
        <v>42089</v>
      </c>
      <c r="B581">
        <v>1170</v>
      </c>
      <c r="C581">
        <v>1201.9000000000001</v>
      </c>
      <c r="D581">
        <v>1164.5</v>
      </c>
      <c r="E581" s="7">
        <v>1194.6500000000001</v>
      </c>
      <c r="F581">
        <v>2738146</v>
      </c>
      <c r="G581" s="8">
        <f t="shared" si="90"/>
        <v>1187.0166666666667</v>
      </c>
      <c r="H581" s="9">
        <f t="shared" si="91"/>
        <v>3250224937.7666664</v>
      </c>
      <c r="I581" s="9">
        <f t="shared" si="84"/>
        <v>31338942937.000004</v>
      </c>
      <c r="J581" s="9">
        <f t="shared" si="85"/>
        <v>27717999</v>
      </c>
      <c r="K581" s="21">
        <f t="shared" si="86"/>
        <v>1130.6351131984673</v>
      </c>
      <c r="L581" s="4" t="str">
        <f t="shared" si="82"/>
        <v>BUY</v>
      </c>
      <c r="M581" s="4">
        <f t="shared" si="87"/>
        <v>0</v>
      </c>
      <c r="N581" s="4">
        <f t="shared" si="83"/>
        <v>1</v>
      </c>
      <c r="O581" s="4">
        <f t="shared" si="88"/>
        <v>1194.2</v>
      </c>
      <c r="P581" s="4">
        <f t="shared" si="89"/>
        <v>0</v>
      </c>
    </row>
    <row r="582" spans="1:16" x14ac:dyDescent="0.25">
      <c r="A582" s="1">
        <v>42090</v>
      </c>
      <c r="B582">
        <v>1190</v>
      </c>
      <c r="C582">
        <v>1212</v>
      </c>
      <c r="D582">
        <v>1190</v>
      </c>
      <c r="E582" s="7">
        <v>1204</v>
      </c>
      <c r="F582">
        <v>1855573</v>
      </c>
      <c r="G582" s="8">
        <f t="shared" si="90"/>
        <v>1202</v>
      </c>
      <c r="H582" s="9">
        <f t="shared" si="91"/>
        <v>2230398746</v>
      </c>
      <c r="I582" s="9">
        <f t="shared" si="84"/>
        <v>28720759429.000004</v>
      </c>
      <c r="J582" s="9">
        <f t="shared" si="85"/>
        <v>25076232</v>
      </c>
      <c r="K582" s="21">
        <f t="shared" si="86"/>
        <v>1145.3379211438148</v>
      </c>
      <c r="L582" s="4" t="str">
        <f t="shared" si="82"/>
        <v>BUY</v>
      </c>
      <c r="M582" s="4">
        <f t="shared" si="87"/>
        <v>0</v>
      </c>
      <c r="N582" s="4">
        <f t="shared" si="83"/>
        <v>1</v>
      </c>
      <c r="O582" s="4">
        <f t="shared" si="88"/>
        <v>1194.2</v>
      </c>
      <c r="P582" s="4">
        <f t="shared" si="89"/>
        <v>0</v>
      </c>
    </row>
    <row r="583" spans="1:16" x14ac:dyDescent="0.25">
      <c r="A583" s="1">
        <v>42093</v>
      </c>
      <c r="B583">
        <v>1200</v>
      </c>
      <c r="C583">
        <v>1205</v>
      </c>
      <c r="D583">
        <v>1196.0999999999999</v>
      </c>
      <c r="E583" s="7">
        <v>1201.8499999999999</v>
      </c>
      <c r="F583">
        <v>51873</v>
      </c>
      <c r="G583" s="8">
        <f t="shared" si="90"/>
        <v>1200.9833333333333</v>
      </c>
      <c r="H583" s="9">
        <f t="shared" si="91"/>
        <v>62298608.450000003</v>
      </c>
      <c r="I583" s="9">
        <f t="shared" si="84"/>
        <v>26110014819.366669</v>
      </c>
      <c r="J583" s="9">
        <f t="shared" si="85"/>
        <v>22620050</v>
      </c>
      <c r="K583" s="21">
        <f t="shared" si="86"/>
        <v>1154.2863441666427</v>
      </c>
      <c r="L583" s="4" t="str">
        <f t="shared" si="82"/>
        <v>BUY</v>
      </c>
      <c r="M583" s="4">
        <f t="shared" si="87"/>
        <v>0</v>
      </c>
      <c r="N583" s="4">
        <f t="shared" si="83"/>
        <v>1</v>
      </c>
      <c r="O583" s="4">
        <f t="shared" si="88"/>
        <v>1194.2</v>
      </c>
      <c r="P583" s="4">
        <f t="shared" si="89"/>
        <v>0</v>
      </c>
    </row>
    <row r="584" spans="1:16" x14ac:dyDescent="0.25">
      <c r="A584" s="1">
        <v>42094</v>
      </c>
      <c r="B584">
        <v>1204</v>
      </c>
      <c r="C584">
        <v>1250</v>
      </c>
      <c r="D584">
        <v>1204</v>
      </c>
      <c r="E584" s="7">
        <v>1246.5999999999999</v>
      </c>
      <c r="F584">
        <v>2302411</v>
      </c>
      <c r="G584" s="8">
        <f t="shared" si="90"/>
        <v>1233.5333333333333</v>
      </c>
      <c r="H584" s="9">
        <f t="shared" si="91"/>
        <v>2840100715.5333333</v>
      </c>
      <c r="I584" s="9">
        <f t="shared" si="84"/>
        <v>27606256339.166668</v>
      </c>
      <c r="J584" s="9">
        <f t="shared" si="85"/>
        <v>23685629</v>
      </c>
      <c r="K584" s="21">
        <f t="shared" si="86"/>
        <v>1165.5276851278329</v>
      </c>
      <c r="L584" s="4" t="str">
        <f t="shared" si="82"/>
        <v>BUY</v>
      </c>
      <c r="M584" s="4">
        <f t="shared" si="87"/>
        <v>0</v>
      </c>
      <c r="N584" s="4">
        <f t="shared" si="83"/>
        <v>1</v>
      </c>
      <c r="O584" s="4">
        <f t="shared" si="88"/>
        <v>1194.2</v>
      </c>
      <c r="P584" s="4">
        <f t="shared" si="89"/>
        <v>0</v>
      </c>
    </row>
    <row r="585" spans="1:16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 s="7">
        <v>1267.25</v>
      </c>
      <c r="F585">
        <v>1990724</v>
      </c>
      <c r="G585" s="8">
        <f t="shared" si="90"/>
        <v>1261.25</v>
      </c>
      <c r="H585" s="9">
        <f t="shared" si="91"/>
        <v>2510800645</v>
      </c>
      <c r="I585" s="9">
        <f t="shared" si="84"/>
        <v>28528881482.433334</v>
      </c>
      <c r="J585" s="9">
        <f t="shared" si="85"/>
        <v>24235221</v>
      </c>
      <c r="K585" s="21">
        <f t="shared" si="86"/>
        <v>1177.1661369390167</v>
      </c>
      <c r="L585" s="4" t="str">
        <f t="shared" si="82"/>
        <v>BUY</v>
      </c>
      <c r="M585" s="4">
        <f t="shared" si="87"/>
        <v>0</v>
      </c>
      <c r="N585" s="4">
        <f t="shared" si="83"/>
        <v>1</v>
      </c>
      <c r="O585" s="4">
        <f t="shared" si="88"/>
        <v>1194.2</v>
      </c>
      <c r="P585" s="4">
        <f t="shared" si="89"/>
        <v>0</v>
      </c>
    </row>
    <row r="586" spans="1:16" x14ac:dyDescent="0.25">
      <c r="A586" s="1">
        <v>42096</v>
      </c>
      <c r="B586">
        <v>1262.7</v>
      </c>
      <c r="C586">
        <v>1284.0999999999999</v>
      </c>
      <c r="D586">
        <v>1258.55</v>
      </c>
      <c r="E586" s="7">
        <v>1279.5</v>
      </c>
      <c r="F586">
        <v>1679461</v>
      </c>
      <c r="G586" s="8">
        <f t="shared" si="90"/>
        <v>1274.05</v>
      </c>
      <c r="H586" s="9">
        <f t="shared" si="91"/>
        <v>2139717287.05</v>
      </c>
      <c r="I586" s="9">
        <f t="shared" si="84"/>
        <v>29696269585.549999</v>
      </c>
      <c r="J586" s="9">
        <f t="shared" si="85"/>
        <v>25030974</v>
      </c>
      <c r="K586" s="21">
        <f t="shared" si="86"/>
        <v>1186.3809049360204</v>
      </c>
      <c r="L586" s="4" t="str">
        <f t="shared" si="82"/>
        <v>BUY</v>
      </c>
      <c r="M586" s="4">
        <f t="shared" si="87"/>
        <v>0</v>
      </c>
      <c r="N586" s="4">
        <f t="shared" si="83"/>
        <v>1</v>
      </c>
      <c r="O586" s="4">
        <f t="shared" si="88"/>
        <v>1194.2</v>
      </c>
      <c r="P586" s="4">
        <f t="shared" si="89"/>
        <v>0</v>
      </c>
    </row>
    <row r="587" spans="1:16" x14ac:dyDescent="0.25">
      <c r="A587" s="1">
        <v>42097</v>
      </c>
      <c r="B587">
        <v>1280</v>
      </c>
      <c r="C587">
        <v>1295.25</v>
      </c>
      <c r="D587">
        <v>1263.05</v>
      </c>
      <c r="E587" s="7">
        <v>1276.8</v>
      </c>
      <c r="F587">
        <v>1785859</v>
      </c>
      <c r="G587" s="8">
        <f t="shared" si="90"/>
        <v>1278.3666666666668</v>
      </c>
      <c r="H587" s="9">
        <f t="shared" si="91"/>
        <v>2282982616.9666667</v>
      </c>
      <c r="I587" s="9">
        <f t="shared" si="84"/>
        <v>30642437440.650002</v>
      </c>
      <c r="J587" s="9">
        <f t="shared" si="85"/>
        <v>25591821</v>
      </c>
      <c r="K587" s="21">
        <f t="shared" si="86"/>
        <v>1197.3527573770543</v>
      </c>
      <c r="L587" s="4" t="str">
        <f t="shared" ref="L587:L650" si="92">IF(E587&gt;K587,"BUY",IF(E587&lt;K587,"SELL",0))</f>
        <v>BUY</v>
      </c>
      <c r="M587" s="4">
        <f t="shared" si="87"/>
        <v>0</v>
      </c>
      <c r="N587" s="4">
        <f t="shared" ref="N587:N650" si="93">IF(M587="BUY",1,IF(M587="SELL",-1,N586))</f>
        <v>1</v>
      </c>
      <c r="O587" s="4">
        <f t="shared" si="88"/>
        <v>1194.2</v>
      </c>
      <c r="P587" s="4">
        <f t="shared" si="89"/>
        <v>0</v>
      </c>
    </row>
    <row r="588" spans="1:16" x14ac:dyDescent="0.25">
      <c r="A588" s="1">
        <v>42100</v>
      </c>
      <c r="B588">
        <v>1260</v>
      </c>
      <c r="C588">
        <v>1278.5</v>
      </c>
      <c r="D588">
        <v>1248.4000000000001</v>
      </c>
      <c r="E588" s="7">
        <v>1273.25</v>
      </c>
      <c r="F588">
        <v>1313881</v>
      </c>
      <c r="G588" s="8">
        <f t="shared" si="90"/>
        <v>1266.7166666666667</v>
      </c>
      <c r="H588" s="9">
        <f t="shared" si="91"/>
        <v>1664314960.7166667</v>
      </c>
      <c r="I588" s="9">
        <f t="shared" ref="I588:I651" si="94">SUM(H579:H588)</f>
        <v>30783244915.966667</v>
      </c>
      <c r="J588" s="9">
        <f t="shared" ref="J588:J651" si="95">SUM(F579:F588)</f>
        <v>25483768</v>
      </c>
      <c r="K588" s="21">
        <f t="shared" ref="K588:K651" si="96">I588/J588</f>
        <v>1207.9549977054676</v>
      </c>
      <c r="L588" s="4" t="str">
        <f t="shared" si="92"/>
        <v>BUY</v>
      </c>
      <c r="M588" s="4">
        <f t="shared" ref="M588:M651" si="97">IF(L588&lt;&gt;L587,L588,0)</f>
        <v>0</v>
      </c>
      <c r="N588" s="4">
        <f t="shared" si="93"/>
        <v>1</v>
      </c>
      <c r="O588" s="4">
        <f t="shared" ref="O588:O651" si="98">IF(M588&lt;&gt;0,E588,O587)</f>
        <v>1194.2</v>
      </c>
      <c r="P588" s="4">
        <f t="shared" ref="P588:P651" si="99">IF(M588="BUY",(O587-O588)/O587,IF(M588="SELL",(O588-O587)/O587,0))</f>
        <v>0</v>
      </c>
    </row>
    <row r="589" spans="1:16" x14ac:dyDescent="0.25">
      <c r="A589" s="1">
        <v>42101</v>
      </c>
      <c r="B589">
        <v>1225</v>
      </c>
      <c r="C589">
        <v>1234.7</v>
      </c>
      <c r="D589">
        <v>1195.6500000000001</v>
      </c>
      <c r="E589" s="7">
        <v>1200.7</v>
      </c>
      <c r="F589">
        <v>4815789</v>
      </c>
      <c r="G589" s="8">
        <f t="shared" si="90"/>
        <v>1210.3500000000001</v>
      </c>
      <c r="H589" s="9">
        <f t="shared" si="91"/>
        <v>5828790216.1500006</v>
      </c>
      <c r="I589" s="9">
        <f t="shared" si="94"/>
        <v>25995849398.283333</v>
      </c>
      <c r="J589" s="9">
        <f t="shared" si="95"/>
        <v>21242666</v>
      </c>
      <c r="K589" s="21">
        <f t="shared" si="96"/>
        <v>1223.7564436725283</v>
      </c>
      <c r="L589" s="4" t="str">
        <f t="shared" si="92"/>
        <v>SELL</v>
      </c>
      <c r="M589" s="4" t="str">
        <f t="shared" si="97"/>
        <v>SELL</v>
      </c>
      <c r="N589" s="4">
        <f t="shared" si="93"/>
        <v>-1</v>
      </c>
      <c r="O589" s="4">
        <f t="shared" si="98"/>
        <v>1200.7</v>
      </c>
      <c r="P589" s="4">
        <f t="shared" si="99"/>
        <v>5.442974376151398E-3</v>
      </c>
    </row>
    <row r="590" spans="1:16" x14ac:dyDescent="0.25">
      <c r="A590" s="1">
        <v>42102</v>
      </c>
      <c r="B590">
        <v>1195</v>
      </c>
      <c r="C590">
        <v>1234.5999999999999</v>
      </c>
      <c r="D590">
        <v>1194.0999999999999</v>
      </c>
      <c r="E590" s="7">
        <v>1225.55</v>
      </c>
      <c r="F590">
        <v>4635772</v>
      </c>
      <c r="G590" s="8">
        <f t="shared" si="90"/>
        <v>1218.0833333333333</v>
      </c>
      <c r="H590" s="9">
        <f t="shared" si="91"/>
        <v>5646756610.333333</v>
      </c>
      <c r="I590" s="9">
        <f t="shared" si="94"/>
        <v>28456385343.966667</v>
      </c>
      <c r="J590" s="9">
        <f t="shared" si="95"/>
        <v>23169489</v>
      </c>
      <c r="K590" s="21">
        <f t="shared" si="96"/>
        <v>1228.183553981992</v>
      </c>
      <c r="L590" s="4" t="str">
        <f t="shared" si="92"/>
        <v>SELL</v>
      </c>
      <c r="M590" s="4">
        <f t="shared" si="97"/>
        <v>0</v>
      </c>
      <c r="N590" s="4">
        <f t="shared" si="93"/>
        <v>-1</v>
      </c>
      <c r="O590" s="4">
        <f t="shared" si="98"/>
        <v>1200.7</v>
      </c>
      <c r="P590" s="4">
        <f t="shared" si="99"/>
        <v>0</v>
      </c>
    </row>
    <row r="591" spans="1:16" x14ac:dyDescent="0.25">
      <c r="A591" s="1">
        <v>42103</v>
      </c>
      <c r="B591">
        <v>1225.55</v>
      </c>
      <c r="C591">
        <v>1241.8</v>
      </c>
      <c r="D591">
        <v>1225</v>
      </c>
      <c r="E591" s="7">
        <v>1232.55</v>
      </c>
      <c r="F591">
        <v>1496310</v>
      </c>
      <c r="G591" s="8">
        <f t="shared" si="90"/>
        <v>1233.1166666666668</v>
      </c>
      <c r="H591" s="9">
        <f t="shared" si="91"/>
        <v>1845124799.5000002</v>
      </c>
      <c r="I591" s="9">
        <f t="shared" si="94"/>
        <v>27051285205.700001</v>
      </c>
      <c r="J591" s="9">
        <f t="shared" si="95"/>
        <v>21927653</v>
      </c>
      <c r="K591" s="21">
        <f t="shared" si="96"/>
        <v>1233.660766416725</v>
      </c>
      <c r="L591" s="4" t="str">
        <f t="shared" si="92"/>
        <v>SELL</v>
      </c>
      <c r="M591" s="4">
        <f t="shared" si="97"/>
        <v>0</v>
      </c>
      <c r="N591" s="4">
        <f t="shared" si="93"/>
        <v>-1</v>
      </c>
      <c r="O591" s="4">
        <f t="shared" si="98"/>
        <v>1200.7</v>
      </c>
      <c r="P591" s="4">
        <f t="shared" si="99"/>
        <v>0</v>
      </c>
    </row>
    <row r="592" spans="1:16" x14ac:dyDescent="0.25">
      <c r="A592" s="1">
        <v>42104</v>
      </c>
      <c r="B592">
        <v>1224</v>
      </c>
      <c r="C592">
        <v>1236.9000000000001</v>
      </c>
      <c r="D592">
        <v>1221.2</v>
      </c>
      <c r="E592" s="7">
        <v>1230.75</v>
      </c>
      <c r="F592">
        <v>1372595</v>
      </c>
      <c r="G592" s="8">
        <f t="shared" si="90"/>
        <v>1229.6166666666668</v>
      </c>
      <c r="H592" s="9">
        <f t="shared" si="91"/>
        <v>1687765688.5833335</v>
      </c>
      <c r="I592" s="9">
        <f t="shared" si="94"/>
        <v>26508652148.283333</v>
      </c>
      <c r="J592" s="9">
        <f t="shared" si="95"/>
        <v>21444675</v>
      </c>
      <c r="K592" s="21">
        <f t="shared" si="96"/>
        <v>1236.1414732693936</v>
      </c>
      <c r="L592" s="4" t="str">
        <f t="shared" si="92"/>
        <v>SELL</v>
      </c>
      <c r="M592" s="4">
        <f t="shared" si="97"/>
        <v>0</v>
      </c>
      <c r="N592" s="4">
        <f t="shared" si="93"/>
        <v>-1</v>
      </c>
      <c r="O592" s="4">
        <f t="shared" si="98"/>
        <v>1200.7</v>
      </c>
      <c r="P592" s="4">
        <f t="shared" si="99"/>
        <v>0</v>
      </c>
    </row>
    <row r="593" spans="1:16" x14ac:dyDescent="0.25">
      <c r="A593" s="1">
        <v>42107</v>
      </c>
      <c r="B593">
        <v>1227.3</v>
      </c>
      <c r="C593">
        <v>1234</v>
      </c>
      <c r="D593">
        <v>1220</v>
      </c>
      <c r="E593" s="7">
        <v>1225.95</v>
      </c>
      <c r="F593">
        <v>1286876</v>
      </c>
      <c r="G593" s="8">
        <f t="shared" si="90"/>
        <v>1226.6499999999999</v>
      </c>
      <c r="H593" s="9">
        <f t="shared" si="91"/>
        <v>1578546445.3999999</v>
      </c>
      <c r="I593" s="9">
        <f t="shared" si="94"/>
        <v>28024899985.233334</v>
      </c>
      <c r="J593" s="9">
        <f t="shared" si="95"/>
        <v>22679678</v>
      </c>
      <c r="K593" s="21">
        <f t="shared" si="96"/>
        <v>1235.6833278335491</v>
      </c>
      <c r="L593" s="4" t="str">
        <f t="shared" si="92"/>
        <v>SELL</v>
      </c>
      <c r="M593" s="4">
        <f t="shared" si="97"/>
        <v>0</v>
      </c>
      <c r="N593" s="4">
        <f t="shared" si="93"/>
        <v>-1</v>
      </c>
      <c r="O593" s="4">
        <f t="shared" si="98"/>
        <v>1200.7</v>
      </c>
      <c r="P593" s="4">
        <f t="shared" si="99"/>
        <v>0</v>
      </c>
    </row>
    <row r="594" spans="1:16" x14ac:dyDescent="0.25">
      <c r="A594" s="1">
        <v>42108</v>
      </c>
      <c r="B594">
        <v>1224</v>
      </c>
      <c r="C594">
        <v>1233</v>
      </c>
      <c r="D594">
        <v>1219.8</v>
      </c>
      <c r="E594" s="7">
        <v>1226.3</v>
      </c>
      <c r="F594">
        <v>937755</v>
      </c>
      <c r="G594" s="8">
        <f t="shared" si="90"/>
        <v>1226.3666666666668</v>
      </c>
      <c r="H594" s="9">
        <f t="shared" si="91"/>
        <v>1150031473.5</v>
      </c>
      <c r="I594" s="9">
        <f t="shared" si="94"/>
        <v>26334830743.200001</v>
      </c>
      <c r="J594" s="9">
        <f t="shared" si="95"/>
        <v>21315022</v>
      </c>
      <c r="K594" s="21">
        <f t="shared" si="96"/>
        <v>1235.5056796657307</v>
      </c>
      <c r="L594" s="4" t="str">
        <f t="shared" si="92"/>
        <v>SELL</v>
      </c>
      <c r="M594" s="4">
        <f t="shared" si="97"/>
        <v>0</v>
      </c>
      <c r="N594" s="4">
        <f t="shared" si="93"/>
        <v>-1</v>
      </c>
      <c r="O594" s="4">
        <f t="shared" si="98"/>
        <v>1200.7</v>
      </c>
      <c r="P594" s="4">
        <f t="shared" si="99"/>
        <v>0</v>
      </c>
    </row>
    <row r="595" spans="1:16" x14ac:dyDescent="0.25">
      <c r="A595" s="1">
        <v>42109</v>
      </c>
      <c r="B595">
        <v>1220</v>
      </c>
      <c r="C595">
        <v>1241.9000000000001</v>
      </c>
      <c r="D595">
        <v>1206.75</v>
      </c>
      <c r="E595" s="7">
        <v>1223.4000000000001</v>
      </c>
      <c r="F595">
        <v>2283968</v>
      </c>
      <c r="G595" s="8">
        <f t="shared" si="90"/>
        <v>1224.0166666666667</v>
      </c>
      <c r="H595" s="9">
        <f t="shared" si="91"/>
        <v>2795614898.1333332</v>
      </c>
      <c r="I595" s="9">
        <f t="shared" si="94"/>
        <v>26619644996.333336</v>
      </c>
      <c r="J595" s="9">
        <f t="shared" si="95"/>
        <v>21608266</v>
      </c>
      <c r="K595" s="21">
        <f t="shared" si="96"/>
        <v>1231.9195346972003</v>
      </c>
      <c r="L595" s="4" t="str">
        <f t="shared" si="92"/>
        <v>SELL</v>
      </c>
      <c r="M595" s="4">
        <f t="shared" si="97"/>
        <v>0</v>
      </c>
      <c r="N595" s="4">
        <f t="shared" si="93"/>
        <v>-1</v>
      </c>
      <c r="O595" s="4">
        <f t="shared" si="98"/>
        <v>1200.7</v>
      </c>
      <c r="P595" s="4">
        <f t="shared" si="99"/>
        <v>0</v>
      </c>
    </row>
    <row r="596" spans="1:16" x14ac:dyDescent="0.25">
      <c r="A596" s="1">
        <v>42110</v>
      </c>
      <c r="B596">
        <v>1222</v>
      </c>
      <c r="C596">
        <v>1235</v>
      </c>
      <c r="D596">
        <v>1199.05</v>
      </c>
      <c r="E596" s="7">
        <v>1222</v>
      </c>
      <c r="F596">
        <v>2068762</v>
      </c>
      <c r="G596" s="8">
        <f t="shared" si="90"/>
        <v>1218.6833333333334</v>
      </c>
      <c r="H596" s="9">
        <f t="shared" si="91"/>
        <v>2521165770.0333333</v>
      </c>
      <c r="I596" s="9">
        <f t="shared" si="94"/>
        <v>27001093479.316666</v>
      </c>
      <c r="J596" s="9">
        <f t="shared" si="95"/>
        <v>21997567</v>
      </c>
      <c r="K596" s="21">
        <f t="shared" si="96"/>
        <v>1227.4581765936507</v>
      </c>
      <c r="L596" s="4" t="str">
        <f t="shared" si="92"/>
        <v>SELL</v>
      </c>
      <c r="M596" s="4">
        <f t="shared" si="97"/>
        <v>0</v>
      </c>
      <c r="N596" s="4">
        <f t="shared" si="93"/>
        <v>-1</v>
      </c>
      <c r="O596" s="4">
        <f t="shared" si="98"/>
        <v>1200.7</v>
      </c>
      <c r="P596" s="4">
        <f t="shared" si="99"/>
        <v>0</v>
      </c>
    </row>
    <row r="597" spans="1:16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 s="7">
        <v>1210.6500000000001</v>
      </c>
      <c r="F597">
        <v>1328335</v>
      </c>
      <c r="G597" s="8">
        <f t="shared" si="90"/>
        <v>1212.7333333333333</v>
      </c>
      <c r="H597" s="9">
        <f t="shared" si="91"/>
        <v>1610916132.3333333</v>
      </c>
      <c r="I597" s="9">
        <f t="shared" si="94"/>
        <v>26329026994.683331</v>
      </c>
      <c r="J597" s="9">
        <f t="shared" si="95"/>
        <v>21540043</v>
      </c>
      <c r="K597" s="21">
        <f t="shared" si="96"/>
        <v>1222.3293609341138</v>
      </c>
      <c r="L597" s="4" t="str">
        <f t="shared" si="92"/>
        <v>SELL</v>
      </c>
      <c r="M597" s="4">
        <f t="shared" si="97"/>
        <v>0</v>
      </c>
      <c r="N597" s="4">
        <f t="shared" si="93"/>
        <v>-1</v>
      </c>
      <c r="O597" s="4">
        <f t="shared" si="98"/>
        <v>1200.7</v>
      </c>
      <c r="P597" s="4">
        <f t="shared" si="99"/>
        <v>0</v>
      </c>
    </row>
    <row r="598" spans="1:16" x14ac:dyDescent="0.25">
      <c r="A598" s="1">
        <v>42114</v>
      </c>
      <c r="B598">
        <v>1211</v>
      </c>
      <c r="C598">
        <v>1225</v>
      </c>
      <c r="D598">
        <v>1204.05</v>
      </c>
      <c r="E598" s="7">
        <v>1209.2</v>
      </c>
      <c r="F598">
        <v>1113544</v>
      </c>
      <c r="G598" s="8">
        <f t="shared" si="90"/>
        <v>1212.75</v>
      </c>
      <c r="H598" s="9">
        <f t="shared" si="91"/>
        <v>1350450486</v>
      </c>
      <c r="I598" s="9">
        <f t="shared" si="94"/>
        <v>26015162519.966663</v>
      </c>
      <c r="J598" s="9">
        <f t="shared" si="95"/>
        <v>21339706</v>
      </c>
      <c r="K598" s="21">
        <f t="shared" si="96"/>
        <v>1219.0965761180901</v>
      </c>
      <c r="L598" s="4" t="str">
        <f t="shared" si="92"/>
        <v>SELL</v>
      </c>
      <c r="M598" s="4">
        <f t="shared" si="97"/>
        <v>0</v>
      </c>
      <c r="N598" s="4">
        <f t="shared" si="93"/>
        <v>-1</v>
      </c>
      <c r="O598" s="4">
        <f t="shared" si="98"/>
        <v>1200.7</v>
      </c>
      <c r="P598" s="4">
        <f t="shared" si="99"/>
        <v>0</v>
      </c>
    </row>
    <row r="599" spans="1:16" x14ac:dyDescent="0.25">
      <c r="A599" s="1">
        <v>42115</v>
      </c>
      <c r="B599">
        <v>1221</v>
      </c>
      <c r="C599">
        <v>1240</v>
      </c>
      <c r="D599">
        <v>1213</v>
      </c>
      <c r="E599" s="7">
        <v>1224.05</v>
      </c>
      <c r="F599">
        <v>1180458</v>
      </c>
      <c r="G599" s="8">
        <f t="shared" si="90"/>
        <v>1225.6833333333334</v>
      </c>
      <c r="H599" s="9">
        <f t="shared" si="91"/>
        <v>1446867696.3000002</v>
      </c>
      <c r="I599" s="9">
        <f t="shared" si="94"/>
        <v>21633240000.116665</v>
      </c>
      <c r="J599" s="9">
        <f t="shared" si="95"/>
        <v>17704375</v>
      </c>
      <c r="K599" s="21">
        <f t="shared" si="96"/>
        <v>1221.9149221656605</v>
      </c>
      <c r="L599" s="4" t="str">
        <f t="shared" si="92"/>
        <v>BUY</v>
      </c>
      <c r="M599" s="4" t="str">
        <f t="shared" si="97"/>
        <v>BUY</v>
      </c>
      <c r="N599" s="4">
        <f t="shared" si="93"/>
        <v>1</v>
      </c>
      <c r="O599" s="4">
        <f t="shared" si="98"/>
        <v>1224.05</v>
      </c>
      <c r="P599" s="4">
        <f t="shared" si="99"/>
        <v>-1.9446989256267103E-2</v>
      </c>
    </row>
    <row r="600" spans="1:16" x14ac:dyDescent="0.25">
      <c r="A600" s="1">
        <v>42116</v>
      </c>
      <c r="B600">
        <v>1233</v>
      </c>
      <c r="C600">
        <v>1235.55</v>
      </c>
      <c r="D600">
        <v>1214.0999999999999</v>
      </c>
      <c r="E600" s="7">
        <v>1225.1500000000001</v>
      </c>
      <c r="F600">
        <v>1081403</v>
      </c>
      <c r="G600" s="8">
        <f t="shared" si="90"/>
        <v>1224.9333333333332</v>
      </c>
      <c r="H600" s="9">
        <f t="shared" si="91"/>
        <v>1324646581.4666665</v>
      </c>
      <c r="I600" s="9">
        <f t="shared" si="94"/>
        <v>17311129971.25</v>
      </c>
      <c r="J600" s="9">
        <f t="shared" si="95"/>
        <v>14150006</v>
      </c>
      <c r="K600" s="21">
        <f t="shared" si="96"/>
        <v>1223.4008926391975</v>
      </c>
      <c r="L600" s="4" t="str">
        <f t="shared" si="92"/>
        <v>BUY</v>
      </c>
      <c r="M600" s="4">
        <f t="shared" si="97"/>
        <v>0</v>
      </c>
      <c r="N600" s="4">
        <f t="shared" si="93"/>
        <v>1</v>
      </c>
      <c r="O600" s="4">
        <f t="shared" si="98"/>
        <v>1224.05</v>
      </c>
      <c r="P600" s="4">
        <f t="shared" si="99"/>
        <v>0</v>
      </c>
    </row>
    <row r="601" spans="1:16" x14ac:dyDescent="0.25">
      <c r="A601" s="1">
        <v>42117</v>
      </c>
      <c r="B601">
        <v>1225</v>
      </c>
      <c r="C601">
        <v>1228.95</v>
      </c>
      <c r="D601">
        <v>1207.0999999999999</v>
      </c>
      <c r="E601" s="7">
        <v>1221.45</v>
      </c>
      <c r="F601">
        <v>602837</v>
      </c>
      <c r="G601" s="8">
        <f t="shared" si="90"/>
        <v>1219.1666666666667</v>
      </c>
      <c r="H601" s="9">
        <f t="shared" si="91"/>
        <v>734958775.83333337</v>
      </c>
      <c r="I601" s="9">
        <f t="shared" si="94"/>
        <v>16200963947.583334</v>
      </c>
      <c r="J601" s="9">
        <f t="shared" si="95"/>
        <v>13256533</v>
      </c>
      <c r="K601" s="21">
        <f t="shared" si="96"/>
        <v>1222.1116899556871</v>
      </c>
      <c r="L601" s="4" t="str">
        <f t="shared" si="92"/>
        <v>SELL</v>
      </c>
      <c r="M601" s="4" t="str">
        <f t="shared" si="97"/>
        <v>SELL</v>
      </c>
      <c r="N601" s="4">
        <f t="shared" si="93"/>
        <v>-1</v>
      </c>
      <c r="O601" s="4">
        <f t="shared" si="98"/>
        <v>1221.45</v>
      </c>
      <c r="P601" s="4">
        <f t="shared" si="99"/>
        <v>-2.1240962378987044E-3</v>
      </c>
    </row>
    <row r="602" spans="1:16" x14ac:dyDescent="0.25">
      <c r="A602" s="1">
        <v>42118</v>
      </c>
      <c r="B602">
        <v>1212.0999999999999</v>
      </c>
      <c r="C602">
        <v>1225</v>
      </c>
      <c r="D602">
        <v>1209.0999999999999</v>
      </c>
      <c r="E602" s="7">
        <v>1220.8</v>
      </c>
      <c r="F602">
        <v>457523</v>
      </c>
      <c r="G602" s="8">
        <f t="shared" si="90"/>
        <v>1218.3</v>
      </c>
      <c r="H602" s="9">
        <f t="shared" si="91"/>
        <v>557400270.89999998</v>
      </c>
      <c r="I602" s="9">
        <f t="shared" si="94"/>
        <v>15070598529.900002</v>
      </c>
      <c r="J602" s="9">
        <f t="shared" si="95"/>
        <v>12341461</v>
      </c>
      <c r="K602" s="21">
        <f t="shared" si="96"/>
        <v>1221.1356929216081</v>
      </c>
      <c r="L602" s="4" t="str">
        <f t="shared" si="92"/>
        <v>SELL</v>
      </c>
      <c r="M602" s="4">
        <f t="shared" si="97"/>
        <v>0</v>
      </c>
      <c r="N602" s="4">
        <f t="shared" si="93"/>
        <v>-1</v>
      </c>
      <c r="O602" s="4">
        <f t="shared" si="98"/>
        <v>1221.45</v>
      </c>
      <c r="P602" s="4">
        <f t="shared" si="99"/>
        <v>0</v>
      </c>
    </row>
    <row r="603" spans="1:16" x14ac:dyDescent="0.25">
      <c r="A603" s="1">
        <v>42121</v>
      </c>
      <c r="B603">
        <v>1224</v>
      </c>
      <c r="C603">
        <v>1230</v>
      </c>
      <c r="D603">
        <v>1215.05</v>
      </c>
      <c r="E603" s="7">
        <v>1224.7</v>
      </c>
      <c r="F603">
        <v>395097</v>
      </c>
      <c r="G603" s="8">
        <f t="shared" si="90"/>
        <v>1223.25</v>
      </c>
      <c r="H603" s="9">
        <f t="shared" si="91"/>
        <v>483302405.25</v>
      </c>
      <c r="I603" s="9">
        <f t="shared" si="94"/>
        <v>13975354489.75</v>
      </c>
      <c r="J603" s="9">
        <f t="shared" si="95"/>
        <v>11449682</v>
      </c>
      <c r="K603" s="21">
        <f t="shared" si="96"/>
        <v>1220.5888765950006</v>
      </c>
      <c r="L603" s="4" t="str">
        <f t="shared" si="92"/>
        <v>BUY</v>
      </c>
      <c r="M603" s="4" t="str">
        <f t="shared" si="97"/>
        <v>BUY</v>
      </c>
      <c r="N603" s="4">
        <f t="shared" si="93"/>
        <v>1</v>
      </c>
      <c r="O603" s="4">
        <f t="shared" si="98"/>
        <v>1224.7</v>
      </c>
      <c r="P603" s="4">
        <f t="shared" si="99"/>
        <v>-2.6607720332391827E-3</v>
      </c>
    </row>
    <row r="604" spans="1:16" x14ac:dyDescent="0.25">
      <c r="A604" s="1">
        <v>42122</v>
      </c>
      <c r="B604">
        <v>1228</v>
      </c>
      <c r="C604">
        <v>1248</v>
      </c>
      <c r="D604">
        <v>1218.4000000000001</v>
      </c>
      <c r="E604" s="7">
        <v>1240.3499999999999</v>
      </c>
      <c r="F604">
        <v>787516</v>
      </c>
      <c r="G604" s="8">
        <f t="shared" si="90"/>
        <v>1235.5833333333333</v>
      </c>
      <c r="H604" s="9">
        <f t="shared" si="91"/>
        <v>973041644.33333325</v>
      </c>
      <c r="I604" s="9">
        <f t="shared" si="94"/>
        <v>13798364660.583334</v>
      </c>
      <c r="J604" s="9">
        <f t="shared" si="95"/>
        <v>11299443</v>
      </c>
      <c r="K604" s="21">
        <f t="shared" si="96"/>
        <v>1221.1544109371882</v>
      </c>
      <c r="L604" s="4" t="str">
        <f t="shared" si="92"/>
        <v>BUY</v>
      </c>
      <c r="M604" s="4">
        <f t="shared" si="97"/>
        <v>0</v>
      </c>
      <c r="N604" s="4">
        <f t="shared" si="93"/>
        <v>1</v>
      </c>
      <c r="O604" s="4">
        <f t="shared" si="98"/>
        <v>1224.7</v>
      </c>
      <c r="P604" s="4">
        <f t="shared" si="99"/>
        <v>0</v>
      </c>
    </row>
    <row r="605" spans="1:16" x14ac:dyDescent="0.25">
      <c r="A605" s="1">
        <v>42123</v>
      </c>
      <c r="B605">
        <v>1231.25</v>
      </c>
      <c r="C605">
        <v>1257</v>
      </c>
      <c r="D605">
        <v>1231.25</v>
      </c>
      <c r="E605" s="7">
        <v>1240.55</v>
      </c>
      <c r="F605">
        <v>790757</v>
      </c>
      <c r="G605" s="8">
        <f t="shared" si="90"/>
        <v>1242.9333333333334</v>
      </c>
      <c r="H605" s="9">
        <f t="shared" si="91"/>
        <v>982858233.86666667</v>
      </c>
      <c r="I605" s="9">
        <f t="shared" si="94"/>
        <v>11985607996.316668</v>
      </c>
      <c r="J605" s="9">
        <f t="shared" si="95"/>
        <v>9806232</v>
      </c>
      <c r="K605" s="21">
        <f t="shared" si="96"/>
        <v>1222.2439767197704</v>
      </c>
      <c r="L605" s="4" t="str">
        <f t="shared" si="92"/>
        <v>BUY</v>
      </c>
      <c r="M605" s="4">
        <f t="shared" si="97"/>
        <v>0</v>
      </c>
      <c r="N605" s="4">
        <f t="shared" si="93"/>
        <v>1</v>
      </c>
      <c r="O605" s="4">
        <f t="shared" si="98"/>
        <v>1224.7</v>
      </c>
      <c r="P605" s="4">
        <f t="shared" si="99"/>
        <v>0</v>
      </c>
    </row>
    <row r="606" spans="1:16" x14ac:dyDescent="0.25">
      <c r="A606" s="1">
        <v>42124</v>
      </c>
      <c r="B606">
        <v>1221</v>
      </c>
      <c r="C606">
        <v>1255.9000000000001</v>
      </c>
      <c r="D606">
        <v>1221</v>
      </c>
      <c r="E606" s="7">
        <v>1245.3499999999999</v>
      </c>
      <c r="F606">
        <v>2205801</v>
      </c>
      <c r="G606" s="8">
        <f t="shared" si="90"/>
        <v>1240.75</v>
      </c>
      <c r="H606" s="9">
        <f t="shared" si="91"/>
        <v>2736847590.75</v>
      </c>
      <c r="I606" s="9">
        <f t="shared" si="94"/>
        <v>12201289817.033331</v>
      </c>
      <c r="J606" s="9">
        <f t="shared" si="95"/>
        <v>9943271</v>
      </c>
      <c r="K606" s="21">
        <f t="shared" si="96"/>
        <v>1227.09014136629</v>
      </c>
      <c r="L606" s="4" t="str">
        <f t="shared" si="92"/>
        <v>BUY</v>
      </c>
      <c r="M606" s="4">
        <f t="shared" si="97"/>
        <v>0</v>
      </c>
      <c r="N606" s="4">
        <f t="shared" si="93"/>
        <v>1</v>
      </c>
      <c r="O606" s="4">
        <f t="shared" si="98"/>
        <v>1224.7</v>
      </c>
      <c r="P606" s="4">
        <f t="shared" si="99"/>
        <v>0</v>
      </c>
    </row>
    <row r="607" spans="1:16" x14ac:dyDescent="0.25">
      <c r="A607" s="1">
        <v>42125</v>
      </c>
      <c r="B607">
        <v>1240</v>
      </c>
      <c r="C607">
        <v>1245</v>
      </c>
      <c r="D607">
        <v>1218.5</v>
      </c>
      <c r="E607" s="7">
        <v>1224.5999999999999</v>
      </c>
      <c r="F607">
        <v>739764</v>
      </c>
      <c r="G607" s="8">
        <f t="shared" si="90"/>
        <v>1229.3666666666666</v>
      </c>
      <c r="H607" s="9">
        <f t="shared" si="91"/>
        <v>909441202.79999995</v>
      </c>
      <c r="I607" s="9">
        <f t="shared" si="94"/>
        <v>11499814887.499998</v>
      </c>
      <c r="J607" s="9">
        <f t="shared" si="95"/>
        <v>9354700</v>
      </c>
      <c r="K607" s="21">
        <f t="shared" si="96"/>
        <v>1229.3087846216338</v>
      </c>
      <c r="L607" s="4" t="str">
        <f t="shared" si="92"/>
        <v>SELL</v>
      </c>
      <c r="M607" s="4" t="str">
        <f t="shared" si="97"/>
        <v>SELL</v>
      </c>
      <c r="N607" s="4">
        <f t="shared" si="93"/>
        <v>-1</v>
      </c>
      <c r="O607" s="4">
        <f t="shared" si="98"/>
        <v>1224.5999999999999</v>
      </c>
      <c r="P607" s="4">
        <f t="shared" si="99"/>
        <v>-8.1652649628591829E-5</v>
      </c>
    </row>
    <row r="608" spans="1:16" x14ac:dyDescent="0.25">
      <c r="A608" s="1">
        <v>42128</v>
      </c>
      <c r="B608">
        <v>1210</v>
      </c>
      <c r="C608">
        <v>1216</v>
      </c>
      <c r="D608">
        <v>1196.2</v>
      </c>
      <c r="E608" s="7">
        <v>1213.25</v>
      </c>
      <c r="F608">
        <v>602215</v>
      </c>
      <c r="G608" s="8">
        <f t="shared" si="90"/>
        <v>1208.4833333333333</v>
      </c>
      <c r="H608" s="9">
        <f t="shared" si="91"/>
        <v>727766790.58333337</v>
      </c>
      <c r="I608" s="9">
        <f t="shared" si="94"/>
        <v>10877131192.083334</v>
      </c>
      <c r="J608" s="9">
        <f t="shared" si="95"/>
        <v>8843371</v>
      </c>
      <c r="K608" s="21">
        <f t="shared" si="96"/>
        <v>1229.9756724085571</v>
      </c>
      <c r="L608" s="4" t="str">
        <f t="shared" si="92"/>
        <v>SELL</v>
      </c>
      <c r="M608" s="4">
        <f t="shared" si="97"/>
        <v>0</v>
      </c>
      <c r="N608" s="4">
        <f t="shared" si="93"/>
        <v>-1</v>
      </c>
      <c r="O608" s="4">
        <f t="shared" si="98"/>
        <v>1224.5999999999999</v>
      </c>
      <c r="P608" s="4">
        <f t="shared" si="99"/>
        <v>0</v>
      </c>
    </row>
    <row r="609" spans="1:16" x14ac:dyDescent="0.25">
      <c r="A609" s="1">
        <v>42129</v>
      </c>
      <c r="B609">
        <v>1214</v>
      </c>
      <c r="C609">
        <v>1230.9000000000001</v>
      </c>
      <c r="D609">
        <v>1214</v>
      </c>
      <c r="E609" s="7">
        <v>1226.5</v>
      </c>
      <c r="F609">
        <v>1031699</v>
      </c>
      <c r="G609" s="8">
        <f t="shared" si="90"/>
        <v>1223.8</v>
      </c>
      <c r="H609" s="9">
        <f t="shared" si="91"/>
        <v>1262593236.2</v>
      </c>
      <c r="I609" s="9">
        <f t="shared" si="94"/>
        <v>10692856731.983334</v>
      </c>
      <c r="J609" s="9">
        <f t="shared" si="95"/>
        <v>8694612</v>
      </c>
      <c r="K609" s="21">
        <f t="shared" si="96"/>
        <v>1229.8256359206523</v>
      </c>
      <c r="L609" s="4" t="str">
        <f t="shared" si="92"/>
        <v>SELL</v>
      </c>
      <c r="M609" s="4">
        <f t="shared" si="97"/>
        <v>0</v>
      </c>
      <c r="N609" s="4">
        <f t="shared" si="93"/>
        <v>-1</v>
      </c>
      <c r="O609" s="4">
        <f t="shared" si="98"/>
        <v>1224.5999999999999</v>
      </c>
      <c r="P609" s="4">
        <f t="shared" si="99"/>
        <v>0</v>
      </c>
    </row>
    <row r="610" spans="1:16" x14ac:dyDescent="0.25">
      <c r="A610" s="1">
        <v>42130</v>
      </c>
      <c r="B610">
        <v>1230</v>
      </c>
      <c r="C610">
        <v>1263.75</v>
      </c>
      <c r="D610">
        <v>1229.0999999999999</v>
      </c>
      <c r="E610" s="7">
        <v>1251.1500000000001</v>
      </c>
      <c r="F610">
        <v>1645954</v>
      </c>
      <c r="G610" s="8">
        <f t="shared" si="90"/>
        <v>1248</v>
      </c>
      <c r="H610" s="9">
        <f t="shared" si="91"/>
        <v>2054150592</v>
      </c>
      <c r="I610" s="9">
        <f t="shared" si="94"/>
        <v>11422360742.516666</v>
      </c>
      <c r="J610" s="9">
        <f t="shared" si="95"/>
        <v>9259163</v>
      </c>
      <c r="K610" s="21">
        <f t="shared" si="96"/>
        <v>1233.6277849862527</v>
      </c>
      <c r="L610" s="4" t="str">
        <f t="shared" si="92"/>
        <v>BUY</v>
      </c>
      <c r="M610" s="4" t="str">
        <f t="shared" si="97"/>
        <v>BUY</v>
      </c>
      <c r="N610" s="4">
        <f t="shared" si="93"/>
        <v>1</v>
      </c>
      <c r="O610" s="4">
        <f t="shared" si="98"/>
        <v>1251.1500000000001</v>
      </c>
      <c r="P610" s="4">
        <f t="shared" si="99"/>
        <v>-2.1680548750612594E-2</v>
      </c>
    </row>
    <row r="611" spans="1:16" x14ac:dyDescent="0.25">
      <c r="A611" s="1">
        <v>42131</v>
      </c>
      <c r="B611">
        <v>1247</v>
      </c>
      <c r="C611">
        <v>1249.9000000000001</v>
      </c>
      <c r="D611">
        <v>1231.55</v>
      </c>
      <c r="E611" s="7">
        <v>1240.2</v>
      </c>
      <c r="F611">
        <v>1074864</v>
      </c>
      <c r="G611" s="8">
        <f t="shared" si="90"/>
        <v>1240.55</v>
      </c>
      <c r="H611" s="9">
        <f t="shared" si="91"/>
        <v>1333422535.2</v>
      </c>
      <c r="I611" s="9">
        <f t="shared" si="94"/>
        <v>12020824501.883335</v>
      </c>
      <c r="J611" s="9">
        <f t="shared" si="95"/>
        <v>9731190</v>
      </c>
      <c r="K611" s="21">
        <f t="shared" si="96"/>
        <v>1235.2882331845678</v>
      </c>
      <c r="L611" s="4" t="str">
        <f t="shared" si="92"/>
        <v>BUY</v>
      </c>
      <c r="M611" s="4">
        <f t="shared" si="97"/>
        <v>0</v>
      </c>
      <c r="N611" s="4">
        <f t="shared" si="93"/>
        <v>1</v>
      </c>
      <c r="O611" s="4">
        <f t="shared" si="98"/>
        <v>1251.1500000000001</v>
      </c>
      <c r="P611" s="4">
        <f t="shared" si="99"/>
        <v>0</v>
      </c>
    </row>
    <row r="612" spans="1:16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 s="7">
        <v>1230.9000000000001</v>
      </c>
      <c r="F612">
        <v>1200122</v>
      </c>
      <c r="G612" s="8">
        <f t="shared" si="90"/>
        <v>1232.55</v>
      </c>
      <c r="H612" s="9">
        <f t="shared" si="91"/>
        <v>1479210371.0999999</v>
      </c>
      <c r="I612" s="9">
        <f t="shared" si="94"/>
        <v>12942634602.083334</v>
      </c>
      <c r="J612" s="9">
        <f t="shared" si="95"/>
        <v>10473789</v>
      </c>
      <c r="K612" s="21">
        <f t="shared" si="96"/>
        <v>1235.716568481887</v>
      </c>
      <c r="L612" s="4" t="str">
        <f t="shared" si="92"/>
        <v>SELL</v>
      </c>
      <c r="M612" s="4" t="str">
        <f t="shared" si="97"/>
        <v>SELL</v>
      </c>
      <c r="N612" s="4">
        <f t="shared" si="93"/>
        <v>-1</v>
      </c>
      <c r="O612" s="4">
        <f t="shared" si="98"/>
        <v>1230.9000000000001</v>
      </c>
      <c r="P612" s="4">
        <f t="shared" si="99"/>
        <v>-1.6185109699076848E-2</v>
      </c>
    </row>
    <row r="613" spans="1:16" x14ac:dyDescent="0.25">
      <c r="A613" s="1">
        <v>42135</v>
      </c>
      <c r="B613">
        <v>1233</v>
      </c>
      <c r="C613">
        <v>1246.05</v>
      </c>
      <c r="D613">
        <v>1227.0999999999999</v>
      </c>
      <c r="E613" s="7">
        <v>1233.55</v>
      </c>
      <c r="F613">
        <v>772524</v>
      </c>
      <c r="G613" s="8">
        <f t="shared" si="90"/>
        <v>1235.5666666666666</v>
      </c>
      <c r="H613" s="9">
        <f t="shared" si="91"/>
        <v>954504903.5999999</v>
      </c>
      <c r="I613" s="9">
        <f t="shared" si="94"/>
        <v>13413837100.433334</v>
      </c>
      <c r="J613" s="9">
        <f t="shared" si="95"/>
        <v>10851216</v>
      </c>
      <c r="K613" s="21">
        <f t="shared" si="96"/>
        <v>1236.1598092262964</v>
      </c>
      <c r="L613" s="4" t="str">
        <f t="shared" si="92"/>
        <v>SELL</v>
      </c>
      <c r="M613" s="4">
        <f t="shared" si="97"/>
        <v>0</v>
      </c>
      <c r="N613" s="4">
        <f t="shared" si="93"/>
        <v>-1</v>
      </c>
      <c r="O613" s="4">
        <f t="shared" si="98"/>
        <v>1230.9000000000001</v>
      </c>
      <c r="P613" s="4">
        <f t="shared" si="99"/>
        <v>0</v>
      </c>
    </row>
    <row r="614" spans="1:16" x14ac:dyDescent="0.25">
      <c r="A614" s="1">
        <v>42136</v>
      </c>
      <c r="B614">
        <v>1221.0999999999999</v>
      </c>
      <c r="C614">
        <v>1253</v>
      </c>
      <c r="D614">
        <v>1221.0999999999999</v>
      </c>
      <c r="E614" s="7">
        <v>1248.0999999999999</v>
      </c>
      <c r="F614">
        <v>546071</v>
      </c>
      <c r="G614" s="8">
        <f t="shared" si="90"/>
        <v>1240.7333333333333</v>
      </c>
      <c r="H614" s="9">
        <f t="shared" si="91"/>
        <v>677528492.06666672</v>
      </c>
      <c r="I614" s="9">
        <f t="shared" si="94"/>
        <v>13118323948.16667</v>
      </c>
      <c r="J614" s="9">
        <f t="shared" si="95"/>
        <v>10609771</v>
      </c>
      <c r="K614" s="21">
        <f t="shared" si="96"/>
        <v>1236.4379917499323</v>
      </c>
      <c r="L614" s="4" t="str">
        <f t="shared" si="92"/>
        <v>BUY</v>
      </c>
      <c r="M614" s="4" t="str">
        <f t="shared" si="97"/>
        <v>BUY</v>
      </c>
      <c r="N614" s="4">
        <f t="shared" si="93"/>
        <v>1</v>
      </c>
      <c r="O614" s="4">
        <f t="shared" si="98"/>
        <v>1248.0999999999999</v>
      </c>
      <c r="P614" s="4">
        <f t="shared" si="99"/>
        <v>-1.3973515313997738E-2</v>
      </c>
    </row>
    <row r="615" spans="1:16" x14ac:dyDescent="0.25">
      <c r="A615" s="1">
        <v>42137</v>
      </c>
      <c r="B615">
        <v>1249</v>
      </c>
      <c r="C615">
        <v>1260</v>
      </c>
      <c r="D615">
        <v>1242.5999999999999</v>
      </c>
      <c r="E615" s="7">
        <v>1250.4000000000001</v>
      </c>
      <c r="F615">
        <v>725429</v>
      </c>
      <c r="G615" s="8">
        <f t="shared" si="90"/>
        <v>1251</v>
      </c>
      <c r="H615" s="9">
        <f t="shared" si="91"/>
        <v>907511679</v>
      </c>
      <c r="I615" s="9">
        <f t="shared" si="94"/>
        <v>13042977393.300001</v>
      </c>
      <c r="J615" s="9">
        <f t="shared" si="95"/>
        <v>10544443</v>
      </c>
      <c r="K615" s="21">
        <f t="shared" si="96"/>
        <v>1236.9527146478956</v>
      </c>
      <c r="L615" s="4" t="str">
        <f t="shared" si="92"/>
        <v>BUY</v>
      </c>
      <c r="M615" s="4">
        <f t="shared" si="97"/>
        <v>0</v>
      </c>
      <c r="N615" s="4">
        <f t="shared" si="93"/>
        <v>1</v>
      </c>
      <c r="O615" s="4">
        <f t="shared" si="98"/>
        <v>1248.0999999999999</v>
      </c>
      <c r="P615" s="4">
        <f t="shared" si="99"/>
        <v>0</v>
      </c>
    </row>
    <row r="616" spans="1:16" x14ac:dyDescent="0.25">
      <c r="A616" s="1">
        <v>42138</v>
      </c>
      <c r="B616">
        <v>1249</v>
      </c>
      <c r="C616">
        <v>1261.5</v>
      </c>
      <c r="D616">
        <v>1245</v>
      </c>
      <c r="E616" s="7">
        <v>1254</v>
      </c>
      <c r="F616">
        <v>735562</v>
      </c>
      <c r="G616" s="8">
        <f t="shared" si="90"/>
        <v>1253.5</v>
      </c>
      <c r="H616" s="9">
        <f t="shared" si="91"/>
        <v>922026967</v>
      </c>
      <c r="I616" s="9">
        <f t="shared" si="94"/>
        <v>11228156769.550001</v>
      </c>
      <c r="J616" s="9">
        <f t="shared" si="95"/>
        <v>9074204</v>
      </c>
      <c r="K616" s="21">
        <f t="shared" si="96"/>
        <v>1237.3709880833626</v>
      </c>
      <c r="L616" s="4" t="str">
        <f t="shared" si="92"/>
        <v>BUY</v>
      </c>
      <c r="M616" s="4">
        <f t="shared" si="97"/>
        <v>0</v>
      </c>
      <c r="N616" s="4">
        <f t="shared" si="93"/>
        <v>1</v>
      </c>
      <c r="O616" s="4">
        <f t="shared" si="98"/>
        <v>1248.0999999999999</v>
      </c>
      <c r="P616" s="4">
        <f t="shared" si="99"/>
        <v>0</v>
      </c>
    </row>
    <row r="617" spans="1:16" x14ac:dyDescent="0.25">
      <c r="A617" s="1">
        <v>42139</v>
      </c>
      <c r="B617">
        <v>1254.05</v>
      </c>
      <c r="C617">
        <v>1280</v>
      </c>
      <c r="D617">
        <v>1249</v>
      </c>
      <c r="E617" s="7">
        <v>1272.45</v>
      </c>
      <c r="F617">
        <v>993020</v>
      </c>
      <c r="G617" s="8">
        <f t="shared" si="90"/>
        <v>1267.1499999999999</v>
      </c>
      <c r="H617" s="9">
        <f t="shared" si="91"/>
        <v>1258305292.9999998</v>
      </c>
      <c r="I617" s="9">
        <f t="shared" si="94"/>
        <v>11577020859.75</v>
      </c>
      <c r="J617" s="9">
        <f t="shared" si="95"/>
        <v>9327460</v>
      </c>
      <c r="K617" s="21">
        <f t="shared" si="96"/>
        <v>1241.1761465339976</v>
      </c>
      <c r="L617" s="4" t="str">
        <f t="shared" si="92"/>
        <v>BUY</v>
      </c>
      <c r="M617" s="4">
        <f t="shared" si="97"/>
        <v>0</v>
      </c>
      <c r="N617" s="4">
        <f t="shared" si="93"/>
        <v>1</v>
      </c>
      <c r="O617" s="4">
        <f t="shared" si="98"/>
        <v>1248.0999999999999</v>
      </c>
      <c r="P617" s="4">
        <f t="shared" si="99"/>
        <v>0</v>
      </c>
    </row>
    <row r="618" spans="1:16" x14ac:dyDescent="0.25">
      <c r="A618" s="1">
        <v>42142</v>
      </c>
      <c r="B618">
        <v>1276</v>
      </c>
      <c r="C618">
        <v>1286.3499999999999</v>
      </c>
      <c r="D618">
        <v>1250</v>
      </c>
      <c r="E618" s="7">
        <v>1257.1500000000001</v>
      </c>
      <c r="F618">
        <v>747694</v>
      </c>
      <c r="G618" s="8">
        <f t="shared" si="90"/>
        <v>1264.5</v>
      </c>
      <c r="H618" s="9">
        <f t="shared" si="91"/>
        <v>945459063</v>
      </c>
      <c r="I618" s="9">
        <f t="shared" si="94"/>
        <v>11794713132.166668</v>
      </c>
      <c r="J618" s="9">
        <f t="shared" si="95"/>
        <v>9472939</v>
      </c>
      <c r="K618" s="21">
        <f t="shared" si="96"/>
        <v>1245.095437874842</v>
      </c>
      <c r="L618" s="4" t="str">
        <f t="shared" si="92"/>
        <v>BUY</v>
      </c>
      <c r="M618" s="4">
        <f t="shared" si="97"/>
        <v>0</v>
      </c>
      <c r="N618" s="4">
        <f t="shared" si="93"/>
        <v>1</v>
      </c>
      <c r="O618" s="4">
        <f t="shared" si="98"/>
        <v>1248.0999999999999</v>
      </c>
      <c r="P618" s="4">
        <f t="shared" si="99"/>
        <v>0</v>
      </c>
    </row>
    <row r="619" spans="1:16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 s="7">
        <v>1273.95</v>
      </c>
      <c r="F619">
        <v>884529</v>
      </c>
      <c r="G619" s="8">
        <f t="shared" si="90"/>
        <v>1269.4333333333334</v>
      </c>
      <c r="H619" s="9">
        <f t="shared" si="91"/>
        <v>1122850596.9000001</v>
      </c>
      <c r="I619" s="9">
        <f t="shared" si="94"/>
        <v>11654970492.866665</v>
      </c>
      <c r="J619" s="9">
        <f t="shared" si="95"/>
        <v>9325769</v>
      </c>
      <c r="K619" s="21">
        <f t="shared" si="96"/>
        <v>1249.7597241435708</v>
      </c>
      <c r="L619" s="4" t="str">
        <f t="shared" si="92"/>
        <v>BUY</v>
      </c>
      <c r="M619" s="4">
        <f t="shared" si="97"/>
        <v>0</v>
      </c>
      <c r="N619" s="4">
        <f t="shared" si="93"/>
        <v>1</v>
      </c>
      <c r="O619" s="4">
        <f t="shared" si="98"/>
        <v>1248.0999999999999</v>
      </c>
      <c r="P619" s="4">
        <f t="shared" si="99"/>
        <v>0</v>
      </c>
    </row>
    <row r="620" spans="1:16" x14ac:dyDescent="0.25">
      <c r="A620" s="1">
        <v>42144</v>
      </c>
      <c r="B620">
        <v>1274</v>
      </c>
      <c r="C620">
        <v>1274</v>
      </c>
      <c r="D620">
        <v>1243.3</v>
      </c>
      <c r="E620" s="7">
        <v>1252.8</v>
      </c>
      <c r="F620">
        <v>876870</v>
      </c>
      <c r="G620" s="8">
        <f t="shared" si="90"/>
        <v>1256.7</v>
      </c>
      <c r="H620" s="9">
        <f t="shared" si="91"/>
        <v>1101962529</v>
      </c>
      <c r="I620" s="9">
        <f t="shared" si="94"/>
        <v>10702782429.866667</v>
      </c>
      <c r="J620" s="9">
        <f t="shared" si="95"/>
        <v>8556685</v>
      </c>
      <c r="K620" s="21">
        <f t="shared" si="96"/>
        <v>1250.8094466334412</v>
      </c>
      <c r="L620" s="4" t="str">
        <f t="shared" si="92"/>
        <v>BUY</v>
      </c>
      <c r="M620" s="4">
        <f t="shared" si="97"/>
        <v>0</v>
      </c>
      <c r="N620" s="4">
        <f t="shared" si="93"/>
        <v>1</v>
      </c>
      <c r="O620" s="4">
        <f t="shared" si="98"/>
        <v>1248.0999999999999</v>
      </c>
      <c r="P620" s="4">
        <f t="shared" si="99"/>
        <v>0</v>
      </c>
    </row>
    <row r="621" spans="1:16" x14ac:dyDescent="0.25">
      <c r="A621" s="1">
        <v>42145</v>
      </c>
      <c r="B621">
        <v>1245.05</v>
      </c>
      <c r="C621">
        <v>1252</v>
      </c>
      <c r="D621">
        <v>1209</v>
      </c>
      <c r="E621" s="7">
        <v>1224.05</v>
      </c>
      <c r="F621">
        <v>2077990</v>
      </c>
      <c r="G621" s="8">
        <f t="shared" si="90"/>
        <v>1228.3500000000001</v>
      </c>
      <c r="H621" s="9">
        <f t="shared" si="91"/>
        <v>2552499016.5000005</v>
      </c>
      <c r="I621" s="9">
        <f t="shared" si="94"/>
        <v>11921858911.166666</v>
      </c>
      <c r="J621" s="9">
        <f t="shared" si="95"/>
        <v>9559811</v>
      </c>
      <c r="K621" s="21">
        <f t="shared" si="96"/>
        <v>1247.0810260962969</v>
      </c>
      <c r="L621" s="4" t="str">
        <f t="shared" si="92"/>
        <v>SELL</v>
      </c>
      <c r="M621" s="4" t="str">
        <f t="shared" si="97"/>
        <v>SELL</v>
      </c>
      <c r="N621" s="4">
        <f t="shared" si="93"/>
        <v>-1</v>
      </c>
      <c r="O621" s="4">
        <f t="shared" si="98"/>
        <v>1224.05</v>
      </c>
      <c r="P621" s="4">
        <f t="shared" si="99"/>
        <v>-1.9269289319766011E-2</v>
      </c>
    </row>
    <row r="622" spans="1:16" x14ac:dyDescent="0.25">
      <c r="A622" s="1">
        <v>42146</v>
      </c>
      <c r="B622">
        <v>1214.25</v>
      </c>
      <c r="C622">
        <v>1239.9000000000001</v>
      </c>
      <c r="D622">
        <v>1214.25</v>
      </c>
      <c r="E622" s="7">
        <v>1233.45</v>
      </c>
      <c r="F622">
        <v>959780</v>
      </c>
      <c r="G622" s="8">
        <f t="shared" si="90"/>
        <v>1229.2</v>
      </c>
      <c r="H622" s="9">
        <f t="shared" si="91"/>
        <v>1179761576</v>
      </c>
      <c r="I622" s="9">
        <f t="shared" si="94"/>
        <v>11622410116.066666</v>
      </c>
      <c r="J622" s="9">
        <f t="shared" si="95"/>
        <v>9319469</v>
      </c>
      <c r="K622" s="21">
        <f t="shared" si="96"/>
        <v>1247.1107652234978</v>
      </c>
      <c r="L622" s="4" t="str">
        <f t="shared" si="92"/>
        <v>SELL</v>
      </c>
      <c r="M622" s="4">
        <f t="shared" si="97"/>
        <v>0</v>
      </c>
      <c r="N622" s="4">
        <f t="shared" si="93"/>
        <v>-1</v>
      </c>
      <c r="O622" s="4">
        <f t="shared" si="98"/>
        <v>1224.05</v>
      </c>
      <c r="P622" s="4">
        <f t="shared" si="99"/>
        <v>0</v>
      </c>
    </row>
    <row r="623" spans="1:16" x14ac:dyDescent="0.25">
      <c r="A623" s="1">
        <v>42149</v>
      </c>
      <c r="B623">
        <v>1237</v>
      </c>
      <c r="C623">
        <v>1238.5</v>
      </c>
      <c r="D623">
        <v>1211</v>
      </c>
      <c r="E623" s="7">
        <v>1216.75</v>
      </c>
      <c r="F623">
        <v>794379</v>
      </c>
      <c r="G623" s="8">
        <f t="shared" si="90"/>
        <v>1222.0833333333333</v>
      </c>
      <c r="H623" s="9">
        <f t="shared" si="91"/>
        <v>970797336.24999988</v>
      </c>
      <c r="I623" s="9">
        <f t="shared" si="94"/>
        <v>11638702548.716667</v>
      </c>
      <c r="J623" s="9">
        <f t="shared" si="95"/>
        <v>9341324</v>
      </c>
      <c r="K623" s="21">
        <f t="shared" si="96"/>
        <v>1245.9371443187997</v>
      </c>
      <c r="L623" s="4" t="str">
        <f t="shared" si="92"/>
        <v>SELL</v>
      </c>
      <c r="M623" s="4">
        <f t="shared" si="97"/>
        <v>0</v>
      </c>
      <c r="N623" s="4">
        <f t="shared" si="93"/>
        <v>-1</v>
      </c>
      <c r="O623" s="4">
        <f t="shared" si="98"/>
        <v>1224.05</v>
      </c>
      <c r="P623" s="4">
        <f t="shared" si="99"/>
        <v>0</v>
      </c>
    </row>
    <row r="624" spans="1:16" x14ac:dyDescent="0.25">
      <c r="A624" s="1">
        <v>42150</v>
      </c>
      <c r="B624">
        <v>1217.5</v>
      </c>
      <c r="C624">
        <v>1237</v>
      </c>
      <c r="D624">
        <v>1217.05</v>
      </c>
      <c r="E624" s="7">
        <v>1235.0999999999999</v>
      </c>
      <c r="F624">
        <v>554857</v>
      </c>
      <c r="G624" s="8">
        <f t="shared" si="90"/>
        <v>1229.7166666666667</v>
      </c>
      <c r="H624" s="9">
        <f t="shared" si="91"/>
        <v>682316900.51666665</v>
      </c>
      <c r="I624" s="9">
        <f t="shared" si="94"/>
        <v>11643490957.166666</v>
      </c>
      <c r="J624" s="9">
        <f t="shared" si="95"/>
        <v>9350110</v>
      </c>
      <c r="K624" s="21">
        <f t="shared" si="96"/>
        <v>1245.2785001638126</v>
      </c>
      <c r="L624" s="4" t="str">
        <f t="shared" si="92"/>
        <v>SELL</v>
      </c>
      <c r="M624" s="4">
        <f t="shared" si="97"/>
        <v>0</v>
      </c>
      <c r="N624" s="4">
        <f t="shared" si="93"/>
        <v>-1</v>
      </c>
      <c r="O624" s="4">
        <f t="shared" si="98"/>
        <v>1224.05</v>
      </c>
      <c r="P624" s="4">
        <f t="shared" si="99"/>
        <v>0</v>
      </c>
    </row>
    <row r="625" spans="1:16" x14ac:dyDescent="0.25">
      <c r="A625" s="1">
        <v>42151</v>
      </c>
      <c r="B625">
        <v>1236.25</v>
      </c>
      <c r="C625">
        <v>1258.8</v>
      </c>
      <c r="D625">
        <v>1236.25</v>
      </c>
      <c r="E625" s="7">
        <v>1246.7</v>
      </c>
      <c r="F625">
        <v>1152931</v>
      </c>
      <c r="G625" s="8">
        <f t="shared" si="90"/>
        <v>1247.25</v>
      </c>
      <c r="H625" s="9">
        <f t="shared" si="91"/>
        <v>1437993189.75</v>
      </c>
      <c r="I625" s="9">
        <f t="shared" si="94"/>
        <v>12173972467.916666</v>
      </c>
      <c r="J625" s="9">
        <f t="shared" si="95"/>
        <v>9777612</v>
      </c>
      <c r="K625" s="21">
        <f t="shared" si="96"/>
        <v>1245.0864759121826</v>
      </c>
      <c r="L625" s="4" t="str">
        <f t="shared" si="92"/>
        <v>BUY</v>
      </c>
      <c r="M625" s="4" t="str">
        <f t="shared" si="97"/>
        <v>BUY</v>
      </c>
      <c r="N625" s="4">
        <f t="shared" si="93"/>
        <v>1</v>
      </c>
      <c r="O625" s="4">
        <f t="shared" si="98"/>
        <v>1246.7</v>
      </c>
      <c r="P625" s="4">
        <f t="shared" si="99"/>
        <v>-1.8504146072464436E-2</v>
      </c>
    </row>
    <row r="626" spans="1:16" x14ac:dyDescent="0.25">
      <c r="A626" s="1">
        <v>42152</v>
      </c>
      <c r="B626">
        <v>1246.95</v>
      </c>
      <c r="C626">
        <v>1263.9000000000001</v>
      </c>
      <c r="D626">
        <v>1236.25</v>
      </c>
      <c r="E626" s="7">
        <v>1258.8499999999999</v>
      </c>
      <c r="F626">
        <v>947114</v>
      </c>
      <c r="G626" s="8">
        <f t="shared" si="90"/>
        <v>1253</v>
      </c>
      <c r="H626" s="9">
        <f t="shared" si="91"/>
        <v>1186733842</v>
      </c>
      <c r="I626" s="9">
        <f t="shared" si="94"/>
        <v>12438679342.916666</v>
      </c>
      <c r="J626" s="9">
        <f t="shared" si="95"/>
        <v>9989164</v>
      </c>
      <c r="K626" s="21">
        <f t="shared" si="96"/>
        <v>1245.2172517056149</v>
      </c>
      <c r="L626" s="4" t="str">
        <f t="shared" si="92"/>
        <v>BUY</v>
      </c>
      <c r="M626" s="4">
        <f t="shared" si="97"/>
        <v>0</v>
      </c>
      <c r="N626" s="4">
        <f t="shared" si="93"/>
        <v>1</v>
      </c>
      <c r="O626" s="4">
        <f t="shared" si="98"/>
        <v>1246.7</v>
      </c>
      <c r="P626" s="4">
        <f t="shared" si="99"/>
        <v>0</v>
      </c>
    </row>
    <row r="627" spans="1:16" x14ac:dyDescent="0.25">
      <c r="A627" s="1">
        <v>42153</v>
      </c>
      <c r="B627">
        <v>1263.3499999999999</v>
      </c>
      <c r="C627">
        <v>1287</v>
      </c>
      <c r="D627">
        <v>1262.9000000000001</v>
      </c>
      <c r="E627" s="7">
        <v>1277.45</v>
      </c>
      <c r="F627">
        <v>995075</v>
      </c>
      <c r="G627" s="8">
        <f t="shared" si="90"/>
        <v>1275.7833333333335</v>
      </c>
      <c r="H627" s="9">
        <f t="shared" si="91"/>
        <v>1269500100.4166667</v>
      </c>
      <c r="I627" s="9">
        <f t="shared" si="94"/>
        <v>12449874150.333334</v>
      </c>
      <c r="J627" s="9">
        <f t="shared" si="95"/>
        <v>9991219</v>
      </c>
      <c r="K627" s="21">
        <f t="shared" si="96"/>
        <v>1246.0815992856662</v>
      </c>
      <c r="L627" s="4" t="str">
        <f t="shared" si="92"/>
        <v>BUY</v>
      </c>
      <c r="M627" s="4">
        <f t="shared" si="97"/>
        <v>0</v>
      </c>
      <c r="N627" s="4">
        <f t="shared" si="93"/>
        <v>1</v>
      </c>
      <c r="O627" s="4">
        <f t="shared" si="98"/>
        <v>1246.7</v>
      </c>
      <c r="P627" s="4">
        <f t="shared" si="99"/>
        <v>0</v>
      </c>
    </row>
    <row r="628" spans="1:16" x14ac:dyDescent="0.25">
      <c r="A628" s="1">
        <v>42156</v>
      </c>
      <c r="B628">
        <v>1279</v>
      </c>
      <c r="C628">
        <v>1279</v>
      </c>
      <c r="D628">
        <v>1256.45</v>
      </c>
      <c r="E628" s="7">
        <v>1259.45</v>
      </c>
      <c r="F628">
        <v>1055550</v>
      </c>
      <c r="G628" s="8">
        <f t="shared" si="90"/>
        <v>1264.9666666666665</v>
      </c>
      <c r="H628" s="9">
        <f t="shared" si="91"/>
        <v>1335235564.9999998</v>
      </c>
      <c r="I628" s="9">
        <f t="shared" si="94"/>
        <v>12839650652.333334</v>
      </c>
      <c r="J628" s="9">
        <f t="shared" si="95"/>
        <v>10299075</v>
      </c>
      <c r="K628" s="21">
        <f t="shared" si="96"/>
        <v>1246.6799836231248</v>
      </c>
      <c r="L628" s="4" t="str">
        <f t="shared" si="92"/>
        <v>BUY</v>
      </c>
      <c r="M628" s="4">
        <f t="shared" si="97"/>
        <v>0</v>
      </c>
      <c r="N628" s="4">
        <f t="shared" si="93"/>
        <v>1</v>
      </c>
      <c r="O628" s="4">
        <f t="shared" si="98"/>
        <v>1246.7</v>
      </c>
      <c r="P628" s="4">
        <f t="shared" si="99"/>
        <v>0</v>
      </c>
    </row>
    <row r="629" spans="1:16" x14ac:dyDescent="0.25">
      <c r="A629" s="1">
        <v>42157</v>
      </c>
      <c r="B629">
        <v>1265</v>
      </c>
      <c r="C629">
        <v>1269.8</v>
      </c>
      <c r="D629">
        <v>1230.3</v>
      </c>
      <c r="E629" s="7">
        <v>1239.4000000000001</v>
      </c>
      <c r="F629">
        <v>1113646</v>
      </c>
      <c r="G629" s="8">
        <f t="shared" si="90"/>
        <v>1246.5</v>
      </c>
      <c r="H629" s="9">
        <f t="shared" si="91"/>
        <v>1388159739</v>
      </c>
      <c r="I629" s="9">
        <f t="shared" si="94"/>
        <v>13104959794.433332</v>
      </c>
      <c r="J629" s="9">
        <f t="shared" si="95"/>
        <v>10528192</v>
      </c>
      <c r="K629" s="21">
        <f t="shared" si="96"/>
        <v>1244.7493163530198</v>
      </c>
      <c r="L629" s="4" t="str">
        <f t="shared" si="92"/>
        <v>SELL</v>
      </c>
      <c r="M629" s="4" t="str">
        <f t="shared" si="97"/>
        <v>SELL</v>
      </c>
      <c r="N629" s="4">
        <f t="shared" si="93"/>
        <v>-1</v>
      </c>
      <c r="O629" s="4">
        <f t="shared" si="98"/>
        <v>1239.4000000000001</v>
      </c>
      <c r="P629" s="4">
        <f t="shared" si="99"/>
        <v>-5.8554584102028994E-3</v>
      </c>
    </row>
    <row r="630" spans="1:16" x14ac:dyDescent="0.25">
      <c r="A630" s="1">
        <v>42158</v>
      </c>
      <c r="B630">
        <v>1243.5</v>
      </c>
      <c r="C630">
        <v>1249.5</v>
      </c>
      <c r="D630">
        <v>1231.55</v>
      </c>
      <c r="E630" s="7">
        <v>1247.8499999999999</v>
      </c>
      <c r="F630">
        <v>650903</v>
      </c>
      <c r="G630" s="8">
        <f t="shared" si="90"/>
        <v>1242.9666666666667</v>
      </c>
      <c r="H630" s="9">
        <f t="shared" si="91"/>
        <v>809050732.23333335</v>
      </c>
      <c r="I630" s="9">
        <f t="shared" si="94"/>
        <v>12812047997.666666</v>
      </c>
      <c r="J630" s="9">
        <f t="shared" si="95"/>
        <v>10302225</v>
      </c>
      <c r="K630" s="21">
        <f t="shared" si="96"/>
        <v>1243.6195091513403</v>
      </c>
      <c r="L630" s="4" t="str">
        <f t="shared" si="92"/>
        <v>BUY</v>
      </c>
      <c r="M630" s="4" t="str">
        <f t="shared" si="97"/>
        <v>BUY</v>
      </c>
      <c r="N630" s="4">
        <f t="shared" si="93"/>
        <v>1</v>
      </c>
      <c r="O630" s="4">
        <f t="shared" si="98"/>
        <v>1247.8499999999999</v>
      </c>
      <c r="P630" s="4">
        <f t="shared" si="99"/>
        <v>-6.8178150718087929E-3</v>
      </c>
    </row>
    <row r="631" spans="1:16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 s="7">
        <v>1240.5999999999999</v>
      </c>
      <c r="F631">
        <v>760438</v>
      </c>
      <c r="G631" s="8">
        <f t="shared" si="90"/>
        <v>1241.2166666666667</v>
      </c>
      <c r="H631" s="9">
        <f t="shared" si="91"/>
        <v>943868319.56666672</v>
      </c>
      <c r="I631" s="9">
        <f t="shared" si="94"/>
        <v>11203417300.733335</v>
      </c>
      <c r="J631" s="9">
        <f t="shared" si="95"/>
        <v>8984673</v>
      </c>
      <c r="K631" s="21">
        <f t="shared" si="96"/>
        <v>1246.9476964529856</v>
      </c>
      <c r="L631" s="4" t="str">
        <f t="shared" si="92"/>
        <v>SELL</v>
      </c>
      <c r="M631" s="4" t="str">
        <f t="shared" si="97"/>
        <v>SELL</v>
      </c>
      <c r="N631" s="4">
        <f t="shared" si="93"/>
        <v>-1</v>
      </c>
      <c r="O631" s="4">
        <f t="shared" si="98"/>
        <v>1240.5999999999999</v>
      </c>
      <c r="P631" s="4">
        <f t="shared" si="99"/>
        <v>-5.8099931882838489E-3</v>
      </c>
    </row>
    <row r="632" spans="1:16" x14ac:dyDescent="0.25">
      <c r="A632" s="1">
        <v>42160</v>
      </c>
      <c r="B632">
        <v>1240</v>
      </c>
      <c r="C632">
        <v>1252.8</v>
      </c>
      <c r="D632">
        <v>1227</v>
      </c>
      <c r="E632" s="7">
        <v>1247.75</v>
      </c>
      <c r="F632">
        <v>964964</v>
      </c>
      <c r="G632" s="8">
        <f t="shared" si="90"/>
        <v>1242.5166666666667</v>
      </c>
      <c r="H632" s="9">
        <f t="shared" si="91"/>
        <v>1198983852.7333333</v>
      </c>
      <c r="I632" s="9">
        <f t="shared" si="94"/>
        <v>11222639577.466667</v>
      </c>
      <c r="J632" s="9">
        <f t="shared" si="95"/>
        <v>8989857</v>
      </c>
      <c r="K632" s="21">
        <f t="shared" si="96"/>
        <v>1248.3668625058961</v>
      </c>
      <c r="L632" s="4" t="str">
        <f t="shared" si="92"/>
        <v>SELL</v>
      </c>
      <c r="M632" s="4">
        <f t="shared" si="97"/>
        <v>0</v>
      </c>
      <c r="N632" s="4">
        <f t="shared" si="93"/>
        <v>-1</v>
      </c>
      <c r="O632" s="4">
        <f t="shared" si="98"/>
        <v>1240.5999999999999</v>
      </c>
      <c r="P632" s="4">
        <f t="shared" si="99"/>
        <v>0</v>
      </c>
    </row>
    <row r="633" spans="1:16" x14ac:dyDescent="0.25">
      <c r="A633" s="1">
        <v>42163</v>
      </c>
      <c r="B633">
        <v>1245</v>
      </c>
      <c r="C633">
        <v>1264.55</v>
      </c>
      <c r="D633">
        <v>1243.3499999999999</v>
      </c>
      <c r="E633" s="7">
        <v>1259.4000000000001</v>
      </c>
      <c r="F633">
        <v>956384</v>
      </c>
      <c r="G633" s="8">
        <f t="shared" si="90"/>
        <v>1255.7666666666667</v>
      </c>
      <c r="H633" s="9">
        <f t="shared" si="91"/>
        <v>1200995147.7333333</v>
      </c>
      <c r="I633" s="9">
        <f t="shared" si="94"/>
        <v>11452837388.950001</v>
      </c>
      <c r="J633" s="9">
        <f t="shared" si="95"/>
        <v>9151862</v>
      </c>
      <c r="K633" s="21">
        <f t="shared" si="96"/>
        <v>1251.4215565040208</v>
      </c>
      <c r="L633" s="4" t="str">
        <f t="shared" si="92"/>
        <v>BUY</v>
      </c>
      <c r="M633" s="4" t="str">
        <f t="shared" si="97"/>
        <v>BUY</v>
      </c>
      <c r="N633" s="4">
        <f t="shared" si="93"/>
        <v>1</v>
      </c>
      <c r="O633" s="4">
        <f t="shared" si="98"/>
        <v>1259.4000000000001</v>
      </c>
      <c r="P633" s="4">
        <f t="shared" si="99"/>
        <v>-1.5153957762373193E-2</v>
      </c>
    </row>
    <row r="634" spans="1:16" x14ac:dyDescent="0.25">
      <c r="A634" s="1">
        <v>42164</v>
      </c>
      <c r="B634">
        <v>1265</v>
      </c>
      <c r="C634">
        <v>1270.25</v>
      </c>
      <c r="D634">
        <v>1249.55</v>
      </c>
      <c r="E634" s="7">
        <v>1261.7</v>
      </c>
      <c r="F634">
        <v>1258799</v>
      </c>
      <c r="G634" s="8">
        <f t="shared" si="90"/>
        <v>1260.5</v>
      </c>
      <c r="H634" s="9">
        <f t="shared" si="91"/>
        <v>1586716139.5</v>
      </c>
      <c r="I634" s="9">
        <f t="shared" si="94"/>
        <v>12357236627.933334</v>
      </c>
      <c r="J634" s="9">
        <f t="shared" si="95"/>
        <v>9855804</v>
      </c>
      <c r="K634" s="21">
        <f t="shared" si="96"/>
        <v>1253.8030005399189</v>
      </c>
      <c r="L634" s="4" t="str">
        <f t="shared" si="92"/>
        <v>BUY</v>
      </c>
      <c r="M634" s="4">
        <f t="shared" si="97"/>
        <v>0</v>
      </c>
      <c r="N634" s="4">
        <f t="shared" si="93"/>
        <v>1</v>
      </c>
      <c r="O634" s="4">
        <f t="shared" si="98"/>
        <v>1259.4000000000001</v>
      </c>
      <c r="P634" s="4">
        <f t="shared" si="99"/>
        <v>0</v>
      </c>
    </row>
    <row r="635" spans="1:16" x14ac:dyDescent="0.25">
      <c r="A635" s="1">
        <v>42165</v>
      </c>
      <c r="B635">
        <v>1253.25</v>
      </c>
      <c r="C635">
        <v>1274.5</v>
      </c>
      <c r="D635">
        <v>1253.25</v>
      </c>
      <c r="E635" s="7">
        <v>1258.3</v>
      </c>
      <c r="F635">
        <v>1017269</v>
      </c>
      <c r="G635" s="8">
        <f t="shared" si="90"/>
        <v>1262.0166666666667</v>
      </c>
      <c r="H635" s="9">
        <f t="shared" si="91"/>
        <v>1283810432.4833333</v>
      </c>
      <c r="I635" s="9">
        <f t="shared" si="94"/>
        <v>12203053870.666668</v>
      </c>
      <c r="J635" s="9">
        <f t="shared" si="95"/>
        <v>9720142</v>
      </c>
      <c r="K635" s="21">
        <f t="shared" si="96"/>
        <v>1255.4398763584593</v>
      </c>
      <c r="L635" s="4" t="str">
        <f t="shared" si="92"/>
        <v>BUY</v>
      </c>
      <c r="M635" s="4">
        <f t="shared" si="97"/>
        <v>0</v>
      </c>
      <c r="N635" s="4">
        <f t="shared" si="93"/>
        <v>1</v>
      </c>
      <c r="O635" s="4">
        <f t="shared" si="98"/>
        <v>1259.4000000000001</v>
      </c>
      <c r="P635" s="4">
        <f t="shared" si="99"/>
        <v>0</v>
      </c>
    </row>
    <row r="636" spans="1:16" x14ac:dyDescent="0.25">
      <c r="A636" s="1">
        <v>42166</v>
      </c>
      <c r="B636">
        <v>1225</v>
      </c>
      <c r="C636">
        <v>1250</v>
      </c>
      <c r="D636">
        <v>1219.3</v>
      </c>
      <c r="E636" s="7">
        <v>1236</v>
      </c>
      <c r="F636">
        <v>3929540</v>
      </c>
      <c r="G636" s="8">
        <f t="shared" si="90"/>
        <v>1235.1000000000001</v>
      </c>
      <c r="H636" s="9">
        <f t="shared" si="91"/>
        <v>4853374854.000001</v>
      </c>
      <c r="I636" s="9">
        <f t="shared" si="94"/>
        <v>15869694882.666668</v>
      </c>
      <c r="J636" s="9">
        <f t="shared" si="95"/>
        <v>12702568</v>
      </c>
      <c r="K636" s="21">
        <f t="shared" si="96"/>
        <v>1249.3296538673651</v>
      </c>
      <c r="L636" s="4" t="str">
        <f t="shared" si="92"/>
        <v>SELL</v>
      </c>
      <c r="M636" s="4" t="str">
        <f t="shared" si="97"/>
        <v>SELL</v>
      </c>
      <c r="N636" s="4">
        <f t="shared" si="93"/>
        <v>-1</v>
      </c>
      <c r="O636" s="4">
        <f t="shared" si="98"/>
        <v>1236</v>
      </c>
      <c r="P636" s="4">
        <f t="shared" si="99"/>
        <v>-1.8580276322058192E-2</v>
      </c>
    </row>
    <row r="637" spans="1:16" x14ac:dyDescent="0.25">
      <c r="A637" s="1">
        <v>42167</v>
      </c>
      <c r="B637">
        <v>1273.8</v>
      </c>
      <c r="C637">
        <v>1284</v>
      </c>
      <c r="D637">
        <v>1243</v>
      </c>
      <c r="E637" s="7">
        <v>1249.4000000000001</v>
      </c>
      <c r="F637">
        <v>3608577</v>
      </c>
      <c r="G637" s="8">
        <f t="shared" si="90"/>
        <v>1258.8</v>
      </c>
      <c r="H637" s="9">
        <f t="shared" si="91"/>
        <v>4542476727.5999994</v>
      </c>
      <c r="I637" s="9">
        <f t="shared" si="94"/>
        <v>19142671509.849998</v>
      </c>
      <c r="J637" s="9">
        <f t="shared" si="95"/>
        <v>15316070</v>
      </c>
      <c r="K637" s="21">
        <f t="shared" si="96"/>
        <v>1249.8422578278892</v>
      </c>
      <c r="L637" s="4" t="str">
        <f t="shared" si="92"/>
        <v>SELL</v>
      </c>
      <c r="M637" s="4">
        <f t="shared" si="97"/>
        <v>0</v>
      </c>
      <c r="N637" s="4">
        <f t="shared" si="93"/>
        <v>-1</v>
      </c>
      <c r="O637" s="4">
        <f t="shared" si="98"/>
        <v>1236</v>
      </c>
      <c r="P637" s="4">
        <f t="shared" si="99"/>
        <v>0</v>
      </c>
    </row>
    <row r="638" spans="1:16" x14ac:dyDescent="0.25">
      <c r="A638" s="1">
        <v>42170</v>
      </c>
      <c r="B638">
        <v>1249</v>
      </c>
      <c r="C638">
        <v>1259.25</v>
      </c>
      <c r="D638">
        <v>1202.9000000000001</v>
      </c>
      <c r="E638" s="7">
        <v>1207.3499999999999</v>
      </c>
      <c r="F638">
        <v>1810313</v>
      </c>
      <c r="G638" s="8">
        <f t="shared" si="90"/>
        <v>1223.1666666666667</v>
      </c>
      <c r="H638" s="9">
        <f t="shared" si="91"/>
        <v>2214314517.8333335</v>
      </c>
      <c r="I638" s="9">
        <f t="shared" si="94"/>
        <v>20021750462.683334</v>
      </c>
      <c r="J638" s="9">
        <f t="shared" si="95"/>
        <v>16070833</v>
      </c>
      <c r="K638" s="21">
        <f t="shared" si="96"/>
        <v>1245.8439747761261</v>
      </c>
      <c r="L638" s="4" t="str">
        <f t="shared" si="92"/>
        <v>SELL</v>
      </c>
      <c r="M638" s="4">
        <f t="shared" si="97"/>
        <v>0</v>
      </c>
      <c r="N638" s="4">
        <f t="shared" si="93"/>
        <v>-1</v>
      </c>
      <c r="O638" s="4">
        <f t="shared" si="98"/>
        <v>1236</v>
      </c>
      <c r="P638" s="4">
        <f t="shared" si="99"/>
        <v>0</v>
      </c>
    </row>
    <row r="639" spans="1:16" x14ac:dyDescent="0.25">
      <c r="A639" s="1">
        <v>42171</v>
      </c>
      <c r="B639">
        <v>1218</v>
      </c>
      <c r="C639">
        <v>1224</v>
      </c>
      <c r="D639">
        <v>1175.2</v>
      </c>
      <c r="E639" s="7">
        <v>1185.9000000000001</v>
      </c>
      <c r="F639">
        <v>3191908</v>
      </c>
      <c r="G639" s="8">
        <f t="shared" si="90"/>
        <v>1195.0333333333333</v>
      </c>
      <c r="H639" s="9">
        <f t="shared" si="91"/>
        <v>3814436456.9333334</v>
      </c>
      <c r="I639" s="9">
        <f t="shared" si="94"/>
        <v>22448027180.616669</v>
      </c>
      <c r="J639" s="9">
        <f t="shared" si="95"/>
        <v>18149095</v>
      </c>
      <c r="K639" s="21">
        <f t="shared" si="96"/>
        <v>1236.8675782796149</v>
      </c>
      <c r="L639" s="4" t="str">
        <f t="shared" si="92"/>
        <v>SELL</v>
      </c>
      <c r="M639" s="4">
        <f t="shared" si="97"/>
        <v>0</v>
      </c>
      <c r="N639" s="4">
        <f t="shared" si="93"/>
        <v>-1</v>
      </c>
      <c r="O639" s="4">
        <f t="shared" si="98"/>
        <v>1236</v>
      </c>
      <c r="P639" s="4">
        <f t="shared" si="99"/>
        <v>0</v>
      </c>
    </row>
    <row r="640" spans="1:16" x14ac:dyDescent="0.25">
      <c r="A640" s="1">
        <v>42172</v>
      </c>
      <c r="B640">
        <v>1195</v>
      </c>
      <c r="C640">
        <v>1204.4000000000001</v>
      </c>
      <c r="D640">
        <v>1178.5</v>
      </c>
      <c r="E640" s="7">
        <v>1195.3</v>
      </c>
      <c r="F640">
        <v>1487643</v>
      </c>
      <c r="G640" s="8">
        <f t="shared" si="90"/>
        <v>1192.7333333333333</v>
      </c>
      <c r="H640" s="9">
        <f t="shared" si="91"/>
        <v>1774361394.2</v>
      </c>
      <c r="I640" s="9">
        <f t="shared" si="94"/>
        <v>23413337842.583336</v>
      </c>
      <c r="J640" s="9">
        <f t="shared" si="95"/>
        <v>18985835</v>
      </c>
      <c r="K640" s="21">
        <f t="shared" si="96"/>
        <v>1233.2003223763052</v>
      </c>
      <c r="L640" s="4" t="str">
        <f t="shared" si="92"/>
        <v>SELL</v>
      </c>
      <c r="M640" s="4">
        <f t="shared" si="97"/>
        <v>0</v>
      </c>
      <c r="N640" s="4">
        <f t="shared" si="93"/>
        <v>-1</v>
      </c>
      <c r="O640" s="4">
        <f t="shared" si="98"/>
        <v>1236</v>
      </c>
      <c r="P640" s="4">
        <f t="shared" si="99"/>
        <v>0</v>
      </c>
    </row>
    <row r="641" spans="1:16" x14ac:dyDescent="0.25">
      <c r="A641" s="1">
        <v>42173</v>
      </c>
      <c r="B641">
        <v>1203</v>
      </c>
      <c r="C641">
        <v>1210</v>
      </c>
      <c r="D641">
        <v>1195.25</v>
      </c>
      <c r="E641" s="7">
        <v>1201</v>
      </c>
      <c r="F641">
        <v>667676</v>
      </c>
      <c r="G641" s="8">
        <f t="shared" si="90"/>
        <v>1202.0833333333333</v>
      </c>
      <c r="H641" s="9">
        <f t="shared" si="91"/>
        <v>802602191.66666663</v>
      </c>
      <c r="I641" s="9">
        <f t="shared" si="94"/>
        <v>23272071714.683334</v>
      </c>
      <c r="J641" s="9">
        <f t="shared" si="95"/>
        <v>18893073</v>
      </c>
      <c r="K641" s="21">
        <f t="shared" si="96"/>
        <v>1231.77800216425</v>
      </c>
      <c r="L641" s="4" t="str">
        <f t="shared" si="92"/>
        <v>SELL</v>
      </c>
      <c r="M641" s="4">
        <f t="shared" si="97"/>
        <v>0</v>
      </c>
      <c r="N641" s="4">
        <f t="shared" si="93"/>
        <v>-1</v>
      </c>
      <c r="O641" s="4">
        <f t="shared" si="98"/>
        <v>1236</v>
      </c>
      <c r="P641" s="4">
        <f t="shared" si="99"/>
        <v>0</v>
      </c>
    </row>
    <row r="642" spans="1:16" x14ac:dyDescent="0.25">
      <c r="A642" s="1">
        <v>42174</v>
      </c>
      <c r="B642">
        <v>1201</v>
      </c>
      <c r="C642">
        <v>1228</v>
      </c>
      <c r="D642">
        <v>1200.3</v>
      </c>
      <c r="E642" s="7">
        <v>1223.05</v>
      </c>
      <c r="F642">
        <v>1689113</v>
      </c>
      <c r="G642" s="8">
        <f t="shared" ref="G642:G705" si="100">AVERAGE(C642:E642)</f>
        <v>1217.1166666666668</v>
      </c>
      <c r="H642" s="9">
        <f t="shared" si="91"/>
        <v>2055847584.1833336</v>
      </c>
      <c r="I642" s="9">
        <f t="shared" si="94"/>
        <v>24128935446.133335</v>
      </c>
      <c r="J642" s="9">
        <f t="shared" si="95"/>
        <v>19617222</v>
      </c>
      <c r="K642" s="21">
        <f t="shared" si="96"/>
        <v>1229.9873777303094</v>
      </c>
      <c r="L642" s="4" t="str">
        <f t="shared" si="92"/>
        <v>SELL</v>
      </c>
      <c r="M642" s="4">
        <f t="shared" si="97"/>
        <v>0</v>
      </c>
      <c r="N642" s="4">
        <f t="shared" si="93"/>
        <v>-1</v>
      </c>
      <c r="O642" s="4">
        <f t="shared" si="98"/>
        <v>1236</v>
      </c>
      <c r="P642" s="4">
        <f t="shared" si="99"/>
        <v>0</v>
      </c>
    </row>
    <row r="643" spans="1:16" x14ac:dyDescent="0.25">
      <c r="A643" s="1">
        <v>42177</v>
      </c>
      <c r="B643">
        <v>1208</v>
      </c>
      <c r="C643">
        <v>1227.2</v>
      </c>
      <c r="D643">
        <v>1201</v>
      </c>
      <c r="E643" s="7">
        <v>1214.25</v>
      </c>
      <c r="F643">
        <v>1451599</v>
      </c>
      <c r="G643" s="8">
        <f t="shared" si="100"/>
        <v>1214.1499999999999</v>
      </c>
      <c r="H643" s="9">
        <f t="shared" ref="H643:H706" si="101">G643*F643</f>
        <v>1762458925.8499999</v>
      </c>
      <c r="I643" s="9">
        <f t="shared" si="94"/>
        <v>24690399224.250004</v>
      </c>
      <c r="J643" s="9">
        <f t="shared" si="95"/>
        <v>20112437</v>
      </c>
      <c r="K643" s="21">
        <f t="shared" si="96"/>
        <v>1227.6184742927971</v>
      </c>
      <c r="L643" s="4" t="str">
        <f t="shared" si="92"/>
        <v>SELL</v>
      </c>
      <c r="M643" s="4">
        <f t="shared" si="97"/>
        <v>0</v>
      </c>
      <c r="N643" s="4">
        <f t="shared" si="93"/>
        <v>-1</v>
      </c>
      <c r="O643" s="4">
        <f t="shared" si="98"/>
        <v>1236</v>
      </c>
      <c r="P643" s="4">
        <f t="shared" si="99"/>
        <v>0</v>
      </c>
    </row>
    <row r="644" spans="1:16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 s="7">
        <v>1209.1500000000001</v>
      </c>
      <c r="F644">
        <v>824046</v>
      </c>
      <c r="G644" s="8">
        <f t="shared" si="100"/>
        <v>1208.3</v>
      </c>
      <c r="H644" s="9">
        <f t="shared" si="101"/>
        <v>995694781.79999995</v>
      </c>
      <c r="I644" s="9">
        <f t="shared" si="94"/>
        <v>24099377866.550003</v>
      </c>
      <c r="J644" s="9">
        <f t="shared" si="95"/>
        <v>19677684</v>
      </c>
      <c r="K644" s="21">
        <f t="shared" si="96"/>
        <v>1224.7060104507218</v>
      </c>
      <c r="L644" s="4" t="str">
        <f t="shared" si="92"/>
        <v>SELL</v>
      </c>
      <c r="M644" s="4">
        <f t="shared" si="97"/>
        <v>0</v>
      </c>
      <c r="N644" s="4">
        <f t="shared" si="93"/>
        <v>-1</v>
      </c>
      <c r="O644" s="4">
        <f t="shared" si="98"/>
        <v>1236</v>
      </c>
      <c r="P644" s="4">
        <f t="shared" si="99"/>
        <v>0</v>
      </c>
    </row>
    <row r="645" spans="1:16" x14ac:dyDescent="0.25">
      <c r="A645" s="1">
        <v>42179</v>
      </c>
      <c r="B645">
        <v>1204</v>
      </c>
      <c r="C645">
        <v>1217</v>
      </c>
      <c r="D645">
        <v>1196.9000000000001</v>
      </c>
      <c r="E645" s="7">
        <v>1213.1500000000001</v>
      </c>
      <c r="F645">
        <v>833015</v>
      </c>
      <c r="G645" s="8">
        <f t="shared" si="100"/>
        <v>1209.0166666666667</v>
      </c>
      <c r="H645" s="9">
        <f t="shared" si="101"/>
        <v>1007129018.5833334</v>
      </c>
      <c r="I645" s="9">
        <f t="shared" si="94"/>
        <v>23822696452.650002</v>
      </c>
      <c r="J645" s="9">
        <f t="shared" si="95"/>
        <v>19493430</v>
      </c>
      <c r="K645" s="21">
        <f t="shared" si="96"/>
        <v>1222.0884909761905</v>
      </c>
      <c r="L645" s="4" t="str">
        <f t="shared" si="92"/>
        <v>SELL</v>
      </c>
      <c r="M645" s="4">
        <f t="shared" si="97"/>
        <v>0</v>
      </c>
      <c r="N645" s="4">
        <f t="shared" si="93"/>
        <v>-1</v>
      </c>
      <c r="O645" s="4">
        <f t="shared" si="98"/>
        <v>1236</v>
      </c>
      <c r="P645" s="4">
        <f t="shared" si="99"/>
        <v>0</v>
      </c>
    </row>
    <row r="646" spans="1:16" x14ac:dyDescent="0.25">
      <c r="A646" s="1">
        <v>42180</v>
      </c>
      <c r="B646">
        <v>1213</v>
      </c>
      <c r="C646">
        <v>1221</v>
      </c>
      <c r="D646">
        <v>1190.2</v>
      </c>
      <c r="E646" s="7">
        <v>1198.45</v>
      </c>
      <c r="F646">
        <v>1472873</v>
      </c>
      <c r="G646" s="8">
        <f t="shared" si="100"/>
        <v>1203.2166666666665</v>
      </c>
      <c r="H646" s="9">
        <f t="shared" si="101"/>
        <v>1772185341.4833331</v>
      </c>
      <c r="I646" s="9">
        <f t="shared" si="94"/>
        <v>20741506940.133331</v>
      </c>
      <c r="J646" s="9">
        <f t="shared" si="95"/>
        <v>17036763</v>
      </c>
      <c r="K646" s="21">
        <f t="shared" si="96"/>
        <v>1217.4558594337041</v>
      </c>
      <c r="L646" s="4" t="str">
        <f t="shared" si="92"/>
        <v>SELL</v>
      </c>
      <c r="M646" s="4">
        <f t="shared" si="97"/>
        <v>0</v>
      </c>
      <c r="N646" s="4">
        <f t="shared" si="93"/>
        <v>-1</v>
      </c>
      <c r="O646" s="4">
        <f t="shared" si="98"/>
        <v>1236</v>
      </c>
      <c r="P646" s="4">
        <f t="shared" si="99"/>
        <v>0</v>
      </c>
    </row>
    <row r="647" spans="1:16" x14ac:dyDescent="0.25">
      <c r="A647" s="1">
        <v>42181</v>
      </c>
      <c r="B647">
        <v>1215</v>
      </c>
      <c r="C647">
        <v>1230.2</v>
      </c>
      <c r="D647">
        <v>1203.25</v>
      </c>
      <c r="E647" s="7">
        <v>1225.3</v>
      </c>
      <c r="F647">
        <v>921488</v>
      </c>
      <c r="G647" s="8">
        <f t="shared" si="100"/>
        <v>1219.5833333333333</v>
      </c>
      <c r="H647" s="9">
        <f t="shared" si="101"/>
        <v>1123831406.6666665</v>
      </c>
      <c r="I647" s="9">
        <f t="shared" si="94"/>
        <v>17322861619.200001</v>
      </c>
      <c r="J647" s="9">
        <f t="shared" si="95"/>
        <v>14349674</v>
      </c>
      <c r="K647" s="21">
        <f t="shared" si="96"/>
        <v>1207.1954818764525</v>
      </c>
      <c r="L647" s="4" t="str">
        <f t="shared" si="92"/>
        <v>BUY</v>
      </c>
      <c r="M647" s="4" t="str">
        <f t="shared" si="97"/>
        <v>BUY</v>
      </c>
      <c r="N647" s="4">
        <f t="shared" si="93"/>
        <v>1</v>
      </c>
      <c r="O647" s="4">
        <f t="shared" si="98"/>
        <v>1225.3</v>
      </c>
      <c r="P647" s="4">
        <f t="shared" si="99"/>
        <v>8.6569579288026249E-3</v>
      </c>
    </row>
    <row r="648" spans="1:16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 s="7">
        <v>1231</v>
      </c>
      <c r="F648">
        <v>1312856</v>
      </c>
      <c r="G648" s="8">
        <f t="shared" si="100"/>
        <v>1229.4666666666665</v>
      </c>
      <c r="H648" s="9">
        <f t="shared" si="101"/>
        <v>1614112690.133333</v>
      </c>
      <c r="I648" s="9">
        <f t="shared" si="94"/>
        <v>16722659791.5</v>
      </c>
      <c r="J648" s="9">
        <f t="shared" si="95"/>
        <v>13852217</v>
      </c>
      <c r="K648" s="21">
        <f t="shared" si="96"/>
        <v>1207.2190171075142</v>
      </c>
      <c r="L648" s="4" t="str">
        <f t="shared" si="92"/>
        <v>BUY</v>
      </c>
      <c r="M648" s="4">
        <f t="shared" si="97"/>
        <v>0</v>
      </c>
      <c r="N648" s="4">
        <f t="shared" si="93"/>
        <v>1</v>
      </c>
      <c r="O648" s="4">
        <f t="shared" si="98"/>
        <v>1225.3</v>
      </c>
      <c r="P648" s="4">
        <f t="shared" si="99"/>
        <v>0</v>
      </c>
    </row>
    <row r="649" spans="1:16" x14ac:dyDescent="0.25">
      <c r="A649" s="1">
        <v>42185</v>
      </c>
      <c r="B649">
        <v>1235</v>
      </c>
      <c r="C649">
        <v>1249.25</v>
      </c>
      <c r="D649">
        <v>1226.25</v>
      </c>
      <c r="E649" s="7">
        <v>1243.6500000000001</v>
      </c>
      <c r="F649">
        <v>989982</v>
      </c>
      <c r="G649" s="8">
        <f t="shared" si="100"/>
        <v>1239.7166666666667</v>
      </c>
      <c r="H649" s="9">
        <f t="shared" si="101"/>
        <v>1227297185.1000001</v>
      </c>
      <c r="I649" s="9">
        <f t="shared" si="94"/>
        <v>14135520519.666666</v>
      </c>
      <c r="J649" s="9">
        <f t="shared" si="95"/>
        <v>11650291</v>
      </c>
      <c r="K649" s="21">
        <f t="shared" si="96"/>
        <v>1213.3190938892999</v>
      </c>
      <c r="L649" s="4" t="str">
        <f t="shared" si="92"/>
        <v>BUY</v>
      </c>
      <c r="M649" s="4">
        <f t="shared" si="97"/>
        <v>0</v>
      </c>
      <c r="N649" s="4">
        <f t="shared" si="93"/>
        <v>1</v>
      </c>
      <c r="O649" s="4">
        <f t="shared" si="98"/>
        <v>1225.3</v>
      </c>
      <c r="P649" s="4">
        <f t="shared" si="99"/>
        <v>0</v>
      </c>
    </row>
    <row r="650" spans="1:16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 s="7">
        <v>1224.6500000000001</v>
      </c>
      <c r="F650">
        <v>647875</v>
      </c>
      <c r="G650" s="8">
        <f t="shared" si="100"/>
        <v>1230.5166666666667</v>
      </c>
      <c r="H650" s="9">
        <f t="shared" si="101"/>
        <v>797220985.41666663</v>
      </c>
      <c r="I650" s="9">
        <f t="shared" si="94"/>
        <v>13158380110.883333</v>
      </c>
      <c r="J650" s="9">
        <f t="shared" si="95"/>
        <v>10810523</v>
      </c>
      <c r="K650" s="21">
        <f t="shared" si="96"/>
        <v>1217.1825646995371</v>
      </c>
      <c r="L650" s="4" t="str">
        <f t="shared" si="92"/>
        <v>BUY</v>
      </c>
      <c r="M650" s="4">
        <f t="shared" si="97"/>
        <v>0</v>
      </c>
      <c r="N650" s="4">
        <f t="shared" si="93"/>
        <v>1</v>
      </c>
      <c r="O650" s="4">
        <f t="shared" si="98"/>
        <v>1225.3</v>
      </c>
      <c r="P650" s="4">
        <f t="shared" si="99"/>
        <v>0</v>
      </c>
    </row>
    <row r="651" spans="1:16" x14ac:dyDescent="0.25">
      <c r="A651" s="1">
        <v>42187</v>
      </c>
      <c r="B651">
        <v>1229.95</v>
      </c>
      <c r="C651">
        <v>1236.7</v>
      </c>
      <c r="D651">
        <v>1222</v>
      </c>
      <c r="E651" s="7">
        <v>1232.8</v>
      </c>
      <c r="F651">
        <v>475529</v>
      </c>
      <c r="G651" s="8">
        <f t="shared" si="100"/>
        <v>1230.5</v>
      </c>
      <c r="H651" s="9">
        <f t="shared" si="101"/>
        <v>585138434.5</v>
      </c>
      <c r="I651" s="9">
        <f t="shared" si="94"/>
        <v>12940916353.716665</v>
      </c>
      <c r="J651" s="9">
        <f t="shared" si="95"/>
        <v>10618376</v>
      </c>
      <c r="K651" s="21">
        <f t="shared" si="96"/>
        <v>1218.7283962930551</v>
      </c>
      <c r="L651" s="4" t="str">
        <f t="shared" ref="L651:L714" si="102">IF(E651&gt;K651,"BUY",IF(E651&lt;K651,"SELL",0))</f>
        <v>BUY</v>
      </c>
      <c r="M651" s="4">
        <f t="shared" si="97"/>
        <v>0</v>
      </c>
      <c r="N651" s="4">
        <f t="shared" ref="N651:N714" si="103">IF(M651="BUY",1,IF(M651="SELL",-1,N650))</f>
        <v>1</v>
      </c>
      <c r="O651" s="4">
        <f t="shared" si="98"/>
        <v>1225.3</v>
      </c>
      <c r="P651" s="4">
        <f t="shared" si="99"/>
        <v>0</v>
      </c>
    </row>
    <row r="652" spans="1:16" x14ac:dyDescent="0.25">
      <c r="A652" s="1">
        <v>42188</v>
      </c>
      <c r="B652">
        <v>1228</v>
      </c>
      <c r="C652">
        <v>1240.25</v>
      </c>
      <c r="D652">
        <v>1218.0999999999999</v>
      </c>
      <c r="E652" s="7">
        <v>1236.9000000000001</v>
      </c>
      <c r="F652">
        <v>488868</v>
      </c>
      <c r="G652" s="8">
        <f t="shared" si="100"/>
        <v>1231.75</v>
      </c>
      <c r="H652" s="9">
        <f t="shared" si="101"/>
        <v>602163159</v>
      </c>
      <c r="I652" s="9">
        <f t="shared" ref="I652:I715" si="104">SUM(H643:H652)</f>
        <v>11487231928.533333</v>
      </c>
      <c r="J652" s="9">
        <f t="shared" ref="J652:J715" si="105">SUM(F643:F652)</f>
        <v>9418131</v>
      </c>
      <c r="K652" s="21">
        <f t="shared" ref="K652:K715" si="106">I652/J652</f>
        <v>1219.693368942663</v>
      </c>
      <c r="L652" s="4" t="str">
        <f t="shared" si="102"/>
        <v>BUY</v>
      </c>
      <c r="M652" s="4">
        <f t="shared" ref="M652:M715" si="107">IF(L652&lt;&gt;L651,L652,0)</f>
        <v>0</v>
      </c>
      <c r="N652" s="4">
        <f t="shared" si="103"/>
        <v>1</v>
      </c>
      <c r="O652" s="4">
        <f t="shared" ref="O652:O715" si="108">IF(M652&lt;&gt;0,E652,O651)</f>
        <v>1225.3</v>
      </c>
      <c r="P652" s="4">
        <f t="shared" ref="P652:P715" si="109">IF(M652="BUY",(O651-O652)/O651,IF(M652="SELL",(O652-O651)/O651,0))</f>
        <v>0</v>
      </c>
    </row>
    <row r="653" spans="1:16" x14ac:dyDescent="0.25">
      <c r="A653" s="1">
        <v>42191</v>
      </c>
      <c r="B653">
        <v>1245</v>
      </c>
      <c r="C653">
        <v>1248</v>
      </c>
      <c r="D653">
        <v>1225.2</v>
      </c>
      <c r="E653" s="7">
        <v>1228.9000000000001</v>
      </c>
      <c r="F653">
        <v>507770</v>
      </c>
      <c r="G653" s="8">
        <f t="shared" si="100"/>
        <v>1234.0333333333333</v>
      </c>
      <c r="H653" s="9">
        <f t="shared" si="101"/>
        <v>626605105.66666663</v>
      </c>
      <c r="I653" s="9">
        <f t="shared" si="104"/>
        <v>10351378108.35</v>
      </c>
      <c r="J653" s="9">
        <f t="shared" si="105"/>
        <v>8474302</v>
      </c>
      <c r="K653" s="21">
        <f t="shared" si="106"/>
        <v>1221.5021494808659</v>
      </c>
      <c r="L653" s="4" t="str">
        <f t="shared" si="102"/>
        <v>BUY</v>
      </c>
      <c r="M653" s="4">
        <f t="shared" si="107"/>
        <v>0</v>
      </c>
      <c r="N653" s="4">
        <f t="shared" si="103"/>
        <v>1</v>
      </c>
      <c r="O653" s="4">
        <f t="shared" si="108"/>
        <v>1225.3</v>
      </c>
      <c r="P653" s="4">
        <f t="shared" si="109"/>
        <v>0</v>
      </c>
    </row>
    <row r="654" spans="1:16" x14ac:dyDescent="0.25">
      <c r="A654" s="1">
        <v>42192</v>
      </c>
      <c r="B654">
        <v>1239</v>
      </c>
      <c r="C654">
        <v>1266.2</v>
      </c>
      <c r="D654">
        <v>1234.6500000000001</v>
      </c>
      <c r="E654" s="7">
        <v>1264.05</v>
      </c>
      <c r="F654">
        <v>1049577</v>
      </c>
      <c r="G654" s="8">
        <f t="shared" si="100"/>
        <v>1254.9666666666669</v>
      </c>
      <c r="H654" s="9">
        <f t="shared" si="101"/>
        <v>1317184149.1000004</v>
      </c>
      <c r="I654" s="9">
        <f t="shared" si="104"/>
        <v>10672867475.65</v>
      </c>
      <c r="J654" s="9">
        <f t="shared" si="105"/>
        <v>8699833</v>
      </c>
      <c r="K654" s="21">
        <f t="shared" si="106"/>
        <v>1226.7899252376453</v>
      </c>
      <c r="L654" s="4" t="str">
        <f t="shared" si="102"/>
        <v>BUY</v>
      </c>
      <c r="M654" s="4">
        <f t="shared" si="107"/>
        <v>0</v>
      </c>
      <c r="N654" s="4">
        <f t="shared" si="103"/>
        <v>1</v>
      </c>
      <c r="O654" s="4">
        <f t="shared" si="108"/>
        <v>1225.3</v>
      </c>
      <c r="P654" s="4">
        <f t="shared" si="109"/>
        <v>0</v>
      </c>
    </row>
    <row r="655" spans="1:16" x14ac:dyDescent="0.25">
      <c r="A655" s="1">
        <v>42193</v>
      </c>
      <c r="B655">
        <v>1265</v>
      </c>
      <c r="C655">
        <v>1266.6500000000001</v>
      </c>
      <c r="D655">
        <v>1246.4000000000001</v>
      </c>
      <c r="E655" s="7">
        <v>1249.2</v>
      </c>
      <c r="F655">
        <v>821500</v>
      </c>
      <c r="G655" s="8">
        <f t="shared" si="100"/>
        <v>1254.0833333333333</v>
      </c>
      <c r="H655" s="9">
        <f t="shared" si="101"/>
        <v>1030229458.3333333</v>
      </c>
      <c r="I655" s="9">
        <f t="shared" si="104"/>
        <v>10695967915.400002</v>
      </c>
      <c r="J655" s="9">
        <f t="shared" si="105"/>
        <v>8688318</v>
      </c>
      <c r="K655" s="21">
        <f t="shared" si="106"/>
        <v>1231.0746355508629</v>
      </c>
      <c r="L655" s="4" t="str">
        <f t="shared" si="102"/>
        <v>BUY</v>
      </c>
      <c r="M655" s="4">
        <f t="shared" si="107"/>
        <v>0</v>
      </c>
      <c r="N655" s="4">
        <f t="shared" si="103"/>
        <v>1</v>
      </c>
      <c r="O655" s="4">
        <f t="shared" si="108"/>
        <v>1225.3</v>
      </c>
      <c r="P655" s="4">
        <f t="shared" si="109"/>
        <v>0</v>
      </c>
    </row>
    <row r="656" spans="1:16" x14ac:dyDescent="0.25">
      <c r="A656" s="1">
        <v>42194</v>
      </c>
      <c r="B656">
        <v>1250.25</v>
      </c>
      <c r="C656">
        <v>1267.8499999999999</v>
      </c>
      <c r="D656">
        <v>1250.25</v>
      </c>
      <c r="E656" s="7">
        <v>1258.1500000000001</v>
      </c>
      <c r="F656">
        <v>564737</v>
      </c>
      <c r="G656" s="8">
        <f t="shared" si="100"/>
        <v>1258.75</v>
      </c>
      <c r="H656" s="9">
        <f t="shared" si="101"/>
        <v>710862698.75</v>
      </c>
      <c r="I656" s="9">
        <f t="shared" si="104"/>
        <v>9634645272.6666679</v>
      </c>
      <c r="J656" s="9">
        <f t="shared" si="105"/>
        <v>7780182</v>
      </c>
      <c r="K656" s="21">
        <f t="shared" si="106"/>
        <v>1238.3573125495866</v>
      </c>
      <c r="L656" s="4" t="str">
        <f t="shared" si="102"/>
        <v>BUY</v>
      </c>
      <c r="M656" s="4">
        <f t="shared" si="107"/>
        <v>0</v>
      </c>
      <c r="N656" s="4">
        <f t="shared" si="103"/>
        <v>1</v>
      </c>
      <c r="O656" s="4">
        <f t="shared" si="108"/>
        <v>1225.3</v>
      </c>
      <c r="P656" s="4">
        <f t="shared" si="109"/>
        <v>0</v>
      </c>
    </row>
    <row r="657" spans="1:16" x14ac:dyDescent="0.25">
      <c r="A657" s="1">
        <v>42195</v>
      </c>
      <c r="B657">
        <v>1256</v>
      </c>
      <c r="C657">
        <v>1285</v>
      </c>
      <c r="D657">
        <v>1255.75</v>
      </c>
      <c r="E657" s="7">
        <v>1280.05</v>
      </c>
      <c r="F657">
        <v>1541178</v>
      </c>
      <c r="G657" s="8">
        <f t="shared" si="100"/>
        <v>1273.6000000000001</v>
      </c>
      <c r="H657" s="9">
        <f t="shared" si="101"/>
        <v>1962844300.8000002</v>
      </c>
      <c r="I657" s="9">
        <f t="shared" si="104"/>
        <v>10473658166.799999</v>
      </c>
      <c r="J657" s="9">
        <f t="shared" si="105"/>
        <v>8399872</v>
      </c>
      <c r="K657" s="21">
        <f t="shared" si="106"/>
        <v>1246.8830675991253</v>
      </c>
      <c r="L657" s="4" t="str">
        <f t="shared" si="102"/>
        <v>BUY</v>
      </c>
      <c r="M657" s="4">
        <f t="shared" si="107"/>
        <v>0</v>
      </c>
      <c r="N657" s="4">
        <f t="shared" si="103"/>
        <v>1</v>
      </c>
      <c r="O657" s="4">
        <f t="shared" si="108"/>
        <v>1225.3</v>
      </c>
      <c r="P657" s="4">
        <f t="shared" si="109"/>
        <v>0</v>
      </c>
    </row>
    <row r="658" spans="1:16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 s="7">
        <v>1266.3</v>
      </c>
      <c r="F658">
        <v>714019</v>
      </c>
      <c r="G658" s="8">
        <f t="shared" si="100"/>
        <v>1267.55</v>
      </c>
      <c r="H658" s="9">
        <f t="shared" si="101"/>
        <v>905054783.44999993</v>
      </c>
      <c r="I658" s="9">
        <f t="shared" si="104"/>
        <v>9764600260.1166687</v>
      </c>
      <c r="J658" s="9">
        <f t="shared" si="105"/>
        <v>7801035</v>
      </c>
      <c r="K658" s="21">
        <f t="shared" si="106"/>
        <v>1251.7057364973582</v>
      </c>
      <c r="L658" s="4" t="str">
        <f t="shared" si="102"/>
        <v>BUY</v>
      </c>
      <c r="M658" s="4">
        <f t="shared" si="107"/>
        <v>0</v>
      </c>
      <c r="N658" s="4">
        <f t="shared" si="103"/>
        <v>1</v>
      </c>
      <c r="O658" s="4">
        <f t="shared" si="108"/>
        <v>1225.3</v>
      </c>
      <c r="P658" s="4">
        <f t="shared" si="109"/>
        <v>0</v>
      </c>
    </row>
    <row r="659" spans="1:16" x14ac:dyDescent="0.25">
      <c r="A659" s="1">
        <v>42199</v>
      </c>
      <c r="B659">
        <v>1260</v>
      </c>
      <c r="C659">
        <v>1273.25</v>
      </c>
      <c r="D659">
        <v>1259.25</v>
      </c>
      <c r="E659" s="7">
        <v>1268.4000000000001</v>
      </c>
      <c r="F659">
        <v>568465</v>
      </c>
      <c r="G659" s="8">
        <f t="shared" si="100"/>
        <v>1266.9666666666667</v>
      </c>
      <c r="H659" s="9">
        <f t="shared" si="101"/>
        <v>720226206.16666663</v>
      </c>
      <c r="I659" s="9">
        <f t="shared" si="104"/>
        <v>9257529281.1833324</v>
      </c>
      <c r="J659" s="9">
        <f t="shared" si="105"/>
        <v>7379518</v>
      </c>
      <c r="K659" s="21">
        <f t="shared" si="106"/>
        <v>1254.489694473722</v>
      </c>
      <c r="L659" s="4" t="str">
        <f t="shared" si="102"/>
        <v>BUY</v>
      </c>
      <c r="M659" s="4">
        <f t="shared" si="107"/>
        <v>0</v>
      </c>
      <c r="N659" s="4">
        <f t="shared" si="103"/>
        <v>1</v>
      </c>
      <c r="O659" s="4">
        <f t="shared" si="108"/>
        <v>1225.3</v>
      </c>
      <c r="P659" s="4">
        <f t="shared" si="109"/>
        <v>0</v>
      </c>
    </row>
    <row r="660" spans="1:16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 s="7">
        <v>1263.55</v>
      </c>
      <c r="F660">
        <v>894146</v>
      </c>
      <c r="G660" s="8">
        <f t="shared" si="100"/>
        <v>1262.3999999999999</v>
      </c>
      <c r="H660" s="9">
        <f t="shared" si="101"/>
        <v>1128769910.3999999</v>
      </c>
      <c r="I660" s="9">
        <f t="shared" si="104"/>
        <v>9589078206.1666679</v>
      </c>
      <c r="J660" s="9">
        <f t="shared" si="105"/>
        <v>7625789</v>
      </c>
      <c r="K660" s="21">
        <f t="shared" si="106"/>
        <v>1257.4539114794113</v>
      </c>
      <c r="L660" s="4" t="str">
        <f t="shared" si="102"/>
        <v>BUY</v>
      </c>
      <c r="M660" s="4">
        <f t="shared" si="107"/>
        <v>0</v>
      </c>
      <c r="N660" s="4">
        <f t="shared" si="103"/>
        <v>1</v>
      </c>
      <c r="O660" s="4">
        <f t="shared" si="108"/>
        <v>1225.3</v>
      </c>
      <c r="P660" s="4">
        <f t="shared" si="109"/>
        <v>0</v>
      </c>
    </row>
    <row r="661" spans="1:16" x14ac:dyDescent="0.25">
      <c r="A661" s="1">
        <v>42201</v>
      </c>
      <c r="B661">
        <v>1265.05</v>
      </c>
      <c r="C661">
        <v>1284.5</v>
      </c>
      <c r="D661">
        <v>1264</v>
      </c>
      <c r="E661" s="7">
        <v>1278.5999999999999</v>
      </c>
      <c r="F661">
        <v>643788</v>
      </c>
      <c r="G661" s="8">
        <f t="shared" si="100"/>
        <v>1275.7</v>
      </c>
      <c r="H661" s="9">
        <f t="shared" si="101"/>
        <v>821280351.60000002</v>
      </c>
      <c r="I661" s="9">
        <f t="shared" si="104"/>
        <v>9825220123.2666683</v>
      </c>
      <c r="J661" s="9">
        <f t="shared" si="105"/>
        <v>7794048</v>
      </c>
      <c r="K661" s="21">
        <f t="shared" si="106"/>
        <v>1260.6055445471554</v>
      </c>
      <c r="L661" s="4" t="str">
        <f t="shared" si="102"/>
        <v>BUY</v>
      </c>
      <c r="M661" s="4">
        <f t="shared" si="107"/>
        <v>0</v>
      </c>
      <c r="N661" s="4">
        <f t="shared" si="103"/>
        <v>1</v>
      </c>
      <c r="O661" s="4">
        <f t="shared" si="108"/>
        <v>1225.3</v>
      </c>
      <c r="P661" s="4">
        <f t="shared" si="109"/>
        <v>0</v>
      </c>
    </row>
    <row r="662" spans="1:16" x14ac:dyDescent="0.25">
      <c r="A662" s="1">
        <v>42202</v>
      </c>
      <c r="B662">
        <v>1279.9000000000001</v>
      </c>
      <c r="C662">
        <v>1305</v>
      </c>
      <c r="D662">
        <v>1277.0999999999999</v>
      </c>
      <c r="E662" s="7">
        <v>1298.6500000000001</v>
      </c>
      <c r="F662">
        <v>1025788</v>
      </c>
      <c r="G662" s="8">
        <f t="shared" si="100"/>
        <v>1293.5833333333333</v>
      </c>
      <c r="H662" s="9">
        <f t="shared" si="101"/>
        <v>1326942260.3333333</v>
      </c>
      <c r="I662" s="9">
        <f t="shared" si="104"/>
        <v>10549999224.6</v>
      </c>
      <c r="J662" s="9">
        <f t="shared" si="105"/>
        <v>8330968</v>
      </c>
      <c r="K662" s="21">
        <f t="shared" si="106"/>
        <v>1266.3593503900147</v>
      </c>
      <c r="L662" s="4" t="str">
        <f t="shared" si="102"/>
        <v>BUY</v>
      </c>
      <c r="M662" s="4">
        <f t="shared" si="107"/>
        <v>0</v>
      </c>
      <c r="N662" s="4">
        <f t="shared" si="103"/>
        <v>1</v>
      </c>
      <c r="O662" s="4">
        <f t="shared" si="108"/>
        <v>1225.3</v>
      </c>
      <c r="P662" s="4">
        <f t="shared" si="109"/>
        <v>0</v>
      </c>
    </row>
    <row r="663" spans="1:16" x14ac:dyDescent="0.25">
      <c r="A663" s="1">
        <v>42205</v>
      </c>
      <c r="B663">
        <v>1295.9000000000001</v>
      </c>
      <c r="C663">
        <v>1309</v>
      </c>
      <c r="D663">
        <v>1288.0999999999999</v>
      </c>
      <c r="E663" s="7">
        <v>1291.6500000000001</v>
      </c>
      <c r="F663">
        <v>567048</v>
      </c>
      <c r="G663" s="8">
        <f t="shared" si="100"/>
        <v>1296.25</v>
      </c>
      <c r="H663" s="9">
        <f t="shared" si="101"/>
        <v>735035970</v>
      </c>
      <c r="I663" s="9">
        <f t="shared" si="104"/>
        <v>10658430088.933334</v>
      </c>
      <c r="J663" s="9">
        <f t="shared" si="105"/>
        <v>8390246</v>
      </c>
      <c r="K663" s="21">
        <f t="shared" si="106"/>
        <v>1270.3358267365861</v>
      </c>
      <c r="L663" s="4" t="str">
        <f t="shared" si="102"/>
        <v>BUY</v>
      </c>
      <c r="M663" s="4">
        <f t="shared" si="107"/>
        <v>0</v>
      </c>
      <c r="N663" s="4">
        <f t="shared" si="103"/>
        <v>1</v>
      </c>
      <c r="O663" s="4">
        <f t="shared" si="108"/>
        <v>1225.3</v>
      </c>
      <c r="P663" s="4">
        <f t="shared" si="109"/>
        <v>0</v>
      </c>
    </row>
    <row r="664" spans="1:16" x14ac:dyDescent="0.25">
      <c r="A664" s="1">
        <v>42206</v>
      </c>
      <c r="B664">
        <v>1291.75</v>
      </c>
      <c r="C664">
        <v>1326</v>
      </c>
      <c r="D664">
        <v>1291.75</v>
      </c>
      <c r="E664" s="7">
        <v>1323.45</v>
      </c>
      <c r="F664">
        <v>1168657</v>
      </c>
      <c r="G664" s="8">
        <f t="shared" si="100"/>
        <v>1313.7333333333333</v>
      </c>
      <c r="H664" s="9">
        <f t="shared" si="101"/>
        <v>1535303656.1333334</v>
      </c>
      <c r="I664" s="9">
        <f t="shared" si="104"/>
        <v>10876549595.966667</v>
      </c>
      <c r="J664" s="9">
        <f t="shared" si="105"/>
        <v>8509326</v>
      </c>
      <c r="K664" s="21">
        <f t="shared" si="106"/>
        <v>1278.1916682903754</v>
      </c>
      <c r="L664" s="4" t="str">
        <f t="shared" si="102"/>
        <v>BUY</v>
      </c>
      <c r="M664" s="4">
        <f t="shared" si="107"/>
        <v>0</v>
      </c>
      <c r="N664" s="4">
        <f t="shared" si="103"/>
        <v>1</v>
      </c>
      <c r="O664" s="4">
        <f t="shared" si="108"/>
        <v>1225.3</v>
      </c>
      <c r="P664" s="4">
        <f t="shared" si="109"/>
        <v>0</v>
      </c>
    </row>
    <row r="665" spans="1:16" x14ac:dyDescent="0.25">
      <c r="A665" s="1">
        <v>42207</v>
      </c>
      <c r="B665">
        <v>1320</v>
      </c>
      <c r="C665">
        <v>1328.4</v>
      </c>
      <c r="D665">
        <v>1313</v>
      </c>
      <c r="E665" s="7">
        <v>1322.85</v>
      </c>
      <c r="F665">
        <v>789469</v>
      </c>
      <c r="G665" s="8">
        <f t="shared" si="100"/>
        <v>1321.4166666666667</v>
      </c>
      <c r="H665" s="9">
        <f t="shared" si="101"/>
        <v>1043217494.4166667</v>
      </c>
      <c r="I665" s="9">
        <f t="shared" si="104"/>
        <v>10889537632.049999</v>
      </c>
      <c r="J665" s="9">
        <f t="shared" si="105"/>
        <v>8477295</v>
      </c>
      <c r="K665" s="21">
        <f t="shared" si="106"/>
        <v>1284.5533430239243</v>
      </c>
      <c r="L665" s="4" t="str">
        <f t="shared" si="102"/>
        <v>BUY</v>
      </c>
      <c r="M665" s="4">
        <f t="shared" si="107"/>
        <v>0</v>
      </c>
      <c r="N665" s="4">
        <f t="shared" si="103"/>
        <v>1</v>
      </c>
      <c r="O665" s="4">
        <f t="shared" si="108"/>
        <v>1225.3</v>
      </c>
      <c r="P665" s="4">
        <f t="shared" si="109"/>
        <v>0</v>
      </c>
    </row>
    <row r="666" spans="1:16" x14ac:dyDescent="0.25">
      <c r="A666" s="1">
        <v>42208</v>
      </c>
      <c r="B666">
        <v>1316.2</v>
      </c>
      <c r="C666">
        <v>1330.9</v>
      </c>
      <c r="D666">
        <v>1315</v>
      </c>
      <c r="E666" s="7">
        <v>1320.45</v>
      </c>
      <c r="F666">
        <v>483600</v>
      </c>
      <c r="G666" s="8">
        <f t="shared" si="100"/>
        <v>1322.1166666666668</v>
      </c>
      <c r="H666" s="9">
        <f t="shared" si="101"/>
        <v>639375620</v>
      </c>
      <c r="I666" s="9">
        <f t="shared" si="104"/>
        <v>10818050553.299999</v>
      </c>
      <c r="J666" s="9">
        <f t="shared" si="105"/>
        <v>8396158</v>
      </c>
      <c r="K666" s="21">
        <f t="shared" si="106"/>
        <v>1288.4524747271309</v>
      </c>
      <c r="L666" s="4" t="str">
        <f t="shared" si="102"/>
        <v>BUY</v>
      </c>
      <c r="M666" s="4">
        <f t="shared" si="107"/>
        <v>0</v>
      </c>
      <c r="N666" s="4">
        <f t="shared" si="103"/>
        <v>1</v>
      </c>
      <c r="O666" s="4">
        <f t="shared" si="108"/>
        <v>1225.3</v>
      </c>
      <c r="P666" s="4">
        <f t="shared" si="109"/>
        <v>0</v>
      </c>
    </row>
    <row r="667" spans="1:16" x14ac:dyDescent="0.25">
      <c r="A667" s="1">
        <v>42209</v>
      </c>
      <c r="B667">
        <v>1326.95</v>
      </c>
      <c r="C667">
        <v>1354.65</v>
      </c>
      <c r="D667">
        <v>1315</v>
      </c>
      <c r="E667" s="7">
        <v>1350.9</v>
      </c>
      <c r="F667">
        <v>1133102</v>
      </c>
      <c r="G667" s="8">
        <f t="shared" si="100"/>
        <v>1340.1833333333334</v>
      </c>
      <c r="H667" s="9">
        <f t="shared" si="101"/>
        <v>1518564415.3666668</v>
      </c>
      <c r="I667" s="9">
        <f t="shared" si="104"/>
        <v>10373770667.866667</v>
      </c>
      <c r="J667" s="9">
        <f t="shared" si="105"/>
        <v>7988082</v>
      </c>
      <c r="K667" s="21">
        <f t="shared" si="106"/>
        <v>1298.6560062686722</v>
      </c>
      <c r="L667" s="4" t="str">
        <f t="shared" si="102"/>
        <v>BUY</v>
      </c>
      <c r="M667" s="4">
        <f t="shared" si="107"/>
        <v>0</v>
      </c>
      <c r="N667" s="4">
        <f t="shared" si="103"/>
        <v>1</v>
      </c>
      <c r="O667" s="4">
        <f t="shared" si="108"/>
        <v>1225.3</v>
      </c>
      <c r="P667" s="4">
        <f t="shared" si="109"/>
        <v>0</v>
      </c>
    </row>
    <row r="668" spans="1:16" x14ac:dyDescent="0.25">
      <c r="A668" s="1">
        <v>42212</v>
      </c>
      <c r="B668">
        <v>1350</v>
      </c>
      <c r="C668">
        <v>1358</v>
      </c>
      <c r="D668">
        <v>1335</v>
      </c>
      <c r="E668" s="7">
        <v>1343.3</v>
      </c>
      <c r="F668">
        <v>1069645</v>
      </c>
      <c r="G668" s="8">
        <f t="shared" si="100"/>
        <v>1345.4333333333334</v>
      </c>
      <c r="H668" s="9">
        <f t="shared" si="101"/>
        <v>1439136037.8333335</v>
      </c>
      <c r="I668" s="9">
        <f t="shared" si="104"/>
        <v>10907851922.250002</v>
      </c>
      <c r="J668" s="9">
        <f t="shared" si="105"/>
        <v>8343708</v>
      </c>
      <c r="K668" s="21">
        <f t="shared" si="106"/>
        <v>1307.3146761907299</v>
      </c>
      <c r="L668" s="4" t="str">
        <f t="shared" si="102"/>
        <v>BUY</v>
      </c>
      <c r="M668" s="4">
        <f t="shared" si="107"/>
        <v>0</v>
      </c>
      <c r="N668" s="4">
        <f t="shared" si="103"/>
        <v>1</v>
      </c>
      <c r="O668" s="4">
        <f t="shared" si="108"/>
        <v>1225.3</v>
      </c>
      <c r="P668" s="4">
        <f t="shared" si="109"/>
        <v>0</v>
      </c>
    </row>
    <row r="669" spans="1:16" x14ac:dyDescent="0.25">
      <c r="A669" s="1">
        <v>42213</v>
      </c>
      <c r="B669">
        <v>1339.9</v>
      </c>
      <c r="C669">
        <v>1388.8</v>
      </c>
      <c r="D669">
        <v>1323.4</v>
      </c>
      <c r="E669" s="7">
        <v>1367.15</v>
      </c>
      <c r="F669">
        <v>1666716</v>
      </c>
      <c r="G669" s="8">
        <f t="shared" si="100"/>
        <v>1359.7833333333333</v>
      </c>
      <c r="H669" s="9">
        <f t="shared" si="101"/>
        <v>2266372638.1999998</v>
      </c>
      <c r="I669" s="9">
        <f t="shared" si="104"/>
        <v>12453998354.283333</v>
      </c>
      <c r="J669" s="9">
        <f t="shared" si="105"/>
        <v>9441959</v>
      </c>
      <c r="K669" s="21">
        <f t="shared" si="106"/>
        <v>1319.005765041273</v>
      </c>
      <c r="L669" s="4" t="str">
        <f t="shared" si="102"/>
        <v>BUY</v>
      </c>
      <c r="M669" s="4">
        <f t="shared" si="107"/>
        <v>0</v>
      </c>
      <c r="N669" s="4">
        <f t="shared" si="103"/>
        <v>1</v>
      </c>
      <c r="O669" s="4">
        <f t="shared" si="108"/>
        <v>1225.3</v>
      </c>
      <c r="P669" s="4">
        <f t="shared" si="109"/>
        <v>0</v>
      </c>
    </row>
    <row r="670" spans="1:16" x14ac:dyDescent="0.25">
      <c r="A670" s="1">
        <v>42214</v>
      </c>
      <c r="B670">
        <v>1357</v>
      </c>
      <c r="C670">
        <v>1359</v>
      </c>
      <c r="D670">
        <v>1334.65</v>
      </c>
      <c r="E670" s="7">
        <v>1343.75</v>
      </c>
      <c r="F670">
        <v>886924</v>
      </c>
      <c r="G670" s="8">
        <f t="shared" si="100"/>
        <v>1345.8</v>
      </c>
      <c r="H670" s="9">
        <f t="shared" si="101"/>
        <v>1193622319.2</v>
      </c>
      <c r="I670" s="9">
        <f t="shared" si="104"/>
        <v>12518850763.083336</v>
      </c>
      <c r="J670" s="9">
        <f t="shared" si="105"/>
        <v>9434737</v>
      </c>
      <c r="K670" s="21">
        <f t="shared" si="106"/>
        <v>1326.889214090794</v>
      </c>
      <c r="L670" s="4" t="str">
        <f t="shared" si="102"/>
        <v>BUY</v>
      </c>
      <c r="M670" s="4">
        <f t="shared" si="107"/>
        <v>0</v>
      </c>
      <c r="N670" s="4">
        <f t="shared" si="103"/>
        <v>1</v>
      </c>
      <c r="O670" s="4">
        <f t="shared" si="108"/>
        <v>1225.3</v>
      </c>
      <c r="P670" s="4">
        <f t="shared" si="109"/>
        <v>0</v>
      </c>
    </row>
    <row r="671" spans="1:16" x14ac:dyDescent="0.25">
      <c r="A671" s="1">
        <v>42215</v>
      </c>
      <c r="B671">
        <v>1350</v>
      </c>
      <c r="C671">
        <v>1354.9</v>
      </c>
      <c r="D671">
        <v>1333</v>
      </c>
      <c r="E671" s="7">
        <v>1337.85</v>
      </c>
      <c r="F671">
        <v>611913</v>
      </c>
      <c r="G671" s="8">
        <f t="shared" si="100"/>
        <v>1341.9166666666667</v>
      </c>
      <c r="H671" s="9">
        <f t="shared" si="101"/>
        <v>821136253.25</v>
      </c>
      <c r="I671" s="9">
        <f t="shared" si="104"/>
        <v>12518706664.733334</v>
      </c>
      <c r="J671" s="9">
        <f t="shared" si="105"/>
        <v>9402862</v>
      </c>
      <c r="K671" s="21">
        <f t="shared" si="106"/>
        <v>1331.3719444923613</v>
      </c>
      <c r="L671" s="4" t="str">
        <f t="shared" si="102"/>
        <v>BUY</v>
      </c>
      <c r="M671" s="4">
        <f t="shared" si="107"/>
        <v>0</v>
      </c>
      <c r="N671" s="4">
        <f t="shared" si="103"/>
        <v>1</v>
      </c>
      <c r="O671" s="4">
        <f t="shared" si="108"/>
        <v>1225.3</v>
      </c>
      <c r="P671" s="4">
        <f t="shared" si="109"/>
        <v>0</v>
      </c>
    </row>
    <row r="672" spans="1:16" x14ac:dyDescent="0.25">
      <c r="A672" s="1">
        <v>42216</v>
      </c>
      <c r="B672">
        <v>1332.9</v>
      </c>
      <c r="C672">
        <v>1347</v>
      </c>
      <c r="D672">
        <v>1322.05</v>
      </c>
      <c r="E672" s="7">
        <v>1340.85</v>
      </c>
      <c r="F672">
        <v>754009</v>
      </c>
      <c r="G672" s="8">
        <f t="shared" si="100"/>
        <v>1336.6333333333334</v>
      </c>
      <c r="H672" s="9">
        <f t="shared" si="101"/>
        <v>1007833563.0333334</v>
      </c>
      <c r="I672" s="9">
        <f t="shared" si="104"/>
        <v>12199597967.433334</v>
      </c>
      <c r="J672" s="9">
        <f t="shared" si="105"/>
        <v>9131083</v>
      </c>
      <c r="K672" s="21">
        <f t="shared" si="106"/>
        <v>1336.0515907514293</v>
      </c>
      <c r="L672" s="4" t="str">
        <f t="shared" si="102"/>
        <v>BUY</v>
      </c>
      <c r="M672" s="4">
        <f t="shared" si="107"/>
        <v>0</v>
      </c>
      <c r="N672" s="4">
        <f t="shared" si="103"/>
        <v>1</v>
      </c>
      <c r="O672" s="4">
        <f t="shared" si="108"/>
        <v>1225.3</v>
      </c>
      <c r="P672" s="4">
        <f t="shared" si="109"/>
        <v>0</v>
      </c>
    </row>
    <row r="673" spans="1:16" x14ac:dyDescent="0.25">
      <c r="A673" s="1">
        <v>42219</v>
      </c>
      <c r="B673">
        <v>1339.5</v>
      </c>
      <c r="C673">
        <v>1371</v>
      </c>
      <c r="D673">
        <v>1332</v>
      </c>
      <c r="E673" s="7">
        <v>1364.5</v>
      </c>
      <c r="F673">
        <v>1014480</v>
      </c>
      <c r="G673" s="8">
        <f t="shared" si="100"/>
        <v>1355.8333333333333</v>
      </c>
      <c r="H673" s="9">
        <f t="shared" si="101"/>
        <v>1375465800</v>
      </c>
      <c r="I673" s="9">
        <f t="shared" si="104"/>
        <v>12840027797.433332</v>
      </c>
      <c r="J673" s="9">
        <f t="shared" si="105"/>
        <v>9578515</v>
      </c>
      <c r="K673" s="21">
        <f t="shared" si="106"/>
        <v>1340.5029691380482</v>
      </c>
      <c r="L673" s="4" t="str">
        <f t="shared" si="102"/>
        <v>BUY</v>
      </c>
      <c r="M673" s="4">
        <f t="shared" si="107"/>
        <v>0</v>
      </c>
      <c r="N673" s="4">
        <f t="shared" si="103"/>
        <v>1</v>
      </c>
      <c r="O673" s="4">
        <f t="shared" si="108"/>
        <v>1225.3</v>
      </c>
      <c r="P673" s="4">
        <f t="shared" si="109"/>
        <v>0</v>
      </c>
    </row>
    <row r="674" spans="1:16" x14ac:dyDescent="0.25">
      <c r="A674" s="1">
        <v>42220</v>
      </c>
      <c r="B674">
        <v>1364.1</v>
      </c>
      <c r="C674">
        <v>1379.9</v>
      </c>
      <c r="D674">
        <v>1353.65</v>
      </c>
      <c r="E674" s="7">
        <v>1375.6</v>
      </c>
      <c r="F674">
        <v>1145842</v>
      </c>
      <c r="G674" s="8">
        <f t="shared" si="100"/>
        <v>1369.7166666666665</v>
      </c>
      <c r="H674" s="9">
        <f t="shared" si="101"/>
        <v>1569478884.7666664</v>
      </c>
      <c r="I674" s="9">
        <f t="shared" si="104"/>
        <v>12874203026.066666</v>
      </c>
      <c r="J674" s="9">
        <f t="shared" si="105"/>
        <v>9555700</v>
      </c>
      <c r="K674" s="21">
        <f t="shared" si="106"/>
        <v>1347.2799508216735</v>
      </c>
      <c r="L674" s="4" t="str">
        <f t="shared" si="102"/>
        <v>BUY</v>
      </c>
      <c r="M674" s="4">
        <f t="shared" si="107"/>
        <v>0</v>
      </c>
      <c r="N674" s="4">
        <f t="shared" si="103"/>
        <v>1</v>
      </c>
      <c r="O674" s="4">
        <f t="shared" si="108"/>
        <v>1225.3</v>
      </c>
      <c r="P674" s="4">
        <f t="shared" si="109"/>
        <v>0</v>
      </c>
    </row>
    <row r="675" spans="1:16" x14ac:dyDescent="0.25">
      <c r="A675" s="1">
        <v>42221</v>
      </c>
      <c r="B675">
        <v>1390</v>
      </c>
      <c r="C675">
        <v>1396.8</v>
      </c>
      <c r="D675">
        <v>1378.9</v>
      </c>
      <c r="E675" s="7">
        <v>1386.7</v>
      </c>
      <c r="F675">
        <v>1318328</v>
      </c>
      <c r="G675" s="8">
        <f t="shared" si="100"/>
        <v>1387.4666666666665</v>
      </c>
      <c r="H675" s="9">
        <f t="shared" si="101"/>
        <v>1829136155.7333331</v>
      </c>
      <c r="I675" s="9">
        <f t="shared" si="104"/>
        <v>13660121687.383333</v>
      </c>
      <c r="J675" s="9">
        <f t="shared" si="105"/>
        <v>10084559</v>
      </c>
      <c r="K675" s="21">
        <f t="shared" si="106"/>
        <v>1354.5581603898925</v>
      </c>
      <c r="L675" s="4" t="str">
        <f t="shared" si="102"/>
        <v>BUY</v>
      </c>
      <c r="M675" s="4">
        <f t="shared" si="107"/>
        <v>0</v>
      </c>
      <c r="N675" s="4">
        <f t="shared" si="103"/>
        <v>1</v>
      </c>
      <c r="O675" s="4">
        <f t="shared" si="108"/>
        <v>1225.3</v>
      </c>
      <c r="P675" s="4">
        <f t="shared" si="109"/>
        <v>0</v>
      </c>
    </row>
    <row r="676" spans="1:16" x14ac:dyDescent="0.25">
      <c r="A676" s="1">
        <v>42222</v>
      </c>
      <c r="B676">
        <v>1380.45</v>
      </c>
      <c r="C676">
        <v>1389.4</v>
      </c>
      <c r="D676">
        <v>1380.45</v>
      </c>
      <c r="E676" s="7">
        <v>1386.5</v>
      </c>
      <c r="F676">
        <v>42619</v>
      </c>
      <c r="G676" s="8">
        <f t="shared" si="100"/>
        <v>1385.45</v>
      </c>
      <c r="H676" s="9">
        <f t="shared" si="101"/>
        <v>59046493.550000004</v>
      </c>
      <c r="I676" s="9">
        <f t="shared" si="104"/>
        <v>13079792560.933332</v>
      </c>
      <c r="J676" s="9">
        <f t="shared" si="105"/>
        <v>9643578</v>
      </c>
      <c r="K676" s="21">
        <f t="shared" si="106"/>
        <v>1356.3215396747278</v>
      </c>
      <c r="L676" s="4" t="str">
        <f t="shared" si="102"/>
        <v>BUY</v>
      </c>
      <c r="M676" s="4">
        <f t="shared" si="107"/>
        <v>0</v>
      </c>
      <c r="N676" s="4">
        <f t="shared" si="103"/>
        <v>1</v>
      </c>
      <c r="O676" s="4">
        <f t="shared" si="108"/>
        <v>1225.3</v>
      </c>
      <c r="P676" s="4">
        <f t="shared" si="109"/>
        <v>0</v>
      </c>
    </row>
    <row r="677" spans="1:16" x14ac:dyDescent="0.25">
      <c r="A677" s="1">
        <v>42223</v>
      </c>
      <c r="B677">
        <v>1383.2</v>
      </c>
      <c r="C677">
        <v>1383.9</v>
      </c>
      <c r="D677">
        <v>1365.95</v>
      </c>
      <c r="E677" s="7">
        <v>1371.45</v>
      </c>
      <c r="F677">
        <v>738012</v>
      </c>
      <c r="G677" s="8">
        <f t="shared" si="100"/>
        <v>1373.7666666666667</v>
      </c>
      <c r="H677" s="9">
        <f t="shared" si="101"/>
        <v>1013856285.2</v>
      </c>
      <c r="I677" s="9">
        <f t="shared" si="104"/>
        <v>12575084430.766666</v>
      </c>
      <c r="J677" s="9">
        <f t="shared" si="105"/>
        <v>9248488</v>
      </c>
      <c r="K677" s="21">
        <f t="shared" si="106"/>
        <v>1359.6908414398836</v>
      </c>
      <c r="L677" s="4" t="str">
        <f t="shared" si="102"/>
        <v>BUY</v>
      </c>
      <c r="M677" s="4">
        <f t="shared" si="107"/>
        <v>0</v>
      </c>
      <c r="N677" s="4">
        <f t="shared" si="103"/>
        <v>1</v>
      </c>
      <c r="O677" s="4">
        <f t="shared" si="108"/>
        <v>1225.3</v>
      </c>
      <c r="P677" s="4">
        <f t="shared" si="109"/>
        <v>0</v>
      </c>
    </row>
    <row r="678" spans="1:16" x14ac:dyDescent="0.25">
      <c r="A678" s="1">
        <v>42226</v>
      </c>
      <c r="B678">
        <v>1369</v>
      </c>
      <c r="C678">
        <v>1395.6</v>
      </c>
      <c r="D678">
        <v>1364.05</v>
      </c>
      <c r="E678" s="7">
        <v>1392.65</v>
      </c>
      <c r="F678">
        <v>637090</v>
      </c>
      <c r="G678" s="8">
        <f t="shared" si="100"/>
        <v>1384.0999999999997</v>
      </c>
      <c r="H678" s="9">
        <f t="shared" si="101"/>
        <v>881796268.99999976</v>
      </c>
      <c r="I678" s="9">
        <f t="shared" si="104"/>
        <v>12017744661.933332</v>
      </c>
      <c r="J678" s="9">
        <f t="shared" si="105"/>
        <v>8815933</v>
      </c>
      <c r="K678" s="21">
        <f t="shared" si="106"/>
        <v>1363.1846637143603</v>
      </c>
      <c r="L678" s="4" t="str">
        <f t="shared" si="102"/>
        <v>BUY</v>
      </c>
      <c r="M678" s="4">
        <f t="shared" si="107"/>
        <v>0</v>
      </c>
      <c r="N678" s="4">
        <f t="shared" si="103"/>
        <v>1</v>
      </c>
      <c r="O678" s="4">
        <f t="shared" si="108"/>
        <v>1225.3</v>
      </c>
      <c r="P678" s="4">
        <f t="shared" si="109"/>
        <v>0</v>
      </c>
    </row>
    <row r="679" spans="1:16" x14ac:dyDescent="0.25">
      <c r="A679" s="1">
        <v>42227</v>
      </c>
      <c r="B679">
        <v>1396.95</v>
      </c>
      <c r="C679">
        <v>1421</v>
      </c>
      <c r="D679">
        <v>1389.9</v>
      </c>
      <c r="E679" s="7">
        <v>1414.9</v>
      </c>
      <c r="F679">
        <v>1057233</v>
      </c>
      <c r="G679" s="8">
        <f t="shared" si="100"/>
        <v>1408.6000000000001</v>
      </c>
      <c r="H679" s="9">
        <f t="shared" si="101"/>
        <v>1489218403.8000002</v>
      </c>
      <c r="I679" s="9">
        <f t="shared" si="104"/>
        <v>11240590427.533333</v>
      </c>
      <c r="J679" s="9">
        <f t="shared" si="105"/>
        <v>8206450</v>
      </c>
      <c r="K679" s="21">
        <f t="shared" si="106"/>
        <v>1369.7263040088385</v>
      </c>
      <c r="L679" s="4" t="str">
        <f t="shared" si="102"/>
        <v>BUY</v>
      </c>
      <c r="M679" s="4">
        <f t="shared" si="107"/>
        <v>0</v>
      </c>
      <c r="N679" s="4">
        <f t="shared" si="103"/>
        <v>1</v>
      </c>
      <c r="O679" s="4">
        <f t="shared" si="108"/>
        <v>1225.3</v>
      </c>
      <c r="P679" s="4">
        <f t="shared" si="109"/>
        <v>0</v>
      </c>
    </row>
    <row r="680" spans="1:16" x14ac:dyDescent="0.25">
      <c r="A680" s="1">
        <v>42228</v>
      </c>
      <c r="B680">
        <v>1413</v>
      </c>
      <c r="C680">
        <v>1423.95</v>
      </c>
      <c r="D680">
        <v>1409.55</v>
      </c>
      <c r="E680" s="7">
        <v>1417.7</v>
      </c>
      <c r="F680">
        <v>940605</v>
      </c>
      <c r="G680" s="8">
        <f t="shared" si="100"/>
        <v>1417.0666666666666</v>
      </c>
      <c r="H680" s="9">
        <f t="shared" si="101"/>
        <v>1332899992</v>
      </c>
      <c r="I680" s="9">
        <f t="shared" si="104"/>
        <v>11379868100.333332</v>
      </c>
      <c r="J680" s="9">
        <f t="shared" si="105"/>
        <v>8260131</v>
      </c>
      <c r="K680" s="21">
        <f t="shared" si="106"/>
        <v>1377.6861529597209</v>
      </c>
      <c r="L680" s="4" t="str">
        <f t="shared" si="102"/>
        <v>BUY</v>
      </c>
      <c r="M680" s="4">
        <f t="shared" si="107"/>
        <v>0</v>
      </c>
      <c r="N680" s="4">
        <f t="shared" si="103"/>
        <v>1</v>
      </c>
      <c r="O680" s="4">
        <f t="shared" si="108"/>
        <v>1225.3</v>
      </c>
      <c r="P680" s="4">
        <f t="shared" si="109"/>
        <v>0</v>
      </c>
    </row>
    <row r="681" spans="1:16" x14ac:dyDescent="0.25">
      <c r="A681" s="1">
        <v>42229</v>
      </c>
      <c r="B681">
        <v>1428</v>
      </c>
      <c r="C681">
        <v>1439.8</v>
      </c>
      <c r="D681">
        <v>1402.15</v>
      </c>
      <c r="E681" s="7">
        <v>1413.1</v>
      </c>
      <c r="F681">
        <v>1407420</v>
      </c>
      <c r="G681" s="8">
        <f t="shared" si="100"/>
        <v>1418.3499999999997</v>
      </c>
      <c r="H681" s="9">
        <f t="shared" si="101"/>
        <v>1996214156.9999995</v>
      </c>
      <c r="I681" s="9">
        <f t="shared" si="104"/>
        <v>12554946004.083332</v>
      </c>
      <c r="J681" s="9">
        <f t="shared" si="105"/>
        <v>9055638</v>
      </c>
      <c r="K681" s="21">
        <f t="shared" si="106"/>
        <v>1386.4231326476756</v>
      </c>
      <c r="L681" s="4" t="str">
        <f t="shared" si="102"/>
        <v>BUY</v>
      </c>
      <c r="M681" s="4">
        <f t="shared" si="107"/>
        <v>0</v>
      </c>
      <c r="N681" s="4">
        <f t="shared" si="103"/>
        <v>1</v>
      </c>
      <c r="O681" s="4">
        <f t="shared" si="108"/>
        <v>1225.3</v>
      </c>
      <c r="P681" s="4">
        <f t="shared" si="109"/>
        <v>0</v>
      </c>
    </row>
    <row r="682" spans="1:16" x14ac:dyDescent="0.25">
      <c r="A682" s="1">
        <v>42230</v>
      </c>
      <c r="B682">
        <v>1418.25</v>
      </c>
      <c r="C682">
        <v>1421.55</v>
      </c>
      <c r="D682">
        <v>1335.5</v>
      </c>
      <c r="E682" s="7">
        <v>1342.1</v>
      </c>
      <c r="F682">
        <v>2547195</v>
      </c>
      <c r="G682" s="8">
        <f t="shared" si="100"/>
        <v>1366.3833333333332</v>
      </c>
      <c r="H682" s="9">
        <f t="shared" si="101"/>
        <v>3480444794.7499995</v>
      </c>
      <c r="I682" s="9">
        <f t="shared" si="104"/>
        <v>15027557235.799999</v>
      </c>
      <c r="J682" s="9">
        <f t="shared" si="105"/>
        <v>10848824</v>
      </c>
      <c r="K682" s="21">
        <f t="shared" si="106"/>
        <v>1385.1784521345355</v>
      </c>
      <c r="L682" s="4" t="str">
        <f t="shared" si="102"/>
        <v>SELL</v>
      </c>
      <c r="M682" s="4" t="str">
        <f t="shared" si="107"/>
        <v>SELL</v>
      </c>
      <c r="N682" s="4">
        <f t="shared" si="103"/>
        <v>-1</v>
      </c>
      <c r="O682" s="4">
        <f t="shared" si="108"/>
        <v>1342.1</v>
      </c>
      <c r="P682" s="4">
        <f t="shared" si="109"/>
        <v>9.5323594221823196E-2</v>
      </c>
    </row>
    <row r="683" spans="1:16" x14ac:dyDescent="0.25">
      <c r="A683" s="1">
        <v>42233</v>
      </c>
      <c r="B683">
        <v>1345</v>
      </c>
      <c r="C683">
        <v>1345</v>
      </c>
      <c r="D683">
        <v>1292.55</v>
      </c>
      <c r="E683" s="7">
        <v>1299.8</v>
      </c>
      <c r="F683">
        <v>3610103</v>
      </c>
      <c r="G683" s="8">
        <f t="shared" si="100"/>
        <v>1312.45</v>
      </c>
      <c r="H683" s="9">
        <f t="shared" si="101"/>
        <v>4738079682.3500004</v>
      </c>
      <c r="I683" s="9">
        <f t="shared" si="104"/>
        <v>18390171118.150002</v>
      </c>
      <c r="J683" s="9">
        <f t="shared" si="105"/>
        <v>13444447</v>
      </c>
      <c r="K683" s="21">
        <f t="shared" si="106"/>
        <v>1367.8637074585515</v>
      </c>
      <c r="L683" s="4" t="str">
        <f t="shared" si="102"/>
        <v>SELL</v>
      </c>
      <c r="M683" s="4">
        <f t="shared" si="107"/>
        <v>0</v>
      </c>
      <c r="N683" s="4">
        <f t="shared" si="103"/>
        <v>-1</v>
      </c>
      <c r="O683" s="4">
        <f t="shared" si="108"/>
        <v>1342.1</v>
      </c>
      <c r="P683" s="4">
        <f t="shared" si="109"/>
        <v>0</v>
      </c>
    </row>
    <row r="684" spans="1:16" x14ac:dyDescent="0.25">
      <c r="A684" s="1">
        <v>42234</v>
      </c>
      <c r="B684">
        <v>1295</v>
      </c>
      <c r="C684">
        <v>1336.9</v>
      </c>
      <c r="D684">
        <v>1291.5999999999999</v>
      </c>
      <c r="E684" s="7">
        <v>1322</v>
      </c>
      <c r="F684">
        <v>2021253</v>
      </c>
      <c r="G684" s="8">
        <f t="shared" si="100"/>
        <v>1316.8333333333333</v>
      </c>
      <c r="H684" s="9">
        <f t="shared" si="101"/>
        <v>2661653325.5</v>
      </c>
      <c r="I684" s="9">
        <f t="shared" si="104"/>
        <v>19482345558.883331</v>
      </c>
      <c r="J684" s="9">
        <f t="shared" si="105"/>
        <v>14319858</v>
      </c>
      <c r="K684" s="21">
        <f t="shared" si="106"/>
        <v>1360.5124826575327</v>
      </c>
      <c r="L684" s="4" t="str">
        <f t="shared" si="102"/>
        <v>SELL</v>
      </c>
      <c r="M684" s="4">
        <f t="shared" si="107"/>
        <v>0</v>
      </c>
      <c r="N684" s="4">
        <f t="shared" si="103"/>
        <v>-1</v>
      </c>
      <c r="O684" s="4">
        <f t="shared" si="108"/>
        <v>1342.1</v>
      </c>
      <c r="P684" s="4">
        <f t="shared" si="109"/>
        <v>0</v>
      </c>
    </row>
    <row r="685" spans="1:16" x14ac:dyDescent="0.25">
      <c r="A685" s="1">
        <v>42235</v>
      </c>
      <c r="B685">
        <v>1324.9</v>
      </c>
      <c r="C685">
        <v>1332.3</v>
      </c>
      <c r="D685">
        <v>1298.3</v>
      </c>
      <c r="E685" s="7">
        <v>1304.05</v>
      </c>
      <c r="F685">
        <v>2123879</v>
      </c>
      <c r="G685" s="8">
        <f t="shared" si="100"/>
        <v>1311.55</v>
      </c>
      <c r="H685" s="9">
        <f t="shared" si="101"/>
        <v>2785573502.4499998</v>
      </c>
      <c r="I685" s="9">
        <f t="shared" si="104"/>
        <v>20438782905.600002</v>
      </c>
      <c r="J685" s="9">
        <f t="shared" si="105"/>
        <v>15125409</v>
      </c>
      <c r="K685" s="21">
        <f t="shared" si="106"/>
        <v>1351.2879490134781</v>
      </c>
      <c r="L685" s="4" t="str">
        <f t="shared" si="102"/>
        <v>SELL</v>
      </c>
      <c r="M685" s="4">
        <f t="shared" si="107"/>
        <v>0</v>
      </c>
      <c r="N685" s="4">
        <f t="shared" si="103"/>
        <v>-1</v>
      </c>
      <c r="O685" s="4">
        <f t="shared" si="108"/>
        <v>1342.1</v>
      </c>
      <c r="P685" s="4">
        <f t="shared" si="109"/>
        <v>0</v>
      </c>
    </row>
    <row r="686" spans="1:16" x14ac:dyDescent="0.25">
      <c r="A686" s="1">
        <v>42236</v>
      </c>
      <c r="B686">
        <v>1310</v>
      </c>
      <c r="C686">
        <v>1313</v>
      </c>
      <c r="D686">
        <v>1277</v>
      </c>
      <c r="E686" s="7">
        <v>1289.45</v>
      </c>
      <c r="F686">
        <v>2468510</v>
      </c>
      <c r="G686" s="8">
        <f t="shared" si="100"/>
        <v>1293.1499999999999</v>
      </c>
      <c r="H686" s="9">
        <f t="shared" si="101"/>
        <v>3192153706.4999995</v>
      </c>
      <c r="I686" s="9">
        <f t="shared" si="104"/>
        <v>23571890118.549999</v>
      </c>
      <c r="J686" s="9">
        <f t="shared" si="105"/>
        <v>17551300</v>
      </c>
      <c r="K686" s="21">
        <f t="shared" si="106"/>
        <v>1343.0281585153236</v>
      </c>
      <c r="L686" s="4" t="str">
        <f t="shared" si="102"/>
        <v>SELL</v>
      </c>
      <c r="M686" s="4">
        <f t="shared" si="107"/>
        <v>0</v>
      </c>
      <c r="N686" s="4">
        <f t="shared" si="103"/>
        <v>-1</v>
      </c>
      <c r="O686" s="4">
        <f t="shared" si="108"/>
        <v>1342.1</v>
      </c>
      <c r="P686" s="4">
        <f t="shared" si="109"/>
        <v>0</v>
      </c>
    </row>
    <row r="687" spans="1:16" x14ac:dyDescent="0.25">
      <c r="A687" s="1">
        <v>42237</v>
      </c>
      <c r="B687">
        <v>1290.0999999999999</v>
      </c>
      <c r="C687">
        <v>1309.75</v>
      </c>
      <c r="D687">
        <v>1282.3</v>
      </c>
      <c r="E687" s="7">
        <v>1293.2</v>
      </c>
      <c r="F687">
        <v>1911847</v>
      </c>
      <c r="G687" s="8">
        <f t="shared" si="100"/>
        <v>1295.0833333333333</v>
      </c>
      <c r="H687" s="9">
        <f t="shared" si="101"/>
        <v>2476001185.583333</v>
      </c>
      <c r="I687" s="9">
        <f t="shared" si="104"/>
        <v>25034035018.933331</v>
      </c>
      <c r="J687" s="9">
        <f t="shared" si="105"/>
        <v>18725135</v>
      </c>
      <c r="K687" s="21">
        <f t="shared" si="106"/>
        <v>1336.9214704691492</v>
      </c>
      <c r="L687" s="4" t="str">
        <f t="shared" si="102"/>
        <v>SELL</v>
      </c>
      <c r="M687" s="4">
        <f t="shared" si="107"/>
        <v>0</v>
      </c>
      <c r="N687" s="4">
        <f t="shared" si="103"/>
        <v>-1</v>
      </c>
      <c r="O687" s="4">
        <f t="shared" si="108"/>
        <v>1342.1</v>
      </c>
      <c r="P687" s="4">
        <f t="shared" si="109"/>
        <v>0</v>
      </c>
    </row>
    <row r="688" spans="1:16" x14ac:dyDescent="0.25">
      <c r="A688" s="1">
        <v>42240</v>
      </c>
      <c r="B688">
        <v>1295.2</v>
      </c>
      <c r="C688">
        <v>1305</v>
      </c>
      <c r="D688">
        <v>1282</v>
      </c>
      <c r="E688" s="7">
        <v>1285.5999999999999</v>
      </c>
      <c r="F688">
        <v>1646406</v>
      </c>
      <c r="G688" s="8">
        <f t="shared" si="100"/>
        <v>1290.8666666666666</v>
      </c>
      <c r="H688" s="9">
        <f t="shared" si="101"/>
        <v>2125290625.1999998</v>
      </c>
      <c r="I688" s="9">
        <f t="shared" si="104"/>
        <v>26277529375.133331</v>
      </c>
      <c r="J688" s="9">
        <f t="shared" si="105"/>
        <v>19734451</v>
      </c>
      <c r="K688" s="21">
        <f t="shared" si="106"/>
        <v>1331.5561388119352</v>
      </c>
      <c r="L688" s="4" t="str">
        <f t="shared" si="102"/>
        <v>SELL</v>
      </c>
      <c r="M688" s="4">
        <f t="shared" si="107"/>
        <v>0</v>
      </c>
      <c r="N688" s="4">
        <f t="shared" si="103"/>
        <v>-1</v>
      </c>
      <c r="O688" s="4">
        <f t="shared" si="108"/>
        <v>1342.1</v>
      </c>
      <c r="P688" s="4">
        <f t="shared" si="109"/>
        <v>0</v>
      </c>
    </row>
    <row r="689" spans="1:16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 s="7">
        <v>1271.55</v>
      </c>
      <c r="F689">
        <v>2802699</v>
      </c>
      <c r="G689" s="8">
        <f t="shared" si="100"/>
        <v>1277.3833333333332</v>
      </c>
      <c r="H689" s="9">
        <f t="shared" si="101"/>
        <v>3580120990.9499998</v>
      </c>
      <c r="I689" s="9">
        <f t="shared" si="104"/>
        <v>28368431962.283333</v>
      </c>
      <c r="J689" s="9">
        <f t="shared" si="105"/>
        <v>21479917</v>
      </c>
      <c r="K689" s="21">
        <f t="shared" si="106"/>
        <v>1320.6956042839147</v>
      </c>
      <c r="L689" s="4" t="str">
        <f t="shared" si="102"/>
        <v>SELL</v>
      </c>
      <c r="M689" s="4">
        <f t="shared" si="107"/>
        <v>0</v>
      </c>
      <c r="N689" s="4">
        <f t="shared" si="103"/>
        <v>-1</v>
      </c>
      <c r="O689" s="4">
        <f t="shared" si="108"/>
        <v>1342.1</v>
      </c>
      <c r="P689" s="4">
        <f t="shared" si="109"/>
        <v>0</v>
      </c>
    </row>
    <row r="690" spans="1:16" x14ac:dyDescent="0.25">
      <c r="A690" s="1">
        <v>42242</v>
      </c>
      <c r="B690">
        <v>1278.8</v>
      </c>
      <c r="C690">
        <v>1305</v>
      </c>
      <c r="D690">
        <v>1276.5</v>
      </c>
      <c r="E690" s="7">
        <v>1295.9000000000001</v>
      </c>
      <c r="F690">
        <v>1456498</v>
      </c>
      <c r="G690" s="8">
        <f t="shared" si="100"/>
        <v>1292.4666666666667</v>
      </c>
      <c r="H690" s="9">
        <f t="shared" si="101"/>
        <v>1882475115.0666666</v>
      </c>
      <c r="I690" s="9">
        <f t="shared" si="104"/>
        <v>28918007085.349998</v>
      </c>
      <c r="J690" s="9">
        <f t="shared" si="105"/>
        <v>21995810</v>
      </c>
      <c r="K690" s="21">
        <f t="shared" si="106"/>
        <v>1314.7052591084391</v>
      </c>
      <c r="L690" s="4" t="str">
        <f t="shared" si="102"/>
        <v>SELL</v>
      </c>
      <c r="M690" s="4">
        <f t="shared" si="107"/>
        <v>0</v>
      </c>
      <c r="N690" s="4">
        <f t="shared" si="103"/>
        <v>-1</v>
      </c>
      <c r="O690" s="4">
        <f t="shared" si="108"/>
        <v>1342.1</v>
      </c>
      <c r="P690" s="4">
        <f t="shared" si="109"/>
        <v>0</v>
      </c>
    </row>
    <row r="691" spans="1:16" x14ac:dyDescent="0.25">
      <c r="A691" s="1">
        <v>42243</v>
      </c>
      <c r="B691">
        <v>1295</v>
      </c>
      <c r="C691">
        <v>1309.8</v>
      </c>
      <c r="D691">
        <v>1293.05</v>
      </c>
      <c r="E691" s="7">
        <v>1302.95</v>
      </c>
      <c r="F691">
        <v>897809</v>
      </c>
      <c r="G691" s="8">
        <f t="shared" si="100"/>
        <v>1301.9333333333334</v>
      </c>
      <c r="H691" s="9">
        <f t="shared" si="101"/>
        <v>1168887464.0666666</v>
      </c>
      <c r="I691" s="9">
        <f t="shared" si="104"/>
        <v>28090680392.416664</v>
      </c>
      <c r="J691" s="9">
        <f t="shared" si="105"/>
        <v>21486199</v>
      </c>
      <c r="K691" s="21">
        <f t="shared" si="106"/>
        <v>1307.382492008785</v>
      </c>
      <c r="L691" s="4" t="str">
        <f t="shared" si="102"/>
        <v>SELL</v>
      </c>
      <c r="M691" s="4">
        <f t="shared" si="107"/>
        <v>0</v>
      </c>
      <c r="N691" s="4">
        <f t="shared" si="103"/>
        <v>-1</v>
      </c>
      <c r="O691" s="4">
        <f t="shared" si="108"/>
        <v>1342.1</v>
      </c>
      <c r="P691" s="4">
        <f t="shared" si="109"/>
        <v>0</v>
      </c>
    </row>
    <row r="692" spans="1:16" x14ac:dyDescent="0.25">
      <c r="A692" s="1">
        <v>42244</v>
      </c>
      <c r="B692">
        <v>1301</v>
      </c>
      <c r="C692">
        <v>1325</v>
      </c>
      <c r="D692">
        <v>1301</v>
      </c>
      <c r="E692" s="7">
        <v>1322.65</v>
      </c>
      <c r="F692">
        <v>1159115</v>
      </c>
      <c r="G692" s="8">
        <f t="shared" si="100"/>
        <v>1316.2166666666667</v>
      </c>
      <c r="H692" s="9">
        <f t="shared" si="101"/>
        <v>1525646481.5833333</v>
      </c>
      <c r="I692" s="9">
        <f t="shared" si="104"/>
        <v>26135882079.249996</v>
      </c>
      <c r="J692" s="9">
        <f t="shared" si="105"/>
        <v>20098119</v>
      </c>
      <c r="K692" s="21">
        <f t="shared" si="106"/>
        <v>1300.4143362495763</v>
      </c>
      <c r="L692" s="4" t="str">
        <f t="shared" si="102"/>
        <v>BUY</v>
      </c>
      <c r="M692" s="4" t="str">
        <f t="shared" si="107"/>
        <v>BUY</v>
      </c>
      <c r="N692" s="4">
        <f t="shared" si="103"/>
        <v>1</v>
      </c>
      <c r="O692" s="4">
        <f t="shared" si="108"/>
        <v>1322.65</v>
      </c>
      <c r="P692" s="4">
        <f t="shared" si="109"/>
        <v>1.4492213694955533E-2</v>
      </c>
    </row>
    <row r="693" spans="1:16" x14ac:dyDescent="0.25">
      <c r="A693" s="1">
        <v>42247</v>
      </c>
      <c r="B693">
        <v>1320</v>
      </c>
      <c r="C693">
        <v>1321.65</v>
      </c>
      <c r="D693">
        <v>1308.6500000000001</v>
      </c>
      <c r="E693" s="7">
        <v>1317.15</v>
      </c>
      <c r="F693">
        <v>659642</v>
      </c>
      <c r="G693" s="8">
        <f t="shared" si="100"/>
        <v>1315.8166666666668</v>
      </c>
      <c r="H693" s="9">
        <f t="shared" si="101"/>
        <v>867967937.63333344</v>
      </c>
      <c r="I693" s="9">
        <f t="shared" si="104"/>
        <v>22265770334.533333</v>
      </c>
      <c r="J693" s="9">
        <f t="shared" si="105"/>
        <v>17147658</v>
      </c>
      <c r="K693" s="21">
        <f t="shared" si="106"/>
        <v>1298.4729654937912</v>
      </c>
      <c r="L693" s="4" t="str">
        <f t="shared" si="102"/>
        <v>BUY</v>
      </c>
      <c r="M693" s="4">
        <f t="shared" si="107"/>
        <v>0</v>
      </c>
      <c r="N693" s="4">
        <f t="shared" si="103"/>
        <v>1</v>
      </c>
      <c r="O693" s="4">
        <f t="shared" si="108"/>
        <v>1322.65</v>
      </c>
      <c r="P693" s="4">
        <f t="shared" si="109"/>
        <v>0</v>
      </c>
    </row>
    <row r="694" spans="1:16" x14ac:dyDescent="0.25">
      <c r="A694" s="1">
        <v>42248</v>
      </c>
      <c r="B694">
        <v>1310.25</v>
      </c>
      <c r="C694">
        <v>1319.35</v>
      </c>
      <c r="D694">
        <v>1055</v>
      </c>
      <c r="E694" s="7">
        <v>1304</v>
      </c>
      <c r="F694">
        <v>1918055</v>
      </c>
      <c r="G694" s="8">
        <f t="shared" si="100"/>
        <v>1226.1166666666666</v>
      </c>
      <c r="H694" s="9">
        <f t="shared" si="101"/>
        <v>2351759203.083333</v>
      </c>
      <c r="I694" s="9">
        <f t="shared" si="104"/>
        <v>21955876212.116661</v>
      </c>
      <c r="J694" s="9">
        <f t="shared" si="105"/>
        <v>17044460</v>
      </c>
      <c r="K694" s="21">
        <f t="shared" si="106"/>
        <v>1288.1532305580031</v>
      </c>
      <c r="L694" s="4" t="str">
        <f t="shared" si="102"/>
        <v>BUY</v>
      </c>
      <c r="M694" s="4">
        <f t="shared" si="107"/>
        <v>0</v>
      </c>
      <c r="N694" s="4">
        <f t="shared" si="103"/>
        <v>1</v>
      </c>
      <c r="O694" s="4">
        <f t="shared" si="108"/>
        <v>1322.65</v>
      </c>
      <c r="P694" s="4">
        <f t="shared" si="109"/>
        <v>0</v>
      </c>
    </row>
    <row r="695" spans="1:16" x14ac:dyDescent="0.25">
      <c r="A695" s="1">
        <v>42249</v>
      </c>
      <c r="B695">
        <v>1310</v>
      </c>
      <c r="C695">
        <v>1315.25</v>
      </c>
      <c r="D695">
        <v>1285.45</v>
      </c>
      <c r="E695" s="7">
        <v>1292.7</v>
      </c>
      <c r="F695">
        <v>842704</v>
      </c>
      <c r="G695" s="8">
        <f t="shared" si="100"/>
        <v>1297.8</v>
      </c>
      <c r="H695" s="9">
        <f t="shared" si="101"/>
        <v>1093661251.2</v>
      </c>
      <c r="I695" s="9">
        <f t="shared" si="104"/>
        <v>20263963960.866665</v>
      </c>
      <c r="J695" s="9">
        <f t="shared" si="105"/>
        <v>15763285</v>
      </c>
      <c r="K695" s="21">
        <f t="shared" si="106"/>
        <v>1285.5165633855295</v>
      </c>
      <c r="L695" s="4" t="str">
        <f t="shared" si="102"/>
        <v>BUY</v>
      </c>
      <c r="M695" s="4">
        <f t="shared" si="107"/>
        <v>0</v>
      </c>
      <c r="N695" s="4">
        <f t="shared" si="103"/>
        <v>1</v>
      </c>
      <c r="O695" s="4">
        <f t="shared" si="108"/>
        <v>1322.65</v>
      </c>
      <c r="P695" s="4">
        <f t="shared" si="109"/>
        <v>0</v>
      </c>
    </row>
    <row r="696" spans="1:16" x14ac:dyDescent="0.25">
      <c r="A696" s="1">
        <v>42250</v>
      </c>
      <c r="B696">
        <v>1297.9000000000001</v>
      </c>
      <c r="C696">
        <v>1298.8</v>
      </c>
      <c r="D696">
        <v>1285</v>
      </c>
      <c r="E696" s="7">
        <v>1294.8499999999999</v>
      </c>
      <c r="F696">
        <v>645577</v>
      </c>
      <c r="G696" s="8">
        <f t="shared" si="100"/>
        <v>1292.8833333333334</v>
      </c>
      <c r="H696" s="9">
        <f t="shared" si="101"/>
        <v>834655743.6833334</v>
      </c>
      <c r="I696" s="9">
        <f t="shared" si="104"/>
        <v>17906465998.049999</v>
      </c>
      <c r="J696" s="9">
        <f t="shared" si="105"/>
        <v>13940352</v>
      </c>
      <c r="K696" s="21">
        <f t="shared" si="106"/>
        <v>1284.5060152032029</v>
      </c>
      <c r="L696" s="4" t="str">
        <f t="shared" si="102"/>
        <v>BUY</v>
      </c>
      <c r="M696" s="4">
        <f t="shared" si="107"/>
        <v>0</v>
      </c>
      <c r="N696" s="4">
        <f t="shared" si="103"/>
        <v>1</v>
      </c>
      <c r="O696" s="4">
        <f t="shared" si="108"/>
        <v>1322.65</v>
      </c>
      <c r="P696" s="4">
        <f t="shared" si="109"/>
        <v>0</v>
      </c>
    </row>
    <row r="697" spans="1:16" x14ac:dyDescent="0.25">
      <c r="A697" s="1">
        <v>42251</v>
      </c>
      <c r="B697">
        <v>1286</v>
      </c>
      <c r="C697">
        <v>1301.75</v>
      </c>
      <c r="D697">
        <v>1285</v>
      </c>
      <c r="E697" s="7">
        <v>1289.3499999999999</v>
      </c>
      <c r="F697">
        <v>581989</v>
      </c>
      <c r="G697" s="8">
        <f t="shared" si="100"/>
        <v>1292.0333333333333</v>
      </c>
      <c r="H697" s="9">
        <f t="shared" si="101"/>
        <v>751949187.63333333</v>
      </c>
      <c r="I697" s="9">
        <f t="shared" si="104"/>
        <v>16182414000.1</v>
      </c>
      <c r="J697" s="9">
        <f t="shared" si="105"/>
        <v>12610494</v>
      </c>
      <c r="K697" s="21">
        <f t="shared" si="106"/>
        <v>1283.2498076681215</v>
      </c>
      <c r="L697" s="4" t="str">
        <f t="shared" si="102"/>
        <v>BUY</v>
      </c>
      <c r="M697" s="4">
        <f t="shared" si="107"/>
        <v>0</v>
      </c>
      <c r="N697" s="4">
        <f t="shared" si="103"/>
        <v>1</v>
      </c>
      <c r="O697" s="4">
        <f t="shared" si="108"/>
        <v>1322.65</v>
      </c>
      <c r="P697" s="4">
        <f t="shared" si="109"/>
        <v>0</v>
      </c>
    </row>
    <row r="698" spans="1:16" x14ac:dyDescent="0.25">
      <c r="A698" s="1">
        <v>42254</v>
      </c>
      <c r="B698">
        <v>1290.25</v>
      </c>
      <c r="C698">
        <v>1301.55</v>
      </c>
      <c r="D698">
        <v>1286.05</v>
      </c>
      <c r="E698" s="7">
        <v>1289.45</v>
      </c>
      <c r="F698">
        <v>817763</v>
      </c>
      <c r="G698" s="8">
        <f t="shared" si="100"/>
        <v>1292.3500000000001</v>
      </c>
      <c r="H698" s="9">
        <f t="shared" si="101"/>
        <v>1056836013.0500001</v>
      </c>
      <c r="I698" s="9">
        <f t="shared" si="104"/>
        <v>15113959387.949999</v>
      </c>
      <c r="J698" s="9">
        <f t="shared" si="105"/>
        <v>11781851</v>
      </c>
      <c r="K698" s="21">
        <f t="shared" si="106"/>
        <v>1282.8170537846727</v>
      </c>
      <c r="L698" s="4" t="str">
        <f t="shared" si="102"/>
        <v>BUY</v>
      </c>
      <c r="M698" s="4">
        <f t="shared" si="107"/>
        <v>0</v>
      </c>
      <c r="N698" s="4">
        <f t="shared" si="103"/>
        <v>1</v>
      </c>
      <c r="O698" s="4">
        <f t="shared" si="108"/>
        <v>1322.65</v>
      </c>
      <c r="P698" s="4">
        <f t="shared" si="109"/>
        <v>0</v>
      </c>
    </row>
    <row r="699" spans="1:16" x14ac:dyDescent="0.25">
      <c r="A699" s="1">
        <v>42255</v>
      </c>
      <c r="B699">
        <v>1278.8</v>
      </c>
      <c r="C699">
        <v>1313.65</v>
      </c>
      <c r="D699">
        <v>1273.2</v>
      </c>
      <c r="E699" s="7">
        <v>1298.45</v>
      </c>
      <c r="F699">
        <v>1234771</v>
      </c>
      <c r="G699" s="8">
        <f t="shared" si="100"/>
        <v>1295.1000000000001</v>
      </c>
      <c r="H699" s="9">
        <f t="shared" si="101"/>
        <v>1599151922.1000001</v>
      </c>
      <c r="I699" s="9">
        <f t="shared" si="104"/>
        <v>13132990319.099998</v>
      </c>
      <c r="J699" s="9">
        <f t="shared" si="105"/>
        <v>10213923</v>
      </c>
      <c r="K699" s="21">
        <f t="shared" si="106"/>
        <v>1285.792963105361</v>
      </c>
      <c r="L699" s="4" t="str">
        <f t="shared" si="102"/>
        <v>BUY</v>
      </c>
      <c r="M699" s="4">
        <f t="shared" si="107"/>
        <v>0</v>
      </c>
      <c r="N699" s="4">
        <f t="shared" si="103"/>
        <v>1</v>
      </c>
      <c r="O699" s="4">
        <f t="shared" si="108"/>
        <v>1322.65</v>
      </c>
      <c r="P699" s="4">
        <f t="shared" si="109"/>
        <v>0</v>
      </c>
    </row>
    <row r="700" spans="1:16" x14ac:dyDescent="0.25">
      <c r="A700" s="1">
        <v>42256</v>
      </c>
      <c r="B700">
        <v>1294</v>
      </c>
      <c r="C700">
        <v>1302.4000000000001</v>
      </c>
      <c r="D700">
        <v>1287.5</v>
      </c>
      <c r="E700" s="7">
        <v>1294.6500000000001</v>
      </c>
      <c r="F700">
        <v>407264</v>
      </c>
      <c r="G700" s="8">
        <f t="shared" si="100"/>
        <v>1294.8500000000001</v>
      </c>
      <c r="H700" s="9">
        <f t="shared" si="101"/>
        <v>527345790.40000004</v>
      </c>
      <c r="I700" s="9">
        <f t="shared" si="104"/>
        <v>11777860994.433332</v>
      </c>
      <c r="J700" s="9">
        <f t="shared" si="105"/>
        <v>9164689</v>
      </c>
      <c r="K700" s="21">
        <f t="shared" si="106"/>
        <v>1285.1348250260683</v>
      </c>
      <c r="L700" s="4" t="str">
        <f t="shared" si="102"/>
        <v>BUY</v>
      </c>
      <c r="M700" s="4">
        <f t="shared" si="107"/>
        <v>0</v>
      </c>
      <c r="N700" s="4">
        <f t="shared" si="103"/>
        <v>1</v>
      </c>
      <c r="O700" s="4">
        <f t="shared" si="108"/>
        <v>1322.65</v>
      </c>
      <c r="P700" s="4">
        <f t="shared" si="109"/>
        <v>0</v>
      </c>
    </row>
    <row r="701" spans="1:16" x14ac:dyDescent="0.25">
      <c r="A701" s="1">
        <v>42257</v>
      </c>
      <c r="B701">
        <v>1297</v>
      </c>
      <c r="C701">
        <v>1310.2</v>
      </c>
      <c r="D701">
        <v>1287.8</v>
      </c>
      <c r="E701" s="7">
        <v>1295.9000000000001</v>
      </c>
      <c r="F701">
        <v>641372</v>
      </c>
      <c r="G701" s="8">
        <f t="shared" si="100"/>
        <v>1297.9666666666667</v>
      </c>
      <c r="H701" s="9">
        <f t="shared" si="101"/>
        <v>832479476.9333334</v>
      </c>
      <c r="I701" s="9">
        <f t="shared" si="104"/>
        <v>11441453007.299999</v>
      </c>
      <c r="J701" s="9">
        <f t="shared" si="105"/>
        <v>8908252</v>
      </c>
      <c r="K701" s="21">
        <f t="shared" si="106"/>
        <v>1284.3656653740823</v>
      </c>
      <c r="L701" s="4" t="str">
        <f t="shared" si="102"/>
        <v>BUY</v>
      </c>
      <c r="M701" s="4">
        <f t="shared" si="107"/>
        <v>0</v>
      </c>
      <c r="N701" s="4">
        <f t="shared" si="103"/>
        <v>1</v>
      </c>
      <c r="O701" s="4">
        <f t="shared" si="108"/>
        <v>1322.65</v>
      </c>
      <c r="P701" s="4">
        <f t="shared" si="109"/>
        <v>0</v>
      </c>
    </row>
    <row r="702" spans="1:16" x14ac:dyDescent="0.25">
      <c r="A702" s="1">
        <v>42258</v>
      </c>
      <c r="B702">
        <v>1301.3</v>
      </c>
      <c r="C702">
        <v>1304.9000000000001</v>
      </c>
      <c r="D702">
        <v>1272</v>
      </c>
      <c r="E702" s="7">
        <v>1283.1500000000001</v>
      </c>
      <c r="F702">
        <v>798740</v>
      </c>
      <c r="G702" s="8">
        <f t="shared" si="100"/>
        <v>1286.6833333333334</v>
      </c>
      <c r="H702" s="9">
        <f t="shared" si="101"/>
        <v>1027725445.6666667</v>
      </c>
      <c r="I702" s="9">
        <f t="shared" si="104"/>
        <v>10943531971.383333</v>
      </c>
      <c r="J702" s="9">
        <f t="shared" si="105"/>
        <v>8547877</v>
      </c>
      <c r="K702" s="21">
        <f t="shared" si="106"/>
        <v>1280.2631543929954</v>
      </c>
      <c r="L702" s="4" t="str">
        <f t="shared" si="102"/>
        <v>BUY</v>
      </c>
      <c r="M702" s="4">
        <f t="shared" si="107"/>
        <v>0</v>
      </c>
      <c r="N702" s="4">
        <f t="shared" si="103"/>
        <v>1</v>
      </c>
      <c r="O702" s="4">
        <f t="shared" si="108"/>
        <v>1322.65</v>
      </c>
      <c r="P702" s="4">
        <f t="shared" si="109"/>
        <v>0</v>
      </c>
    </row>
    <row r="703" spans="1:16" x14ac:dyDescent="0.25">
      <c r="A703" s="1">
        <v>42261</v>
      </c>
      <c r="B703">
        <v>1286.25</v>
      </c>
      <c r="C703">
        <v>1311</v>
      </c>
      <c r="D703">
        <v>1280.2</v>
      </c>
      <c r="E703" s="7">
        <v>1307.3499999999999</v>
      </c>
      <c r="F703">
        <v>723564</v>
      </c>
      <c r="G703" s="8">
        <f t="shared" si="100"/>
        <v>1299.5166666666667</v>
      </c>
      <c r="H703" s="9">
        <f t="shared" si="101"/>
        <v>940283477.39999998</v>
      </c>
      <c r="I703" s="9">
        <f t="shared" si="104"/>
        <v>11015847511.149998</v>
      </c>
      <c r="J703" s="9">
        <f t="shared" si="105"/>
        <v>8611799</v>
      </c>
      <c r="K703" s="21">
        <f t="shared" si="106"/>
        <v>1279.15752691743</v>
      </c>
      <c r="L703" s="4" t="str">
        <f t="shared" si="102"/>
        <v>BUY</v>
      </c>
      <c r="M703" s="4">
        <f t="shared" si="107"/>
        <v>0</v>
      </c>
      <c r="N703" s="4">
        <f t="shared" si="103"/>
        <v>1</v>
      </c>
      <c r="O703" s="4">
        <f t="shared" si="108"/>
        <v>1322.65</v>
      </c>
      <c r="P703" s="4">
        <f t="shared" si="109"/>
        <v>0</v>
      </c>
    </row>
    <row r="704" spans="1:16" x14ac:dyDescent="0.25">
      <c r="A704" s="1">
        <v>42262</v>
      </c>
      <c r="B704">
        <v>1309</v>
      </c>
      <c r="C704">
        <v>1311.4</v>
      </c>
      <c r="D704">
        <v>1282</v>
      </c>
      <c r="E704" s="7">
        <v>1289.7</v>
      </c>
      <c r="F704">
        <v>1412808</v>
      </c>
      <c r="G704" s="8">
        <f t="shared" si="100"/>
        <v>1294.3666666666668</v>
      </c>
      <c r="H704" s="9">
        <f t="shared" si="101"/>
        <v>1828691581.6000001</v>
      </c>
      <c r="I704" s="9">
        <f t="shared" si="104"/>
        <v>10492779889.666668</v>
      </c>
      <c r="J704" s="9">
        <f t="shared" si="105"/>
        <v>8106552</v>
      </c>
      <c r="K704" s="21">
        <f t="shared" si="106"/>
        <v>1294.3579329000379</v>
      </c>
      <c r="L704" s="4" t="str">
        <f t="shared" si="102"/>
        <v>SELL</v>
      </c>
      <c r="M704" s="4" t="str">
        <f t="shared" si="107"/>
        <v>SELL</v>
      </c>
      <c r="N704" s="4">
        <f t="shared" si="103"/>
        <v>-1</v>
      </c>
      <c r="O704" s="4">
        <f t="shared" si="108"/>
        <v>1289.7</v>
      </c>
      <c r="P704" s="4">
        <f t="shared" si="109"/>
        <v>-2.4912108267493321E-2</v>
      </c>
    </row>
    <row r="705" spans="1:16" x14ac:dyDescent="0.25">
      <c r="A705" s="1">
        <v>42263</v>
      </c>
      <c r="B705">
        <v>1325.1</v>
      </c>
      <c r="C705">
        <v>1334.9</v>
      </c>
      <c r="D705">
        <v>1303</v>
      </c>
      <c r="E705" s="7">
        <v>1318.9</v>
      </c>
      <c r="F705">
        <v>2698671</v>
      </c>
      <c r="G705" s="8">
        <f t="shared" si="100"/>
        <v>1318.9333333333334</v>
      </c>
      <c r="H705" s="9">
        <f t="shared" si="101"/>
        <v>3559367137.6000004</v>
      </c>
      <c r="I705" s="9">
        <f t="shared" si="104"/>
        <v>12958485776.066668</v>
      </c>
      <c r="J705" s="9">
        <f t="shared" si="105"/>
        <v>9962519</v>
      </c>
      <c r="K705" s="21">
        <f t="shared" si="106"/>
        <v>1300.723820558502</v>
      </c>
      <c r="L705" s="4" t="str">
        <f t="shared" si="102"/>
        <v>BUY</v>
      </c>
      <c r="M705" s="4" t="str">
        <f t="shared" si="107"/>
        <v>BUY</v>
      </c>
      <c r="N705" s="4">
        <f t="shared" si="103"/>
        <v>1</v>
      </c>
      <c r="O705" s="4">
        <f t="shared" si="108"/>
        <v>1318.9</v>
      </c>
      <c r="P705" s="4">
        <f t="shared" si="109"/>
        <v>-2.2640924245948706E-2</v>
      </c>
    </row>
    <row r="706" spans="1:16" x14ac:dyDescent="0.25">
      <c r="A706" s="1">
        <v>42264</v>
      </c>
      <c r="B706">
        <v>1324</v>
      </c>
      <c r="C706">
        <v>1324</v>
      </c>
      <c r="D706">
        <v>1311.9</v>
      </c>
      <c r="E706" s="7">
        <v>1314.6</v>
      </c>
      <c r="F706">
        <v>568348</v>
      </c>
      <c r="G706" s="8">
        <f t="shared" ref="G706:G769" si="110">AVERAGE(C706:E706)</f>
        <v>1316.8333333333333</v>
      </c>
      <c r="H706" s="9">
        <f t="shared" si="101"/>
        <v>748419591.33333325</v>
      </c>
      <c r="I706" s="9">
        <f t="shared" si="104"/>
        <v>12872249623.716669</v>
      </c>
      <c r="J706" s="9">
        <f t="shared" si="105"/>
        <v>9885290</v>
      </c>
      <c r="K706" s="21">
        <f t="shared" si="106"/>
        <v>1302.1620634009391</v>
      </c>
      <c r="L706" s="4" t="str">
        <f t="shared" si="102"/>
        <v>BUY</v>
      </c>
      <c r="M706" s="4">
        <f t="shared" si="107"/>
        <v>0</v>
      </c>
      <c r="N706" s="4">
        <f t="shared" si="103"/>
        <v>1</v>
      </c>
      <c r="O706" s="4">
        <f t="shared" si="108"/>
        <v>1318.9</v>
      </c>
      <c r="P706" s="4">
        <f t="shared" si="109"/>
        <v>0</v>
      </c>
    </row>
    <row r="707" spans="1:16" x14ac:dyDescent="0.25">
      <c r="A707" s="1">
        <v>42265</v>
      </c>
      <c r="B707">
        <v>1315</v>
      </c>
      <c r="C707">
        <v>1323.9</v>
      </c>
      <c r="D707">
        <v>1304.25</v>
      </c>
      <c r="E707" s="7">
        <v>1315.35</v>
      </c>
      <c r="F707">
        <v>1127235</v>
      </c>
      <c r="G707" s="8">
        <f t="shared" si="110"/>
        <v>1314.5</v>
      </c>
      <c r="H707" s="9">
        <f t="shared" ref="H707:H770" si="111">G707*F707</f>
        <v>1481750407.5</v>
      </c>
      <c r="I707" s="9">
        <f t="shared" si="104"/>
        <v>13602050843.583334</v>
      </c>
      <c r="J707" s="9">
        <f t="shared" si="105"/>
        <v>10430536</v>
      </c>
      <c r="K707" s="21">
        <f t="shared" si="106"/>
        <v>1304.0605816981347</v>
      </c>
      <c r="L707" s="4" t="str">
        <f t="shared" si="102"/>
        <v>BUY</v>
      </c>
      <c r="M707" s="4">
        <f t="shared" si="107"/>
        <v>0</v>
      </c>
      <c r="N707" s="4">
        <f t="shared" si="103"/>
        <v>1</v>
      </c>
      <c r="O707" s="4">
        <f t="shared" si="108"/>
        <v>1318.9</v>
      </c>
      <c r="P707" s="4">
        <f t="shared" si="109"/>
        <v>0</v>
      </c>
    </row>
    <row r="708" spans="1:16" x14ac:dyDescent="0.25">
      <c r="A708" s="1">
        <v>42268</v>
      </c>
      <c r="B708">
        <v>1306.2</v>
      </c>
      <c r="C708">
        <v>1322</v>
      </c>
      <c r="D708">
        <v>1306.2</v>
      </c>
      <c r="E708" s="7">
        <v>1315.3</v>
      </c>
      <c r="F708">
        <v>523675</v>
      </c>
      <c r="G708" s="8">
        <f t="shared" si="110"/>
        <v>1314.5</v>
      </c>
      <c r="H708" s="9">
        <f t="shared" si="111"/>
        <v>688370787.5</v>
      </c>
      <c r="I708" s="9">
        <f t="shared" si="104"/>
        <v>13233585618.033335</v>
      </c>
      <c r="J708" s="9">
        <f t="shared" si="105"/>
        <v>10136448</v>
      </c>
      <c r="K708" s="21">
        <f t="shared" si="106"/>
        <v>1305.544665945441</v>
      </c>
      <c r="L708" s="4" t="str">
        <f t="shared" si="102"/>
        <v>BUY</v>
      </c>
      <c r="M708" s="4">
        <f t="shared" si="107"/>
        <v>0</v>
      </c>
      <c r="N708" s="4">
        <f t="shared" si="103"/>
        <v>1</v>
      </c>
      <c r="O708" s="4">
        <f t="shared" si="108"/>
        <v>1318.9</v>
      </c>
      <c r="P708" s="4">
        <f t="shared" si="109"/>
        <v>0</v>
      </c>
    </row>
    <row r="709" spans="1:16" x14ac:dyDescent="0.25">
      <c r="A709" s="1">
        <v>42269</v>
      </c>
      <c r="B709">
        <v>1311</v>
      </c>
      <c r="C709">
        <v>1319.8</v>
      </c>
      <c r="D709">
        <v>1300.8</v>
      </c>
      <c r="E709" s="7">
        <v>1308.4000000000001</v>
      </c>
      <c r="F709">
        <v>407814</v>
      </c>
      <c r="G709" s="8">
        <f t="shared" si="110"/>
        <v>1309.6666666666667</v>
      </c>
      <c r="H709" s="9">
        <f t="shared" si="111"/>
        <v>534100402.00000006</v>
      </c>
      <c r="I709" s="9">
        <f t="shared" si="104"/>
        <v>12168534097.933334</v>
      </c>
      <c r="J709" s="9">
        <f t="shared" si="105"/>
        <v>9309491</v>
      </c>
      <c r="K709" s="21">
        <f t="shared" si="106"/>
        <v>1307.1105711293276</v>
      </c>
      <c r="L709" s="4" t="str">
        <f t="shared" si="102"/>
        <v>BUY</v>
      </c>
      <c r="M709" s="4">
        <f t="shared" si="107"/>
        <v>0</v>
      </c>
      <c r="N709" s="4">
        <f t="shared" si="103"/>
        <v>1</v>
      </c>
      <c r="O709" s="4">
        <f t="shared" si="108"/>
        <v>1318.9</v>
      </c>
      <c r="P709" s="4">
        <f t="shared" si="109"/>
        <v>0</v>
      </c>
    </row>
    <row r="710" spans="1:16" x14ac:dyDescent="0.25">
      <c r="A710" s="1">
        <v>42270</v>
      </c>
      <c r="B710">
        <v>1304.4000000000001</v>
      </c>
      <c r="C710">
        <v>1322</v>
      </c>
      <c r="D710">
        <v>1304.4000000000001</v>
      </c>
      <c r="E710" s="7">
        <v>1311.5</v>
      </c>
      <c r="F710">
        <v>402634</v>
      </c>
      <c r="G710" s="8">
        <f t="shared" si="110"/>
        <v>1312.6333333333334</v>
      </c>
      <c r="H710" s="9">
        <f t="shared" si="111"/>
        <v>528510809.53333336</v>
      </c>
      <c r="I710" s="9">
        <f t="shared" si="104"/>
        <v>12169699117.066668</v>
      </c>
      <c r="J710" s="9">
        <f t="shared" si="105"/>
        <v>9304861</v>
      </c>
      <c r="K710" s="21">
        <f t="shared" si="106"/>
        <v>1307.886180896917</v>
      </c>
      <c r="L710" s="4" t="str">
        <f t="shared" si="102"/>
        <v>BUY</v>
      </c>
      <c r="M710" s="4">
        <f t="shared" si="107"/>
        <v>0</v>
      </c>
      <c r="N710" s="4">
        <f t="shared" si="103"/>
        <v>1</v>
      </c>
      <c r="O710" s="4">
        <f t="shared" si="108"/>
        <v>1318.9</v>
      </c>
      <c r="P710" s="4">
        <f t="shared" si="109"/>
        <v>0</v>
      </c>
    </row>
    <row r="711" spans="1:16" x14ac:dyDescent="0.25">
      <c r="A711" s="1">
        <v>42271</v>
      </c>
      <c r="B711">
        <v>1309.0999999999999</v>
      </c>
      <c r="C711">
        <v>1316.8</v>
      </c>
      <c r="D711">
        <v>1304</v>
      </c>
      <c r="E711" s="7">
        <v>1315.5</v>
      </c>
      <c r="F711">
        <v>499768</v>
      </c>
      <c r="G711" s="8">
        <f t="shared" si="110"/>
        <v>1312.1000000000001</v>
      </c>
      <c r="H711" s="9">
        <f t="shared" si="111"/>
        <v>655745592.80000007</v>
      </c>
      <c r="I711" s="9">
        <f t="shared" si="104"/>
        <v>11992965232.933332</v>
      </c>
      <c r="J711" s="9">
        <f t="shared" si="105"/>
        <v>9163257</v>
      </c>
      <c r="K711" s="21">
        <f t="shared" si="106"/>
        <v>1308.8103097985063</v>
      </c>
      <c r="L711" s="4" t="str">
        <f t="shared" si="102"/>
        <v>BUY</v>
      </c>
      <c r="M711" s="4">
        <f t="shared" si="107"/>
        <v>0</v>
      </c>
      <c r="N711" s="4">
        <f t="shared" si="103"/>
        <v>1</v>
      </c>
      <c r="O711" s="4">
        <f t="shared" si="108"/>
        <v>1318.9</v>
      </c>
      <c r="P711" s="4">
        <f t="shared" si="109"/>
        <v>0</v>
      </c>
    </row>
    <row r="712" spans="1:16" x14ac:dyDescent="0.25">
      <c r="A712" s="1">
        <v>42272</v>
      </c>
      <c r="B712">
        <v>1314.9</v>
      </c>
      <c r="C712">
        <v>1320.35</v>
      </c>
      <c r="D712">
        <v>1310.2</v>
      </c>
      <c r="E712" s="7">
        <v>1315.25</v>
      </c>
      <c r="F712">
        <v>789884</v>
      </c>
      <c r="G712" s="8">
        <f t="shared" si="110"/>
        <v>1315.2666666666667</v>
      </c>
      <c r="H712" s="9">
        <f t="shared" si="111"/>
        <v>1038908095.7333333</v>
      </c>
      <c r="I712" s="9">
        <f t="shared" si="104"/>
        <v>12004147883</v>
      </c>
      <c r="J712" s="9">
        <f t="shared" si="105"/>
        <v>9154401</v>
      </c>
      <c r="K712" s="21">
        <f t="shared" si="106"/>
        <v>1311.2980175327691</v>
      </c>
      <c r="L712" s="4" t="str">
        <f t="shared" si="102"/>
        <v>BUY</v>
      </c>
      <c r="M712" s="4">
        <f t="shared" si="107"/>
        <v>0</v>
      </c>
      <c r="N712" s="4">
        <f t="shared" si="103"/>
        <v>1</v>
      </c>
      <c r="O712" s="4">
        <f t="shared" si="108"/>
        <v>1318.9</v>
      </c>
      <c r="P712" s="4">
        <f t="shared" si="109"/>
        <v>0</v>
      </c>
    </row>
    <row r="713" spans="1:16" x14ac:dyDescent="0.25">
      <c r="A713" s="1">
        <v>42275</v>
      </c>
      <c r="B713">
        <v>1324.9</v>
      </c>
      <c r="C713">
        <v>1338</v>
      </c>
      <c r="D713">
        <v>1318.4</v>
      </c>
      <c r="E713" s="7">
        <v>1331.2</v>
      </c>
      <c r="F713">
        <v>836987</v>
      </c>
      <c r="G713" s="8">
        <f t="shared" si="110"/>
        <v>1329.2</v>
      </c>
      <c r="H713" s="9">
        <f t="shared" si="111"/>
        <v>1112523120.4000001</v>
      </c>
      <c r="I713" s="9">
        <f t="shared" si="104"/>
        <v>12176387526</v>
      </c>
      <c r="J713" s="9">
        <f t="shared" si="105"/>
        <v>9267824</v>
      </c>
      <c r="K713" s="21">
        <f t="shared" si="106"/>
        <v>1313.8345663448076</v>
      </c>
      <c r="L713" s="4" t="str">
        <f t="shared" si="102"/>
        <v>BUY</v>
      </c>
      <c r="M713" s="4">
        <f t="shared" si="107"/>
        <v>0</v>
      </c>
      <c r="N713" s="4">
        <f t="shared" si="103"/>
        <v>1</v>
      </c>
      <c r="O713" s="4">
        <f t="shared" si="108"/>
        <v>1318.9</v>
      </c>
      <c r="P713" s="4">
        <f t="shared" si="109"/>
        <v>0</v>
      </c>
    </row>
    <row r="714" spans="1:16" x14ac:dyDescent="0.25">
      <c r="A714" s="1">
        <v>42276</v>
      </c>
      <c r="B714">
        <v>1335.9</v>
      </c>
      <c r="C714">
        <v>1343.35</v>
      </c>
      <c r="D714">
        <v>1325.3</v>
      </c>
      <c r="E714" s="7">
        <v>1329.6</v>
      </c>
      <c r="F714">
        <v>611913</v>
      </c>
      <c r="G714" s="8">
        <f t="shared" si="110"/>
        <v>1332.7499999999998</v>
      </c>
      <c r="H714" s="9">
        <f t="shared" si="111"/>
        <v>815527050.74999988</v>
      </c>
      <c r="I714" s="9">
        <f t="shared" si="104"/>
        <v>11163222995.15</v>
      </c>
      <c r="J714" s="9">
        <f t="shared" si="105"/>
        <v>8466929</v>
      </c>
      <c r="K714" s="21">
        <f t="shared" si="106"/>
        <v>1318.4500537503031</v>
      </c>
      <c r="L714" s="4" t="str">
        <f t="shared" si="102"/>
        <v>BUY</v>
      </c>
      <c r="M714" s="4">
        <f t="shared" si="107"/>
        <v>0</v>
      </c>
      <c r="N714" s="4">
        <f t="shared" si="103"/>
        <v>1</v>
      </c>
      <c r="O714" s="4">
        <f t="shared" si="108"/>
        <v>1318.9</v>
      </c>
      <c r="P714" s="4">
        <f t="shared" si="109"/>
        <v>0</v>
      </c>
    </row>
    <row r="715" spans="1:16" x14ac:dyDescent="0.25">
      <c r="A715" s="1">
        <v>42277</v>
      </c>
      <c r="B715">
        <v>1325</v>
      </c>
      <c r="C715">
        <v>1337.4</v>
      </c>
      <c r="D715">
        <v>1319.45</v>
      </c>
      <c r="E715" s="7">
        <v>1320.55</v>
      </c>
      <c r="F715">
        <v>648733</v>
      </c>
      <c r="G715" s="8">
        <f t="shared" si="110"/>
        <v>1325.8000000000002</v>
      </c>
      <c r="H715" s="9">
        <f t="shared" si="111"/>
        <v>860090211.4000001</v>
      </c>
      <c r="I715" s="9">
        <f t="shared" si="104"/>
        <v>8463946068.9499989</v>
      </c>
      <c r="J715" s="9">
        <f t="shared" si="105"/>
        <v>6416991</v>
      </c>
      <c r="K715" s="21">
        <f t="shared" si="106"/>
        <v>1318.9898612838945</v>
      </c>
      <c r="L715" s="4" t="str">
        <f t="shared" ref="L715:L778" si="112">IF(E715&gt;K715,"BUY",IF(E715&lt;K715,"SELL",0))</f>
        <v>BUY</v>
      </c>
      <c r="M715" s="4">
        <f t="shared" si="107"/>
        <v>0</v>
      </c>
      <c r="N715" s="4">
        <f t="shared" ref="N715:N778" si="113">IF(M715="BUY",1,IF(M715="SELL",-1,N714))</f>
        <v>1</v>
      </c>
      <c r="O715" s="4">
        <f t="shared" si="108"/>
        <v>1318.9</v>
      </c>
      <c r="P715" s="4">
        <f t="shared" si="109"/>
        <v>0</v>
      </c>
    </row>
    <row r="716" spans="1:16" x14ac:dyDescent="0.25">
      <c r="A716" s="1">
        <v>42278</v>
      </c>
      <c r="B716">
        <v>1325</v>
      </c>
      <c r="C716">
        <v>1333.35</v>
      </c>
      <c r="D716">
        <v>1321.5</v>
      </c>
      <c r="E716" s="7">
        <v>1331.5</v>
      </c>
      <c r="F716">
        <v>529195</v>
      </c>
      <c r="G716" s="8">
        <f t="shared" si="110"/>
        <v>1328.7833333333333</v>
      </c>
      <c r="H716" s="9">
        <f t="shared" si="111"/>
        <v>703185496.08333337</v>
      </c>
      <c r="I716" s="9">
        <f t="shared" ref="I716:I779" si="114">SUM(H707:H716)</f>
        <v>8418711973.6999998</v>
      </c>
      <c r="J716" s="9">
        <f t="shared" ref="J716:J779" si="115">SUM(F707:F716)</f>
        <v>6377838</v>
      </c>
      <c r="K716" s="21">
        <f t="shared" ref="K716:K779" si="116">I716/J716</f>
        <v>1319.9946398293591</v>
      </c>
      <c r="L716" s="4" t="str">
        <f t="shared" si="112"/>
        <v>BUY</v>
      </c>
      <c r="M716" s="4">
        <f t="shared" ref="M716:M779" si="117">IF(L716&lt;&gt;L715,L716,0)</f>
        <v>0</v>
      </c>
      <c r="N716" s="4">
        <f t="shared" si="113"/>
        <v>1</v>
      </c>
      <c r="O716" s="4">
        <f t="shared" ref="O716:O779" si="118">IF(M716&lt;&gt;0,E716,O715)</f>
        <v>1318.9</v>
      </c>
      <c r="P716" s="4">
        <f t="shared" ref="P716:P779" si="119">IF(M716="BUY",(O715-O716)/O715,IF(M716="SELL",(O716-O715)/O715,0))</f>
        <v>0</v>
      </c>
    </row>
    <row r="717" spans="1:16" x14ac:dyDescent="0.25">
      <c r="A717" s="1">
        <v>42279</v>
      </c>
      <c r="B717">
        <v>1324</v>
      </c>
      <c r="C717">
        <v>1334.7</v>
      </c>
      <c r="D717">
        <v>1316.6</v>
      </c>
      <c r="E717" s="7">
        <v>1331.2</v>
      </c>
      <c r="F717">
        <v>619522</v>
      </c>
      <c r="G717" s="8">
        <f t="shared" si="110"/>
        <v>1327.5</v>
      </c>
      <c r="H717" s="9">
        <f t="shared" si="111"/>
        <v>822415455</v>
      </c>
      <c r="I717" s="9">
        <f t="shared" si="114"/>
        <v>7759377021.1999998</v>
      </c>
      <c r="J717" s="9">
        <f t="shared" si="115"/>
        <v>5870125</v>
      </c>
      <c r="K717" s="21">
        <f t="shared" si="116"/>
        <v>1321.8418723962436</v>
      </c>
      <c r="L717" s="4" t="str">
        <f t="shared" si="112"/>
        <v>BUY</v>
      </c>
      <c r="M717" s="4">
        <f t="shared" si="117"/>
        <v>0</v>
      </c>
      <c r="N717" s="4">
        <f t="shared" si="113"/>
        <v>1</v>
      </c>
      <c r="O717" s="4">
        <f t="shared" si="118"/>
        <v>1318.9</v>
      </c>
      <c r="P717" s="4">
        <f t="shared" si="119"/>
        <v>0</v>
      </c>
    </row>
    <row r="718" spans="1:16" x14ac:dyDescent="0.25">
      <c r="A718" s="1">
        <v>42282</v>
      </c>
      <c r="B718">
        <v>1330</v>
      </c>
      <c r="C718">
        <v>1333.25</v>
      </c>
      <c r="D718">
        <v>1320.9</v>
      </c>
      <c r="E718" s="7">
        <v>1324.95</v>
      </c>
      <c r="F718">
        <v>355691</v>
      </c>
      <c r="G718" s="8">
        <f t="shared" si="110"/>
        <v>1326.3666666666668</v>
      </c>
      <c r="H718" s="9">
        <f t="shared" si="111"/>
        <v>471776686.03333336</v>
      </c>
      <c r="I718" s="9">
        <f t="shared" si="114"/>
        <v>7542782919.7333336</v>
      </c>
      <c r="J718" s="9">
        <f t="shared" si="115"/>
        <v>5702141</v>
      </c>
      <c r="K718" s="21">
        <f t="shared" si="116"/>
        <v>1322.7983874361109</v>
      </c>
      <c r="L718" s="4" t="str">
        <f t="shared" si="112"/>
        <v>BUY</v>
      </c>
      <c r="M718" s="4">
        <f t="shared" si="117"/>
        <v>0</v>
      </c>
      <c r="N718" s="4">
        <f t="shared" si="113"/>
        <v>1</v>
      </c>
      <c r="O718" s="4">
        <f t="shared" si="118"/>
        <v>1318.9</v>
      </c>
      <c r="P718" s="4">
        <f t="shared" si="119"/>
        <v>0</v>
      </c>
    </row>
    <row r="719" spans="1:16" x14ac:dyDescent="0.25">
      <c r="A719" s="1">
        <v>42283</v>
      </c>
      <c r="B719">
        <v>1320</v>
      </c>
      <c r="C719">
        <v>1348</v>
      </c>
      <c r="D719">
        <v>1320</v>
      </c>
      <c r="E719" s="7">
        <v>1334.5</v>
      </c>
      <c r="F719">
        <v>733391</v>
      </c>
      <c r="G719" s="8">
        <f t="shared" si="110"/>
        <v>1334.1666666666667</v>
      </c>
      <c r="H719" s="9">
        <f t="shared" si="111"/>
        <v>978465825.83333337</v>
      </c>
      <c r="I719" s="9">
        <f t="shared" si="114"/>
        <v>7987148343.5666666</v>
      </c>
      <c r="J719" s="9">
        <f t="shared" si="115"/>
        <v>6027718</v>
      </c>
      <c r="K719" s="21">
        <f t="shared" si="116"/>
        <v>1325.0700088435899</v>
      </c>
      <c r="L719" s="4" t="str">
        <f t="shared" si="112"/>
        <v>BUY</v>
      </c>
      <c r="M719" s="4">
        <f t="shared" si="117"/>
        <v>0</v>
      </c>
      <c r="N719" s="4">
        <f t="shared" si="113"/>
        <v>1</v>
      </c>
      <c r="O719" s="4">
        <f t="shared" si="118"/>
        <v>1318.9</v>
      </c>
      <c r="P719" s="4">
        <f t="shared" si="119"/>
        <v>0</v>
      </c>
    </row>
    <row r="720" spans="1:16" x14ac:dyDescent="0.25">
      <c r="A720" s="1">
        <v>42284</v>
      </c>
      <c r="B720">
        <v>1335.15</v>
      </c>
      <c r="C720">
        <v>1337.2</v>
      </c>
      <c r="D720">
        <v>1322.05</v>
      </c>
      <c r="E720" s="7">
        <v>1325.3</v>
      </c>
      <c r="F720">
        <v>71507</v>
      </c>
      <c r="G720" s="8">
        <f t="shared" si="110"/>
        <v>1328.1833333333334</v>
      </c>
      <c r="H720" s="9">
        <f t="shared" si="111"/>
        <v>94974405.616666675</v>
      </c>
      <c r="I720" s="9">
        <f t="shared" si="114"/>
        <v>7553611939.6500006</v>
      </c>
      <c r="J720" s="9">
        <f t="shared" si="115"/>
        <v>5696591</v>
      </c>
      <c r="K720" s="21">
        <f t="shared" si="116"/>
        <v>1325.9881110737983</v>
      </c>
      <c r="L720" s="4" t="str">
        <f t="shared" si="112"/>
        <v>SELL</v>
      </c>
      <c r="M720" s="4" t="str">
        <f t="shared" si="117"/>
        <v>SELL</v>
      </c>
      <c r="N720" s="4">
        <f t="shared" si="113"/>
        <v>-1</v>
      </c>
      <c r="O720" s="4">
        <f t="shared" si="118"/>
        <v>1325.3</v>
      </c>
      <c r="P720" s="4">
        <f t="shared" si="119"/>
        <v>4.8525286223366918E-3</v>
      </c>
    </row>
    <row r="721" spans="1:16" x14ac:dyDescent="0.25">
      <c r="A721" s="1">
        <v>42285</v>
      </c>
      <c r="B721">
        <v>1320.1</v>
      </c>
      <c r="C721">
        <v>1322</v>
      </c>
      <c r="D721">
        <v>1291</v>
      </c>
      <c r="E721" s="7">
        <v>1294.1500000000001</v>
      </c>
      <c r="F721">
        <v>867701</v>
      </c>
      <c r="G721" s="8">
        <f t="shared" si="110"/>
        <v>1302.3833333333334</v>
      </c>
      <c r="H721" s="9">
        <f t="shared" si="111"/>
        <v>1130079320.7166667</v>
      </c>
      <c r="I721" s="9">
        <f t="shared" si="114"/>
        <v>8027945667.5666676</v>
      </c>
      <c r="J721" s="9">
        <f t="shared" si="115"/>
        <v>6064524</v>
      </c>
      <c r="K721" s="21">
        <f t="shared" si="116"/>
        <v>1323.7552803099909</v>
      </c>
      <c r="L721" s="4" t="str">
        <f t="shared" si="112"/>
        <v>SELL</v>
      </c>
      <c r="M721" s="4">
        <f t="shared" si="117"/>
        <v>0</v>
      </c>
      <c r="N721" s="4">
        <f t="shared" si="113"/>
        <v>-1</v>
      </c>
      <c r="O721" s="4">
        <f t="shared" si="118"/>
        <v>1325.3</v>
      </c>
      <c r="P721" s="4">
        <f t="shared" si="119"/>
        <v>0</v>
      </c>
    </row>
    <row r="722" spans="1:16" x14ac:dyDescent="0.25">
      <c r="A722" s="1">
        <v>42286</v>
      </c>
      <c r="B722">
        <v>1299.8</v>
      </c>
      <c r="C722">
        <v>1306.8</v>
      </c>
      <c r="D722">
        <v>1280.0999999999999</v>
      </c>
      <c r="E722" s="7">
        <v>1286.8</v>
      </c>
      <c r="F722">
        <v>799445</v>
      </c>
      <c r="G722" s="8">
        <f t="shared" si="110"/>
        <v>1291.2333333333333</v>
      </c>
      <c r="H722" s="9">
        <f t="shared" si="111"/>
        <v>1032270032.1666666</v>
      </c>
      <c r="I722" s="9">
        <f t="shared" si="114"/>
        <v>8021307604.000001</v>
      </c>
      <c r="J722" s="9">
        <f t="shared" si="115"/>
        <v>6074085</v>
      </c>
      <c r="K722" s="21">
        <f t="shared" si="116"/>
        <v>1320.5787544955333</v>
      </c>
      <c r="L722" s="4" t="str">
        <f t="shared" si="112"/>
        <v>SELL</v>
      </c>
      <c r="M722" s="4">
        <f t="shared" si="117"/>
        <v>0</v>
      </c>
      <c r="N722" s="4">
        <f t="shared" si="113"/>
        <v>-1</v>
      </c>
      <c r="O722" s="4">
        <f t="shared" si="118"/>
        <v>1325.3</v>
      </c>
      <c r="P722" s="4">
        <f t="shared" si="119"/>
        <v>0</v>
      </c>
    </row>
    <row r="723" spans="1:16" x14ac:dyDescent="0.25">
      <c r="A723" s="1">
        <v>42289</v>
      </c>
      <c r="B723">
        <v>1290.0999999999999</v>
      </c>
      <c r="C723">
        <v>1295</v>
      </c>
      <c r="D723">
        <v>1258.5</v>
      </c>
      <c r="E723" s="7">
        <v>1262.3499999999999</v>
      </c>
      <c r="F723">
        <v>838143</v>
      </c>
      <c r="G723" s="8">
        <f t="shared" si="110"/>
        <v>1271.95</v>
      </c>
      <c r="H723" s="9">
        <f t="shared" si="111"/>
        <v>1066075988.85</v>
      </c>
      <c r="I723" s="9">
        <f t="shared" si="114"/>
        <v>7974860472.4500017</v>
      </c>
      <c r="J723" s="9">
        <f t="shared" si="115"/>
        <v>6075241</v>
      </c>
      <c r="K723" s="21">
        <f t="shared" si="116"/>
        <v>1312.6821590205232</v>
      </c>
      <c r="L723" s="4" t="str">
        <f t="shared" si="112"/>
        <v>SELL</v>
      </c>
      <c r="M723" s="4">
        <f t="shared" si="117"/>
        <v>0</v>
      </c>
      <c r="N723" s="4">
        <f t="shared" si="113"/>
        <v>-1</v>
      </c>
      <c r="O723" s="4">
        <f t="shared" si="118"/>
        <v>1325.3</v>
      </c>
      <c r="P723" s="4">
        <f t="shared" si="119"/>
        <v>0</v>
      </c>
    </row>
    <row r="724" spans="1:16" x14ac:dyDescent="0.25">
      <c r="A724" s="1">
        <v>42290</v>
      </c>
      <c r="B724">
        <v>1275</v>
      </c>
      <c r="C724">
        <v>1282.9000000000001</v>
      </c>
      <c r="D724">
        <v>1256.05</v>
      </c>
      <c r="E724" s="7">
        <v>1272.8</v>
      </c>
      <c r="F724">
        <v>628020</v>
      </c>
      <c r="G724" s="8">
        <f t="shared" si="110"/>
        <v>1270.5833333333333</v>
      </c>
      <c r="H724" s="9">
        <f t="shared" si="111"/>
        <v>797951745</v>
      </c>
      <c r="I724" s="9">
        <f t="shared" si="114"/>
        <v>7957285166.7000017</v>
      </c>
      <c r="J724" s="9">
        <f t="shared" si="115"/>
        <v>6091348</v>
      </c>
      <c r="K724" s="21">
        <f t="shared" si="116"/>
        <v>1306.325819293201</v>
      </c>
      <c r="L724" s="4" t="str">
        <f t="shared" si="112"/>
        <v>SELL</v>
      </c>
      <c r="M724" s="4">
        <f t="shared" si="117"/>
        <v>0</v>
      </c>
      <c r="N724" s="4">
        <f t="shared" si="113"/>
        <v>-1</v>
      </c>
      <c r="O724" s="4">
        <f t="shared" si="118"/>
        <v>1325.3</v>
      </c>
      <c r="P724" s="4">
        <f t="shared" si="119"/>
        <v>0</v>
      </c>
    </row>
    <row r="725" spans="1:16" x14ac:dyDescent="0.25">
      <c r="A725" s="1">
        <v>42291</v>
      </c>
      <c r="B725">
        <v>1276.25</v>
      </c>
      <c r="C725">
        <v>1294.7</v>
      </c>
      <c r="D725">
        <v>1276.25</v>
      </c>
      <c r="E725" s="7">
        <v>1282.2</v>
      </c>
      <c r="F725">
        <v>470872</v>
      </c>
      <c r="G725" s="8">
        <f t="shared" si="110"/>
        <v>1284.3833333333332</v>
      </c>
      <c r="H725" s="9">
        <f t="shared" si="111"/>
        <v>604780148.93333328</v>
      </c>
      <c r="I725" s="9">
        <f t="shared" si="114"/>
        <v>7701975104.2333345</v>
      </c>
      <c r="J725" s="9">
        <f t="shared" si="115"/>
        <v>5913487</v>
      </c>
      <c r="K725" s="21">
        <f t="shared" si="116"/>
        <v>1302.4422145907033</v>
      </c>
      <c r="L725" s="4" t="str">
        <f t="shared" si="112"/>
        <v>SELL</v>
      </c>
      <c r="M725" s="4">
        <f t="shared" si="117"/>
        <v>0</v>
      </c>
      <c r="N725" s="4">
        <f t="shared" si="113"/>
        <v>-1</v>
      </c>
      <c r="O725" s="4">
        <f t="shared" si="118"/>
        <v>1325.3</v>
      </c>
      <c r="P725" s="4">
        <f t="shared" si="119"/>
        <v>0</v>
      </c>
    </row>
    <row r="726" spans="1:16" x14ac:dyDescent="0.25">
      <c r="A726" s="1">
        <v>42292</v>
      </c>
      <c r="B726">
        <v>1282.0999999999999</v>
      </c>
      <c r="C726">
        <v>1284.0999999999999</v>
      </c>
      <c r="D726">
        <v>1271</v>
      </c>
      <c r="E726" s="7">
        <v>1276.45</v>
      </c>
      <c r="F726">
        <v>305812</v>
      </c>
      <c r="G726" s="8">
        <f t="shared" si="110"/>
        <v>1277.1833333333334</v>
      </c>
      <c r="H726" s="9">
        <f t="shared" si="111"/>
        <v>390577989.53333336</v>
      </c>
      <c r="I726" s="9">
        <f t="shared" si="114"/>
        <v>7389367597.6833344</v>
      </c>
      <c r="J726" s="9">
        <f t="shared" si="115"/>
        <v>5690104</v>
      </c>
      <c r="K726" s="21">
        <f t="shared" si="116"/>
        <v>1298.6348927336537</v>
      </c>
      <c r="L726" s="4" t="str">
        <f t="shared" si="112"/>
        <v>SELL</v>
      </c>
      <c r="M726" s="4">
        <f t="shared" si="117"/>
        <v>0</v>
      </c>
      <c r="N726" s="4">
        <f t="shared" si="113"/>
        <v>-1</v>
      </c>
      <c r="O726" s="4">
        <f t="shared" si="118"/>
        <v>1325.3</v>
      </c>
      <c r="P726" s="4">
        <f t="shared" si="119"/>
        <v>0</v>
      </c>
    </row>
    <row r="727" spans="1:16" x14ac:dyDescent="0.25">
      <c r="A727" s="1">
        <v>42293</v>
      </c>
      <c r="B727">
        <v>1282</v>
      </c>
      <c r="C727">
        <v>1291.4000000000001</v>
      </c>
      <c r="D727">
        <v>1271.25</v>
      </c>
      <c r="E727" s="7">
        <v>1288.5999999999999</v>
      </c>
      <c r="F727">
        <v>374838</v>
      </c>
      <c r="G727" s="8">
        <f t="shared" si="110"/>
        <v>1283.75</v>
      </c>
      <c r="H727" s="9">
        <f t="shared" si="111"/>
        <v>481198282.5</v>
      </c>
      <c r="I727" s="9">
        <f t="shared" si="114"/>
        <v>7048150425.1833344</v>
      </c>
      <c r="J727" s="9">
        <f t="shared" si="115"/>
        <v>5445420</v>
      </c>
      <c r="K727" s="21">
        <f t="shared" si="116"/>
        <v>1294.3263192156592</v>
      </c>
      <c r="L727" s="4" t="str">
        <f t="shared" si="112"/>
        <v>SELL</v>
      </c>
      <c r="M727" s="4">
        <f t="shared" si="117"/>
        <v>0</v>
      </c>
      <c r="N727" s="4">
        <f t="shared" si="113"/>
        <v>-1</v>
      </c>
      <c r="O727" s="4">
        <f t="shared" si="118"/>
        <v>1325.3</v>
      </c>
      <c r="P727" s="4">
        <f t="shared" si="119"/>
        <v>0</v>
      </c>
    </row>
    <row r="728" spans="1:16" x14ac:dyDescent="0.25">
      <c r="A728" s="1">
        <v>42296</v>
      </c>
      <c r="B728">
        <v>1288</v>
      </c>
      <c r="C728">
        <v>1295.7</v>
      </c>
      <c r="D728">
        <v>1285</v>
      </c>
      <c r="E728" s="7">
        <v>1293.7</v>
      </c>
      <c r="F728">
        <v>228167</v>
      </c>
      <c r="G728" s="8">
        <f t="shared" si="110"/>
        <v>1291.4666666666665</v>
      </c>
      <c r="H728" s="9">
        <f t="shared" si="111"/>
        <v>294670074.93333328</v>
      </c>
      <c r="I728" s="9">
        <f t="shared" si="114"/>
        <v>6871043814.083334</v>
      </c>
      <c r="J728" s="9">
        <f t="shared" si="115"/>
        <v>5317896</v>
      </c>
      <c r="K728" s="21">
        <f t="shared" si="116"/>
        <v>1292.0605845024675</v>
      </c>
      <c r="L728" s="4" t="str">
        <f t="shared" si="112"/>
        <v>BUY</v>
      </c>
      <c r="M728" s="4" t="str">
        <f t="shared" si="117"/>
        <v>BUY</v>
      </c>
      <c r="N728" s="4">
        <f t="shared" si="113"/>
        <v>1</v>
      </c>
      <c r="O728" s="4">
        <f t="shared" si="118"/>
        <v>1293.7</v>
      </c>
      <c r="P728" s="4">
        <f t="shared" si="119"/>
        <v>2.3843658039689058E-2</v>
      </c>
    </row>
    <row r="729" spans="1:16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 s="7">
        <v>1295.2</v>
      </c>
      <c r="F729">
        <v>669080</v>
      </c>
      <c r="G729" s="8">
        <f t="shared" si="110"/>
        <v>1294.4666666666665</v>
      </c>
      <c r="H729" s="9">
        <f t="shared" si="111"/>
        <v>866101757.33333325</v>
      </c>
      <c r="I729" s="9">
        <f t="shared" si="114"/>
        <v>6758679745.583333</v>
      </c>
      <c r="J729" s="9">
        <f t="shared" si="115"/>
        <v>5253585</v>
      </c>
      <c r="K729" s="21">
        <f t="shared" si="116"/>
        <v>1286.489082328226</v>
      </c>
      <c r="L729" s="4" t="str">
        <f t="shared" si="112"/>
        <v>BUY</v>
      </c>
      <c r="M729" s="4">
        <f t="shared" si="117"/>
        <v>0</v>
      </c>
      <c r="N729" s="4">
        <f t="shared" si="113"/>
        <v>1</v>
      </c>
      <c r="O729" s="4">
        <f t="shared" si="118"/>
        <v>1293.7</v>
      </c>
      <c r="P729" s="4">
        <f t="shared" si="119"/>
        <v>0</v>
      </c>
    </row>
    <row r="730" spans="1:16" x14ac:dyDescent="0.25">
      <c r="A730" s="1">
        <v>42298</v>
      </c>
      <c r="B730">
        <v>1310</v>
      </c>
      <c r="C730">
        <v>1312</v>
      </c>
      <c r="D730">
        <v>1292.3499999999999</v>
      </c>
      <c r="E730" s="7">
        <v>1298.0999999999999</v>
      </c>
      <c r="F730">
        <v>1735289</v>
      </c>
      <c r="G730" s="8">
        <f t="shared" si="110"/>
        <v>1300.8166666666666</v>
      </c>
      <c r="H730" s="9">
        <f t="shared" si="111"/>
        <v>2257292852.6833334</v>
      </c>
      <c r="I730" s="9">
        <f t="shared" si="114"/>
        <v>8920998192.6499996</v>
      </c>
      <c r="J730" s="9">
        <f t="shared" si="115"/>
        <v>6917367</v>
      </c>
      <c r="K730" s="21">
        <f t="shared" si="116"/>
        <v>1289.6522900476439</v>
      </c>
      <c r="L730" s="4" t="str">
        <f t="shared" si="112"/>
        <v>BUY</v>
      </c>
      <c r="M730" s="4">
        <f t="shared" si="117"/>
        <v>0</v>
      </c>
      <c r="N730" s="4">
        <f t="shared" si="113"/>
        <v>1</v>
      </c>
      <c r="O730" s="4">
        <f t="shared" si="118"/>
        <v>1293.7</v>
      </c>
      <c r="P730" s="4">
        <f t="shared" si="119"/>
        <v>0</v>
      </c>
    </row>
    <row r="731" spans="1:16" x14ac:dyDescent="0.25">
      <c r="A731" s="1">
        <v>42299</v>
      </c>
      <c r="B731">
        <v>1295</v>
      </c>
      <c r="C731">
        <v>1325</v>
      </c>
      <c r="D731">
        <v>1291.0999999999999</v>
      </c>
      <c r="E731" s="7">
        <v>1314</v>
      </c>
      <c r="F731">
        <v>1789647</v>
      </c>
      <c r="G731" s="8">
        <f t="shared" si="110"/>
        <v>1310.0333333333333</v>
      </c>
      <c r="H731" s="9">
        <f t="shared" si="111"/>
        <v>2344497224.9000001</v>
      </c>
      <c r="I731" s="9">
        <f t="shared" si="114"/>
        <v>10135416096.833334</v>
      </c>
      <c r="J731" s="9">
        <f t="shared" si="115"/>
        <v>7839313</v>
      </c>
      <c r="K731" s="21">
        <f t="shared" si="116"/>
        <v>1292.8959587190018</v>
      </c>
      <c r="L731" s="4" t="str">
        <f t="shared" si="112"/>
        <v>BUY</v>
      </c>
      <c r="M731" s="4">
        <f t="shared" si="117"/>
        <v>0</v>
      </c>
      <c r="N731" s="4">
        <f t="shared" si="113"/>
        <v>1</v>
      </c>
      <c r="O731" s="4">
        <f t="shared" si="118"/>
        <v>1293.7</v>
      </c>
      <c r="P731" s="4">
        <f t="shared" si="119"/>
        <v>0</v>
      </c>
    </row>
    <row r="732" spans="1:16" x14ac:dyDescent="0.25">
      <c r="A732" s="1">
        <v>42300</v>
      </c>
      <c r="B732">
        <v>1315</v>
      </c>
      <c r="C732">
        <v>1322</v>
      </c>
      <c r="D732">
        <v>1305.2</v>
      </c>
      <c r="E732" s="7">
        <v>1316.8</v>
      </c>
      <c r="F732">
        <v>659756</v>
      </c>
      <c r="G732" s="8">
        <f t="shared" si="110"/>
        <v>1314.6666666666667</v>
      </c>
      <c r="H732" s="9">
        <f t="shared" si="111"/>
        <v>867359221.33333337</v>
      </c>
      <c r="I732" s="9">
        <f t="shared" si="114"/>
        <v>9970505286</v>
      </c>
      <c r="J732" s="9">
        <f t="shared" si="115"/>
        <v>7699624</v>
      </c>
      <c r="K732" s="21">
        <f t="shared" si="116"/>
        <v>1294.9340495068332</v>
      </c>
      <c r="L732" s="4" t="str">
        <f t="shared" si="112"/>
        <v>BUY</v>
      </c>
      <c r="M732" s="4">
        <f t="shared" si="117"/>
        <v>0</v>
      </c>
      <c r="N732" s="4">
        <f t="shared" si="113"/>
        <v>1</v>
      </c>
      <c r="O732" s="4">
        <f t="shared" si="118"/>
        <v>1293.7</v>
      </c>
      <c r="P732" s="4">
        <f t="shared" si="119"/>
        <v>0</v>
      </c>
    </row>
    <row r="733" spans="1:16" x14ac:dyDescent="0.25">
      <c r="A733" s="1">
        <v>42303</v>
      </c>
      <c r="B733">
        <v>1315.1</v>
      </c>
      <c r="C733">
        <v>1321.8</v>
      </c>
      <c r="D733">
        <v>1292.9000000000001</v>
      </c>
      <c r="E733" s="7">
        <v>1299.45</v>
      </c>
      <c r="F733">
        <v>797560</v>
      </c>
      <c r="G733" s="8">
        <f t="shared" si="110"/>
        <v>1304.7166666666665</v>
      </c>
      <c r="H733" s="9">
        <f t="shared" si="111"/>
        <v>1040589824.6666665</v>
      </c>
      <c r="I733" s="9">
        <f t="shared" si="114"/>
        <v>9945019121.8166676</v>
      </c>
      <c r="J733" s="9">
        <f t="shared" si="115"/>
        <v>7659041</v>
      </c>
      <c r="K733" s="21">
        <f t="shared" si="116"/>
        <v>1298.467931143947</v>
      </c>
      <c r="L733" s="4" t="str">
        <f t="shared" si="112"/>
        <v>BUY</v>
      </c>
      <c r="M733" s="4">
        <f t="shared" si="117"/>
        <v>0</v>
      </c>
      <c r="N733" s="4">
        <f t="shared" si="113"/>
        <v>1</v>
      </c>
      <c r="O733" s="4">
        <f t="shared" si="118"/>
        <v>1293.7</v>
      </c>
      <c r="P733" s="4">
        <f t="shared" si="119"/>
        <v>0</v>
      </c>
    </row>
    <row r="734" spans="1:16" x14ac:dyDescent="0.25">
      <c r="A734" s="1">
        <v>42304</v>
      </c>
      <c r="B734">
        <v>1300</v>
      </c>
      <c r="C734">
        <v>1307.55</v>
      </c>
      <c r="D734">
        <v>1288.5999999999999</v>
      </c>
      <c r="E734" s="7">
        <v>1297.9000000000001</v>
      </c>
      <c r="F734">
        <v>895029</v>
      </c>
      <c r="G734" s="8">
        <f t="shared" si="110"/>
        <v>1298.0166666666667</v>
      </c>
      <c r="H734" s="9">
        <f t="shared" si="111"/>
        <v>1161762559.1500001</v>
      </c>
      <c r="I734" s="9">
        <f t="shared" si="114"/>
        <v>10308829935.966667</v>
      </c>
      <c r="J734" s="9">
        <f t="shared" si="115"/>
        <v>7926050</v>
      </c>
      <c r="K734" s="21">
        <f t="shared" si="116"/>
        <v>1300.6264073487635</v>
      </c>
      <c r="L734" s="4" t="str">
        <f t="shared" si="112"/>
        <v>SELL</v>
      </c>
      <c r="M734" s="4" t="str">
        <f t="shared" si="117"/>
        <v>SELL</v>
      </c>
      <c r="N734" s="4">
        <f t="shared" si="113"/>
        <v>-1</v>
      </c>
      <c r="O734" s="4">
        <f t="shared" si="118"/>
        <v>1297.9000000000001</v>
      </c>
      <c r="P734" s="4">
        <f t="shared" si="119"/>
        <v>3.2465022802813984E-3</v>
      </c>
    </row>
    <row r="735" spans="1:16" x14ac:dyDescent="0.25">
      <c r="A735" s="1">
        <v>42305</v>
      </c>
      <c r="B735">
        <v>1295</v>
      </c>
      <c r="C735">
        <v>1295</v>
      </c>
      <c r="D735">
        <v>1269</v>
      </c>
      <c r="E735" s="7">
        <v>1280.7</v>
      </c>
      <c r="F735">
        <v>1185046</v>
      </c>
      <c r="G735" s="8">
        <f t="shared" si="110"/>
        <v>1281.5666666666666</v>
      </c>
      <c r="H735" s="9">
        <f t="shared" si="111"/>
        <v>1518715452.0666666</v>
      </c>
      <c r="I735" s="9">
        <f t="shared" si="114"/>
        <v>11222765239.099998</v>
      </c>
      <c r="J735" s="9">
        <f t="shared" si="115"/>
        <v>8640224</v>
      </c>
      <c r="K735" s="21">
        <f t="shared" si="116"/>
        <v>1298.8974868128416</v>
      </c>
      <c r="L735" s="4" t="str">
        <f t="shared" si="112"/>
        <v>SELL</v>
      </c>
      <c r="M735" s="4">
        <f t="shared" si="117"/>
        <v>0</v>
      </c>
      <c r="N735" s="4">
        <f t="shared" si="113"/>
        <v>-1</v>
      </c>
      <c r="O735" s="4">
        <f t="shared" si="118"/>
        <v>1297.9000000000001</v>
      </c>
      <c r="P735" s="4">
        <f t="shared" si="119"/>
        <v>0</v>
      </c>
    </row>
    <row r="736" spans="1:16" x14ac:dyDescent="0.25">
      <c r="A736" s="1">
        <v>42306</v>
      </c>
      <c r="B736">
        <v>1276.6500000000001</v>
      </c>
      <c r="C736">
        <v>1280.7</v>
      </c>
      <c r="D736">
        <v>1257.05</v>
      </c>
      <c r="E736" s="7">
        <v>1264.1500000000001</v>
      </c>
      <c r="F736">
        <v>978607</v>
      </c>
      <c r="G736" s="8">
        <f t="shared" si="110"/>
        <v>1267.3</v>
      </c>
      <c r="H736" s="9">
        <f t="shared" si="111"/>
        <v>1240188651.0999999</v>
      </c>
      <c r="I736" s="9">
        <f t="shared" si="114"/>
        <v>12072375900.666666</v>
      </c>
      <c r="J736" s="9">
        <f t="shared" si="115"/>
        <v>9313019</v>
      </c>
      <c r="K736" s="21">
        <f t="shared" si="116"/>
        <v>1296.290268565614</v>
      </c>
      <c r="L736" s="4" t="str">
        <f t="shared" si="112"/>
        <v>SELL</v>
      </c>
      <c r="M736" s="4">
        <f t="shared" si="117"/>
        <v>0</v>
      </c>
      <c r="N736" s="4">
        <f t="shared" si="113"/>
        <v>-1</v>
      </c>
      <c r="O736" s="4">
        <f t="shared" si="118"/>
        <v>1297.9000000000001</v>
      </c>
      <c r="P736" s="4">
        <f t="shared" si="119"/>
        <v>0</v>
      </c>
    </row>
    <row r="737" spans="1:16" x14ac:dyDescent="0.25">
      <c r="A737" s="1">
        <v>42307</v>
      </c>
      <c r="B737">
        <v>1262.0999999999999</v>
      </c>
      <c r="C737">
        <v>1266.8</v>
      </c>
      <c r="D737">
        <v>1231.2</v>
      </c>
      <c r="E737" s="7">
        <v>1237.2</v>
      </c>
      <c r="F737">
        <v>1514715</v>
      </c>
      <c r="G737" s="8">
        <f t="shared" si="110"/>
        <v>1245.0666666666666</v>
      </c>
      <c r="H737" s="9">
        <f t="shared" si="111"/>
        <v>1885921156</v>
      </c>
      <c r="I737" s="9">
        <f t="shared" si="114"/>
        <v>13477098774.166666</v>
      </c>
      <c r="J737" s="9">
        <f t="shared" si="115"/>
        <v>10452896</v>
      </c>
      <c r="K737" s="21">
        <f t="shared" si="116"/>
        <v>1289.3172164122427</v>
      </c>
      <c r="L737" s="4" t="str">
        <f t="shared" si="112"/>
        <v>SELL</v>
      </c>
      <c r="M737" s="4">
        <f t="shared" si="117"/>
        <v>0</v>
      </c>
      <c r="N737" s="4">
        <f t="shared" si="113"/>
        <v>-1</v>
      </c>
      <c r="O737" s="4">
        <f t="shared" si="118"/>
        <v>1297.9000000000001</v>
      </c>
      <c r="P737" s="4">
        <f t="shared" si="119"/>
        <v>0</v>
      </c>
    </row>
    <row r="738" spans="1:16" x14ac:dyDescent="0.25">
      <c r="A738" s="1">
        <v>42310</v>
      </c>
      <c r="B738">
        <v>1235</v>
      </c>
      <c r="C738">
        <v>1243</v>
      </c>
      <c r="D738">
        <v>1210.3499999999999</v>
      </c>
      <c r="E738" s="7">
        <v>1219.7</v>
      </c>
      <c r="F738">
        <v>2463457</v>
      </c>
      <c r="G738" s="8">
        <f t="shared" si="110"/>
        <v>1224.3500000000001</v>
      </c>
      <c r="H738" s="9">
        <f t="shared" si="111"/>
        <v>3016133577.9500003</v>
      </c>
      <c r="I738" s="9">
        <f t="shared" si="114"/>
        <v>16198562277.183332</v>
      </c>
      <c r="J738" s="9">
        <f t="shared" si="115"/>
        <v>12688186</v>
      </c>
      <c r="K738" s="21">
        <f t="shared" si="116"/>
        <v>1276.66494463301</v>
      </c>
      <c r="L738" s="4" t="str">
        <f t="shared" si="112"/>
        <v>SELL</v>
      </c>
      <c r="M738" s="4">
        <f t="shared" si="117"/>
        <v>0</v>
      </c>
      <c r="N738" s="4">
        <f t="shared" si="113"/>
        <v>-1</v>
      </c>
      <c r="O738" s="4">
        <f t="shared" si="118"/>
        <v>1297.9000000000001</v>
      </c>
      <c r="P738" s="4">
        <f t="shared" si="119"/>
        <v>0</v>
      </c>
    </row>
    <row r="739" spans="1:16" x14ac:dyDescent="0.25">
      <c r="A739" s="1">
        <v>42311</v>
      </c>
      <c r="B739">
        <v>1224.9000000000001</v>
      </c>
      <c r="C739">
        <v>1241</v>
      </c>
      <c r="D739">
        <v>1221.0999999999999</v>
      </c>
      <c r="E739" s="7">
        <v>1225.8</v>
      </c>
      <c r="F739">
        <v>1243974</v>
      </c>
      <c r="G739" s="8">
        <f t="shared" si="110"/>
        <v>1229.3</v>
      </c>
      <c r="H739" s="9">
        <f t="shared" si="111"/>
        <v>1529217238.2</v>
      </c>
      <c r="I739" s="9">
        <f t="shared" si="114"/>
        <v>16861677758.050001</v>
      </c>
      <c r="J739" s="9">
        <f t="shared" si="115"/>
        <v>13263080</v>
      </c>
      <c r="K739" s="21">
        <f t="shared" si="116"/>
        <v>1271.3244403298481</v>
      </c>
      <c r="L739" s="4" t="str">
        <f t="shared" si="112"/>
        <v>SELL</v>
      </c>
      <c r="M739" s="4">
        <f t="shared" si="117"/>
        <v>0</v>
      </c>
      <c r="N739" s="4">
        <f t="shared" si="113"/>
        <v>-1</v>
      </c>
      <c r="O739" s="4">
        <f t="shared" si="118"/>
        <v>1297.9000000000001</v>
      </c>
      <c r="P739" s="4">
        <f t="shared" si="119"/>
        <v>0</v>
      </c>
    </row>
    <row r="740" spans="1:16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 s="7">
        <v>1222.55</v>
      </c>
      <c r="F740">
        <v>1148581</v>
      </c>
      <c r="G740" s="8">
        <f t="shared" si="110"/>
        <v>1224.75</v>
      </c>
      <c r="H740" s="9">
        <f t="shared" si="111"/>
        <v>1406724579.75</v>
      </c>
      <c r="I740" s="9">
        <f t="shared" si="114"/>
        <v>16011109485.116669</v>
      </c>
      <c r="J740" s="9">
        <f t="shared" si="115"/>
        <v>12676372</v>
      </c>
      <c r="K740" s="21">
        <f t="shared" si="116"/>
        <v>1263.0671839795068</v>
      </c>
      <c r="L740" s="4" t="str">
        <f t="shared" si="112"/>
        <v>SELL</v>
      </c>
      <c r="M740" s="4">
        <f t="shared" si="117"/>
        <v>0</v>
      </c>
      <c r="N740" s="4">
        <f t="shared" si="113"/>
        <v>-1</v>
      </c>
      <c r="O740" s="4">
        <f t="shared" si="118"/>
        <v>1297.9000000000001</v>
      </c>
      <c r="P740" s="4">
        <f t="shared" si="119"/>
        <v>0</v>
      </c>
    </row>
    <row r="741" spans="1:16" x14ac:dyDescent="0.25">
      <c r="A741" s="1">
        <v>42313</v>
      </c>
      <c r="B741">
        <v>1217</v>
      </c>
      <c r="C741">
        <v>1245</v>
      </c>
      <c r="D741">
        <v>1216.1500000000001</v>
      </c>
      <c r="E741" s="7">
        <v>1242.9000000000001</v>
      </c>
      <c r="F741">
        <v>1098407</v>
      </c>
      <c r="G741" s="8">
        <f t="shared" si="110"/>
        <v>1234.6833333333334</v>
      </c>
      <c r="H741" s="9">
        <f t="shared" si="111"/>
        <v>1356184816.1166668</v>
      </c>
      <c r="I741" s="9">
        <f t="shared" si="114"/>
        <v>15022797076.333336</v>
      </c>
      <c r="J741" s="9">
        <f t="shared" si="115"/>
        <v>11985132</v>
      </c>
      <c r="K741" s="21">
        <f t="shared" si="116"/>
        <v>1253.4527843609346</v>
      </c>
      <c r="L741" s="4" t="str">
        <f t="shared" si="112"/>
        <v>SELL</v>
      </c>
      <c r="M741" s="4">
        <f t="shared" si="117"/>
        <v>0</v>
      </c>
      <c r="N741" s="4">
        <f t="shared" si="113"/>
        <v>-1</v>
      </c>
      <c r="O741" s="4">
        <f t="shared" si="118"/>
        <v>1297.9000000000001</v>
      </c>
      <c r="P741" s="4">
        <f t="shared" si="119"/>
        <v>0</v>
      </c>
    </row>
    <row r="742" spans="1:16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 s="7">
        <v>1205.5</v>
      </c>
      <c r="F742">
        <v>2241449</v>
      </c>
      <c r="G742" s="8">
        <f t="shared" si="110"/>
        <v>1218.8333333333333</v>
      </c>
      <c r="H742" s="9">
        <f t="shared" si="111"/>
        <v>2731952756.1666665</v>
      </c>
      <c r="I742" s="9">
        <f t="shared" si="114"/>
        <v>16887390611.166668</v>
      </c>
      <c r="J742" s="9">
        <f t="shared" si="115"/>
        <v>13566825</v>
      </c>
      <c r="K742" s="21">
        <f t="shared" si="116"/>
        <v>1244.7562794660259</v>
      </c>
      <c r="L742" s="4" t="str">
        <f t="shared" si="112"/>
        <v>SELL</v>
      </c>
      <c r="M742" s="4">
        <f t="shared" si="117"/>
        <v>0</v>
      </c>
      <c r="N742" s="4">
        <f t="shared" si="113"/>
        <v>-1</v>
      </c>
      <c r="O742" s="4">
        <f t="shared" si="118"/>
        <v>1297.9000000000001</v>
      </c>
      <c r="P742" s="4">
        <f t="shared" si="119"/>
        <v>0</v>
      </c>
    </row>
    <row r="743" spans="1:16" x14ac:dyDescent="0.25">
      <c r="A743" s="1">
        <v>42317</v>
      </c>
      <c r="B743">
        <v>1214.7</v>
      </c>
      <c r="C743">
        <v>1225</v>
      </c>
      <c r="D743">
        <v>1197</v>
      </c>
      <c r="E743" s="7">
        <v>1210.6500000000001</v>
      </c>
      <c r="F743">
        <v>2344241</v>
      </c>
      <c r="G743" s="8">
        <f t="shared" si="110"/>
        <v>1210.8833333333334</v>
      </c>
      <c r="H743" s="9">
        <f t="shared" si="111"/>
        <v>2838602356.2166667</v>
      </c>
      <c r="I743" s="9">
        <f t="shared" si="114"/>
        <v>18685403142.716667</v>
      </c>
      <c r="J743" s="9">
        <f t="shared" si="115"/>
        <v>15113506</v>
      </c>
      <c r="K743" s="21">
        <f t="shared" si="116"/>
        <v>1236.338090097471</v>
      </c>
      <c r="L743" s="4" t="str">
        <f t="shared" si="112"/>
        <v>SELL</v>
      </c>
      <c r="M743" s="4">
        <f t="shared" si="117"/>
        <v>0</v>
      </c>
      <c r="N743" s="4">
        <f t="shared" si="113"/>
        <v>-1</v>
      </c>
      <c r="O743" s="4">
        <f t="shared" si="118"/>
        <v>1297.9000000000001</v>
      </c>
      <c r="P743" s="4">
        <f t="shared" si="119"/>
        <v>0</v>
      </c>
    </row>
    <row r="744" spans="1:16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 s="7">
        <v>1232.6500000000001</v>
      </c>
      <c r="F744">
        <v>3321030</v>
      </c>
      <c r="G744" s="8">
        <f t="shared" si="110"/>
        <v>1228.4333333333332</v>
      </c>
      <c r="H744" s="9">
        <f t="shared" si="111"/>
        <v>4079663952.9999995</v>
      </c>
      <c r="I744" s="9">
        <f t="shared" si="114"/>
        <v>21603304536.566666</v>
      </c>
      <c r="J744" s="9">
        <f t="shared" si="115"/>
        <v>17539507</v>
      </c>
      <c r="K744" s="21">
        <f t="shared" si="116"/>
        <v>1231.6939430832729</v>
      </c>
      <c r="L744" s="4" t="str">
        <f t="shared" si="112"/>
        <v>BUY</v>
      </c>
      <c r="M744" s="4" t="str">
        <f t="shared" si="117"/>
        <v>BUY</v>
      </c>
      <c r="N744" s="4">
        <f t="shared" si="113"/>
        <v>1</v>
      </c>
      <c r="O744" s="4">
        <f t="shared" si="118"/>
        <v>1232.6500000000001</v>
      </c>
      <c r="P744" s="4">
        <f t="shared" si="119"/>
        <v>5.0273518761075581E-2</v>
      </c>
    </row>
    <row r="745" spans="1:16" x14ac:dyDescent="0.25">
      <c r="A745" s="1">
        <v>42319</v>
      </c>
      <c r="B745">
        <v>1227.1500000000001</v>
      </c>
      <c r="C745">
        <v>1255</v>
      </c>
      <c r="D745">
        <v>1227.1500000000001</v>
      </c>
      <c r="E745" s="7">
        <v>1252.05</v>
      </c>
      <c r="F745">
        <v>1157015</v>
      </c>
      <c r="G745" s="8">
        <f t="shared" si="110"/>
        <v>1244.7333333333333</v>
      </c>
      <c r="H745" s="9">
        <f t="shared" si="111"/>
        <v>1440175137.6666667</v>
      </c>
      <c r="I745" s="9">
        <f t="shared" si="114"/>
        <v>21524764222.166668</v>
      </c>
      <c r="J745" s="9">
        <f t="shared" si="115"/>
        <v>17511476</v>
      </c>
      <c r="K745" s="21">
        <f t="shared" si="116"/>
        <v>1229.1804655510859</v>
      </c>
      <c r="L745" s="4" t="str">
        <f t="shared" si="112"/>
        <v>BUY</v>
      </c>
      <c r="M745" s="4">
        <f t="shared" si="117"/>
        <v>0</v>
      </c>
      <c r="N745" s="4">
        <f t="shared" si="113"/>
        <v>1</v>
      </c>
      <c r="O745" s="4">
        <f t="shared" si="118"/>
        <v>1232.6500000000001</v>
      </c>
      <c r="P745" s="4">
        <f t="shared" si="119"/>
        <v>0</v>
      </c>
    </row>
    <row r="746" spans="1:16" x14ac:dyDescent="0.25">
      <c r="A746" s="1">
        <v>42320</v>
      </c>
      <c r="B746">
        <v>1250</v>
      </c>
      <c r="C746">
        <v>1264.4000000000001</v>
      </c>
      <c r="D746">
        <v>1237.7</v>
      </c>
      <c r="E746" s="7">
        <v>1258.7</v>
      </c>
      <c r="F746">
        <v>1228984</v>
      </c>
      <c r="G746" s="8">
        <f t="shared" si="110"/>
        <v>1253.6000000000001</v>
      </c>
      <c r="H746" s="9">
        <f t="shared" si="111"/>
        <v>1540654342.4000001</v>
      </c>
      <c r="I746" s="9">
        <f t="shared" si="114"/>
        <v>21825229913.466667</v>
      </c>
      <c r="J746" s="9">
        <f t="shared" si="115"/>
        <v>17761853</v>
      </c>
      <c r="K746" s="21">
        <f t="shared" si="116"/>
        <v>1228.7698762886207</v>
      </c>
      <c r="L746" s="4" t="str">
        <f t="shared" si="112"/>
        <v>BUY</v>
      </c>
      <c r="M746" s="4">
        <f t="shared" si="117"/>
        <v>0</v>
      </c>
      <c r="N746" s="4">
        <f t="shared" si="113"/>
        <v>1</v>
      </c>
      <c r="O746" s="4">
        <f t="shared" si="118"/>
        <v>1232.6500000000001</v>
      </c>
      <c r="P746" s="4">
        <f t="shared" si="119"/>
        <v>0</v>
      </c>
    </row>
    <row r="747" spans="1:16" x14ac:dyDescent="0.25">
      <c r="A747" s="1">
        <v>42321</v>
      </c>
      <c r="B747">
        <v>1262</v>
      </c>
      <c r="C747">
        <v>1271.0999999999999</v>
      </c>
      <c r="D747">
        <v>1260.0999999999999</v>
      </c>
      <c r="E747" s="7">
        <v>1266.2</v>
      </c>
      <c r="F747">
        <v>627409</v>
      </c>
      <c r="G747" s="8">
        <f t="shared" si="110"/>
        <v>1265.8</v>
      </c>
      <c r="H747" s="9">
        <f t="shared" si="111"/>
        <v>794174312.19999993</v>
      </c>
      <c r="I747" s="9">
        <f t="shared" si="114"/>
        <v>20733483069.666672</v>
      </c>
      <c r="J747" s="9">
        <f t="shared" si="115"/>
        <v>16874547</v>
      </c>
      <c r="K747" s="21">
        <f t="shared" si="116"/>
        <v>1228.6838319077053</v>
      </c>
      <c r="L747" s="4" t="str">
        <f t="shared" si="112"/>
        <v>BUY</v>
      </c>
      <c r="M747" s="4">
        <f t="shared" si="117"/>
        <v>0</v>
      </c>
      <c r="N747" s="4">
        <f t="shared" si="113"/>
        <v>1</v>
      </c>
      <c r="O747" s="4">
        <f t="shared" si="118"/>
        <v>1232.6500000000001</v>
      </c>
      <c r="P747" s="4">
        <f t="shared" si="119"/>
        <v>0</v>
      </c>
    </row>
    <row r="748" spans="1:16" x14ac:dyDescent="0.25">
      <c r="A748" s="1">
        <v>42324</v>
      </c>
      <c r="B748">
        <v>1267</v>
      </c>
      <c r="C748">
        <v>1269.1500000000001</v>
      </c>
      <c r="D748">
        <v>1255.3</v>
      </c>
      <c r="E748" s="7">
        <v>1262.2</v>
      </c>
      <c r="F748">
        <v>717629</v>
      </c>
      <c r="G748" s="8">
        <f t="shared" si="110"/>
        <v>1262.2166666666665</v>
      </c>
      <c r="H748" s="9">
        <f t="shared" si="111"/>
        <v>905803284.28333318</v>
      </c>
      <c r="I748" s="9">
        <f t="shared" si="114"/>
        <v>18623152776</v>
      </c>
      <c r="J748" s="9">
        <f t="shared" si="115"/>
        <v>15128719</v>
      </c>
      <c r="K748" s="21">
        <f t="shared" si="116"/>
        <v>1230.9801494759736</v>
      </c>
      <c r="L748" s="4" t="str">
        <f t="shared" si="112"/>
        <v>BUY</v>
      </c>
      <c r="M748" s="4">
        <f t="shared" si="117"/>
        <v>0</v>
      </c>
      <c r="N748" s="4">
        <f t="shared" si="113"/>
        <v>1</v>
      </c>
      <c r="O748" s="4">
        <f t="shared" si="118"/>
        <v>1232.6500000000001</v>
      </c>
      <c r="P748" s="4">
        <f t="shared" si="119"/>
        <v>0</v>
      </c>
    </row>
    <row r="749" spans="1:16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 s="7">
        <v>1250.95</v>
      </c>
      <c r="F749">
        <v>997079</v>
      </c>
      <c r="G749" s="8">
        <f t="shared" si="110"/>
        <v>1254.5</v>
      </c>
      <c r="H749" s="9">
        <f t="shared" si="111"/>
        <v>1250835605.5</v>
      </c>
      <c r="I749" s="9">
        <f t="shared" si="114"/>
        <v>18344771143.299999</v>
      </c>
      <c r="J749" s="9">
        <f t="shared" si="115"/>
        <v>14881824</v>
      </c>
      <c r="K749" s="21">
        <f t="shared" si="116"/>
        <v>1232.6964183489872</v>
      </c>
      <c r="L749" s="4" t="str">
        <f t="shared" si="112"/>
        <v>BUY</v>
      </c>
      <c r="M749" s="4">
        <f t="shared" si="117"/>
        <v>0</v>
      </c>
      <c r="N749" s="4">
        <f t="shared" si="113"/>
        <v>1</v>
      </c>
      <c r="O749" s="4">
        <f t="shared" si="118"/>
        <v>1232.6500000000001</v>
      </c>
      <c r="P749" s="4">
        <f t="shared" si="119"/>
        <v>0</v>
      </c>
    </row>
    <row r="750" spans="1:16" x14ac:dyDescent="0.25">
      <c r="A750" s="1">
        <v>42326</v>
      </c>
      <c r="B750">
        <v>1254</v>
      </c>
      <c r="C750">
        <v>1272</v>
      </c>
      <c r="D750">
        <v>1250.75</v>
      </c>
      <c r="E750" s="7">
        <v>1267.5</v>
      </c>
      <c r="F750">
        <v>750811</v>
      </c>
      <c r="G750" s="8">
        <f t="shared" si="110"/>
        <v>1263.4166666666667</v>
      </c>
      <c r="H750" s="9">
        <f t="shared" si="111"/>
        <v>948587130.91666675</v>
      </c>
      <c r="I750" s="9">
        <f t="shared" si="114"/>
        <v>17886633694.466667</v>
      </c>
      <c r="J750" s="9">
        <f t="shared" si="115"/>
        <v>14484054</v>
      </c>
      <c r="K750" s="21">
        <f t="shared" si="116"/>
        <v>1234.919014694827</v>
      </c>
      <c r="L750" s="4" t="str">
        <f t="shared" si="112"/>
        <v>BUY</v>
      </c>
      <c r="M750" s="4">
        <f t="shared" si="117"/>
        <v>0</v>
      </c>
      <c r="N750" s="4">
        <f t="shared" si="113"/>
        <v>1</v>
      </c>
      <c r="O750" s="4">
        <f t="shared" si="118"/>
        <v>1232.6500000000001</v>
      </c>
      <c r="P750" s="4">
        <f t="shared" si="119"/>
        <v>0</v>
      </c>
    </row>
    <row r="751" spans="1:16" x14ac:dyDescent="0.25">
      <c r="A751" s="1">
        <v>42327</v>
      </c>
      <c r="B751">
        <v>1261</v>
      </c>
      <c r="C751">
        <v>1265.5999999999999</v>
      </c>
      <c r="D751">
        <v>1252</v>
      </c>
      <c r="E751" s="7">
        <v>1255.8499999999999</v>
      </c>
      <c r="F751">
        <v>352085</v>
      </c>
      <c r="G751" s="8">
        <f t="shared" si="110"/>
        <v>1257.8166666666666</v>
      </c>
      <c r="H751" s="9">
        <f t="shared" si="111"/>
        <v>442858381.08333331</v>
      </c>
      <c r="I751" s="9">
        <f t="shared" si="114"/>
        <v>16973307259.433332</v>
      </c>
      <c r="J751" s="9">
        <f t="shared" si="115"/>
        <v>13737732</v>
      </c>
      <c r="K751" s="21">
        <f t="shared" si="116"/>
        <v>1235.5247037453732</v>
      </c>
      <c r="L751" s="4" t="str">
        <f t="shared" si="112"/>
        <v>BUY</v>
      </c>
      <c r="M751" s="4">
        <f t="shared" si="117"/>
        <v>0</v>
      </c>
      <c r="N751" s="4">
        <f t="shared" si="113"/>
        <v>1</v>
      </c>
      <c r="O751" s="4">
        <f t="shared" si="118"/>
        <v>1232.6500000000001</v>
      </c>
      <c r="P751" s="4">
        <f t="shared" si="119"/>
        <v>0</v>
      </c>
    </row>
    <row r="752" spans="1:16" x14ac:dyDescent="0.25">
      <c r="A752" s="1">
        <v>42328</v>
      </c>
      <c r="B752">
        <v>1266.95</v>
      </c>
      <c r="C752">
        <v>1267.9000000000001</v>
      </c>
      <c r="D752">
        <v>1260</v>
      </c>
      <c r="E752" s="7">
        <v>1264.1500000000001</v>
      </c>
      <c r="F752">
        <v>254790</v>
      </c>
      <c r="G752" s="8">
        <f t="shared" si="110"/>
        <v>1264.0166666666667</v>
      </c>
      <c r="H752" s="9">
        <f t="shared" si="111"/>
        <v>322058806.5</v>
      </c>
      <c r="I752" s="9">
        <f t="shared" si="114"/>
        <v>14563413309.766666</v>
      </c>
      <c r="J752" s="9">
        <f t="shared" si="115"/>
        <v>11751073</v>
      </c>
      <c r="K752" s="21">
        <f t="shared" si="116"/>
        <v>1239.326256399451</v>
      </c>
      <c r="L752" s="4" t="str">
        <f t="shared" si="112"/>
        <v>BUY</v>
      </c>
      <c r="M752" s="4">
        <f t="shared" si="117"/>
        <v>0</v>
      </c>
      <c r="N752" s="4">
        <f t="shared" si="113"/>
        <v>1</v>
      </c>
      <c r="O752" s="4">
        <f t="shared" si="118"/>
        <v>1232.6500000000001</v>
      </c>
      <c r="P752" s="4">
        <f t="shared" si="119"/>
        <v>0</v>
      </c>
    </row>
    <row r="753" spans="1:16" x14ac:dyDescent="0.25">
      <c r="A753" s="1">
        <v>42331</v>
      </c>
      <c r="B753">
        <v>1267</v>
      </c>
      <c r="C753">
        <v>1272.4000000000001</v>
      </c>
      <c r="D753">
        <v>1255.55</v>
      </c>
      <c r="E753" s="7">
        <v>1263.3</v>
      </c>
      <c r="F753">
        <v>940123</v>
      </c>
      <c r="G753" s="8">
        <f t="shared" si="110"/>
        <v>1263.75</v>
      </c>
      <c r="H753" s="9">
        <f t="shared" si="111"/>
        <v>1188080441.25</v>
      </c>
      <c r="I753" s="9">
        <f t="shared" si="114"/>
        <v>12912891394.799999</v>
      </c>
      <c r="J753" s="9">
        <f t="shared" si="115"/>
        <v>10346955</v>
      </c>
      <c r="K753" s="21">
        <f t="shared" si="116"/>
        <v>1247.989519119393</v>
      </c>
      <c r="L753" s="4" t="str">
        <f t="shared" si="112"/>
        <v>BUY</v>
      </c>
      <c r="M753" s="4">
        <f t="shared" si="117"/>
        <v>0</v>
      </c>
      <c r="N753" s="4">
        <f t="shared" si="113"/>
        <v>1</v>
      </c>
      <c r="O753" s="4">
        <f t="shared" si="118"/>
        <v>1232.6500000000001</v>
      </c>
      <c r="P753" s="4">
        <f t="shared" si="119"/>
        <v>0</v>
      </c>
    </row>
    <row r="754" spans="1:16" x14ac:dyDescent="0.25">
      <c r="A754" s="1">
        <v>42332</v>
      </c>
      <c r="B754">
        <v>1265</v>
      </c>
      <c r="C754">
        <v>1284</v>
      </c>
      <c r="D754">
        <v>1259.95</v>
      </c>
      <c r="E754" s="7">
        <v>1280.5999999999999</v>
      </c>
      <c r="F754">
        <v>1317565</v>
      </c>
      <c r="G754" s="8">
        <f t="shared" si="110"/>
        <v>1274.8499999999999</v>
      </c>
      <c r="H754" s="9">
        <f t="shared" si="111"/>
        <v>1679697740.2499998</v>
      </c>
      <c r="I754" s="9">
        <f t="shared" si="114"/>
        <v>10512925182.049999</v>
      </c>
      <c r="J754" s="9">
        <f t="shared" si="115"/>
        <v>8343490</v>
      </c>
      <c r="K754" s="21">
        <f t="shared" si="116"/>
        <v>1260.0153151798586</v>
      </c>
      <c r="L754" s="4" t="str">
        <f t="shared" si="112"/>
        <v>BUY</v>
      </c>
      <c r="M754" s="4">
        <f t="shared" si="117"/>
        <v>0</v>
      </c>
      <c r="N754" s="4">
        <f t="shared" si="113"/>
        <v>1</v>
      </c>
      <c r="O754" s="4">
        <f t="shared" si="118"/>
        <v>1232.6500000000001</v>
      </c>
      <c r="P754" s="4">
        <f t="shared" si="119"/>
        <v>0</v>
      </c>
    </row>
    <row r="755" spans="1:16" x14ac:dyDescent="0.25">
      <c r="A755" s="1">
        <v>42333</v>
      </c>
      <c r="B755">
        <v>1285</v>
      </c>
      <c r="C755">
        <v>1301</v>
      </c>
      <c r="D755">
        <v>1280.9000000000001</v>
      </c>
      <c r="E755" s="7">
        <v>1299.2</v>
      </c>
      <c r="F755">
        <v>2614380</v>
      </c>
      <c r="G755" s="8">
        <f t="shared" si="110"/>
        <v>1293.7</v>
      </c>
      <c r="H755" s="9">
        <f t="shared" si="111"/>
        <v>3382223406</v>
      </c>
      <c r="I755" s="9">
        <f t="shared" si="114"/>
        <v>12454973450.383333</v>
      </c>
      <c r="J755" s="9">
        <f t="shared" si="115"/>
        <v>9800855</v>
      </c>
      <c r="K755" s="21">
        <f t="shared" si="116"/>
        <v>1270.8047869684158</v>
      </c>
      <c r="L755" s="4" t="str">
        <f t="shared" si="112"/>
        <v>BUY</v>
      </c>
      <c r="M755" s="4">
        <f t="shared" si="117"/>
        <v>0</v>
      </c>
      <c r="N755" s="4">
        <f t="shared" si="113"/>
        <v>1</v>
      </c>
      <c r="O755" s="4">
        <f t="shared" si="118"/>
        <v>1232.6500000000001</v>
      </c>
      <c r="P755" s="4">
        <f t="shared" si="119"/>
        <v>0</v>
      </c>
    </row>
    <row r="756" spans="1:16" x14ac:dyDescent="0.25">
      <c r="A756" s="1">
        <v>42334</v>
      </c>
      <c r="B756">
        <v>1300</v>
      </c>
      <c r="C756">
        <v>1304</v>
      </c>
      <c r="D756">
        <v>1290.25</v>
      </c>
      <c r="E756" s="7">
        <v>1294.8499999999999</v>
      </c>
      <c r="F756">
        <v>910376</v>
      </c>
      <c r="G756" s="8">
        <f t="shared" si="110"/>
        <v>1296.3666666666666</v>
      </c>
      <c r="H756" s="9">
        <f t="shared" si="111"/>
        <v>1180181100.5333333</v>
      </c>
      <c r="I756" s="9">
        <f t="shared" si="114"/>
        <v>12094500208.516666</v>
      </c>
      <c r="J756" s="9">
        <f t="shared" si="115"/>
        <v>9482247</v>
      </c>
      <c r="K756" s="21">
        <f t="shared" si="116"/>
        <v>1275.4888380904513</v>
      </c>
      <c r="L756" s="4" t="str">
        <f t="shared" si="112"/>
        <v>BUY</v>
      </c>
      <c r="M756" s="4">
        <f t="shared" si="117"/>
        <v>0</v>
      </c>
      <c r="N756" s="4">
        <f t="shared" si="113"/>
        <v>1</v>
      </c>
      <c r="O756" s="4">
        <f t="shared" si="118"/>
        <v>1232.6500000000001</v>
      </c>
      <c r="P756" s="4">
        <f t="shared" si="119"/>
        <v>0</v>
      </c>
    </row>
    <row r="757" spans="1:16" x14ac:dyDescent="0.25">
      <c r="A757" s="1">
        <v>42335</v>
      </c>
      <c r="B757">
        <v>1295</v>
      </c>
      <c r="C757">
        <v>1304.3</v>
      </c>
      <c r="D757">
        <v>1294.3</v>
      </c>
      <c r="E757" s="7">
        <v>1300.25</v>
      </c>
      <c r="F757">
        <v>1170935</v>
      </c>
      <c r="G757" s="8">
        <f t="shared" si="110"/>
        <v>1299.6166666666666</v>
      </c>
      <c r="H757" s="9">
        <f t="shared" si="111"/>
        <v>1521766641.5833333</v>
      </c>
      <c r="I757" s="9">
        <f t="shared" si="114"/>
        <v>12822092537.9</v>
      </c>
      <c r="J757" s="9">
        <f t="shared" si="115"/>
        <v>10025773</v>
      </c>
      <c r="K757" s="21">
        <f t="shared" si="116"/>
        <v>1278.913111028945</v>
      </c>
      <c r="L757" s="4" t="str">
        <f t="shared" si="112"/>
        <v>BUY</v>
      </c>
      <c r="M757" s="4">
        <f t="shared" si="117"/>
        <v>0</v>
      </c>
      <c r="N757" s="4">
        <f t="shared" si="113"/>
        <v>1</v>
      </c>
      <c r="O757" s="4">
        <f t="shared" si="118"/>
        <v>1232.6500000000001</v>
      </c>
      <c r="P757" s="4">
        <f t="shared" si="119"/>
        <v>0</v>
      </c>
    </row>
    <row r="758" spans="1:16" x14ac:dyDescent="0.25">
      <c r="A758" s="1">
        <v>42338</v>
      </c>
      <c r="B758">
        <v>1301</v>
      </c>
      <c r="C758">
        <v>1307.4000000000001</v>
      </c>
      <c r="D758">
        <v>1273.1500000000001</v>
      </c>
      <c r="E758" s="7">
        <v>1276.5999999999999</v>
      </c>
      <c r="F758">
        <v>1567949</v>
      </c>
      <c r="G758" s="8">
        <f t="shared" si="110"/>
        <v>1285.7166666666667</v>
      </c>
      <c r="H758" s="9">
        <f t="shared" si="111"/>
        <v>2015938161.7833333</v>
      </c>
      <c r="I758" s="9">
        <f t="shared" si="114"/>
        <v>13932227415.4</v>
      </c>
      <c r="J758" s="9">
        <f t="shared" si="115"/>
        <v>10876093</v>
      </c>
      <c r="K758" s="21">
        <f t="shared" si="116"/>
        <v>1280.9956126156699</v>
      </c>
      <c r="L758" s="4" t="str">
        <f t="shared" si="112"/>
        <v>SELL</v>
      </c>
      <c r="M758" s="4" t="str">
        <f t="shared" si="117"/>
        <v>SELL</v>
      </c>
      <c r="N758" s="4">
        <f t="shared" si="113"/>
        <v>-1</v>
      </c>
      <c r="O758" s="4">
        <f t="shared" si="118"/>
        <v>1276.5999999999999</v>
      </c>
      <c r="P758" s="4">
        <f t="shared" si="119"/>
        <v>3.5654889871415095E-2</v>
      </c>
    </row>
    <row r="759" spans="1:16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 s="7">
        <v>1258.4000000000001</v>
      </c>
      <c r="F759">
        <v>2261419</v>
      </c>
      <c r="G759" s="8">
        <f t="shared" si="110"/>
        <v>1265.2666666666667</v>
      </c>
      <c r="H759" s="9">
        <f t="shared" si="111"/>
        <v>2861298080.0666666</v>
      </c>
      <c r="I759" s="9">
        <f t="shared" si="114"/>
        <v>15542689889.966667</v>
      </c>
      <c r="J759" s="9">
        <f t="shared" si="115"/>
        <v>12140433</v>
      </c>
      <c r="K759" s="21">
        <f t="shared" si="116"/>
        <v>1280.2418076823674</v>
      </c>
      <c r="L759" s="4" t="str">
        <f t="shared" si="112"/>
        <v>SELL</v>
      </c>
      <c r="M759" s="4">
        <f t="shared" si="117"/>
        <v>0</v>
      </c>
      <c r="N759" s="4">
        <f t="shared" si="113"/>
        <v>-1</v>
      </c>
      <c r="O759" s="4">
        <f t="shared" si="118"/>
        <v>1276.5999999999999</v>
      </c>
      <c r="P759" s="4">
        <f t="shared" si="119"/>
        <v>0</v>
      </c>
    </row>
    <row r="760" spans="1:16" x14ac:dyDescent="0.25">
      <c r="A760" s="1">
        <v>42340</v>
      </c>
      <c r="B760">
        <v>1290</v>
      </c>
      <c r="C760">
        <v>1322.5</v>
      </c>
      <c r="D760">
        <v>1290</v>
      </c>
      <c r="E760" s="7">
        <v>1306.3499999999999</v>
      </c>
      <c r="F760">
        <v>3902503</v>
      </c>
      <c r="G760" s="8">
        <f t="shared" si="110"/>
        <v>1306.2833333333333</v>
      </c>
      <c r="H760" s="9">
        <f t="shared" si="111"/>
        <v>5097774627.1833334</v>
      </c>
      <c r="I760" s="9">
        <f t="shared" si="114"/>
        <v>19691877386.233334</v>
      </c>
      <c r="J760" s="9">
        <f t="shared" si="115"/>
        <v>15292125</v>
      </c>
      <c r="K760" s="21">
        <f t="shared" si="116"/>
        <v>1287.7136033241511</v>
      </c>
      <c r="L760" s="4" t="str">
        <f t="shared" si="112"/>
        <v>BUY</v>
      </c>
      <c r="M760" s="4" t="str">
        <f t="shared" si="117"/>
        <v>BUY</v>
      </c>
      <c r="N760" s="4">
        <f t="shared" si="113"/>
        <v>1</v>
      </c>
      <c r="O760" s="4">
        <f t="shared" si="118"/>
        <v>1306.3499999999999</v>
      </c>
      <c r="P760" s="4">
        <f t="shared" si="119"/>
        <v>-2.3304088986370049E-2</v>
      </c>
    </row>
    <row r="761" spans="1:16" x14ac:dyDescent="0.25">
      <c r="A761" s="1">
        <v>42341</v>
      </c>
      <c r="B761">
        <v>1319</v>
      </c>
      <c r="C761">
        <v>1348.45</v>
      </c>
      <c r="D761">
        <v>1307.3499999999999</v>
      </c>
      <c r="E761" s="7">
        <v>1334.5</v>
      </c>
      <c r="F761">
        <v>2895112</v>
      </c>
      <c r="G761" s="8">
        <f t="shared" si="110"/>
        <v>1330.1000000000001</v>
      </c>
      <c r="H761" s="9">
        <f t="shared" si="111"/>
        <v>3850788471.2000003</v>
      </c>
      <c r="I761" s="9">
        <f t="shared" si="114"/>
        <v>23099807476.350002</v>
      </c>
      <c r="J761" s="9">
        <f t="shared" si="115"/>
        <v>17835152</v>
      </c>
      <c r="K761" s="21">
        <f t="shared" si="116"/>
        <v>1295.1842225034025</v>
      </c>
      <c r="L761" s="4" t="str">
        <f t="shared" si="112"/>
        <v>BUY</v>
      </c>
      <c r="M761" s="4">
        <f t="shared" si="117"/>
        <v>0</v>
      </c>
      <c r="N761" s="4">
        <f t="shared" si="113"/>
        <v>1</v>
      </c>
      <c r="O761" s="4">
        <f t="shared" si="118"/>
        <v>1306.3499999999999</v>
      </c>
      <c r="P761" s="4">
        <f t="shared" si="119"/>
        <v>0</v>
      </c>
    </row>
    <row r="762" spans="1:16" x14ac:dyDescent="0.25">
      <c r="A762" s="1">
        <v>42342</v>
      </c>
      <c r="B762">
        <v>1390</v>
      </c>
      <c r="C762">
        <v>1400</v>
      </c>
      <c r="D762">
        <v>1327</v>
      </c>
      <c r="E762" s="7">
        <v>1337.45</v>
      </c>
      <c r="F762">
        <v>4131489</v>
      </c>
      <c r="G762" s="8">
        <f t="shared" si="110"/>
        <v>1354.8166666666666</v>
      </c>
      <c r="H762" s="9">
        <f t="shared" si="111"/>
        <v>5597410155.3499994</v>
      </c>
      <c r="I762" s="9">
        <f t="shared" si="114"/>
        <v>28375158825.200001</v>
      </c>
      <c r="J762" s="9">
        <f t="shared" si="115"/>
        <v>21711851</v>
      </c>
      <c r="K762" s="21">
        <f t="shared" si="116"/>
        <v>1306.897271227589</v>
      </c>
      <c r="L762" s="4" t="str">
        <f t="shared" si="112"/>
        <v>BUY</v>
      </c>
      <c r="M762" s="4">
        <f t="shared" si="117"/>
        <v>0</v>
      </c>
      <c r="N762" s="4">
        <f t="shared" si="113"/>
        <v>1</v>
      </c>
      <c r="O762" s="4">
        <f t="shared" si="118"/>
        <v>1306.3499999999999</v>
      </c>
      <c r="P762" s="4">
        <f t="shared" si="119"/>
        <v>0</v>
      </c>
    </row>
    <row r="763" spans="1:16" x14ac:dyDescent="0.25">
      <c r="A763" s="1">
        <v>42345</v>
      </c>
      <c r="B763">
        <v>1336.9</v>
      </c>
      <c r="C763">
        <v>1355</v>
      </c>
      <c r="D763">
        <v>1309</v>
      </c>
      <c r="E763" s="7">
        <v>1347.75</v>
      </c>
      <c r="F763">
        <v>2054746</v>
      </c>
      <c r="G763" s="8">
        <f t="shared" si="110"/>
        <v>1337.25</v>
      </c>
      <c r="H763" s="9">
        <f t="shared" si="111"/>
        <v>2747709088.5</v>
      </c>
      <c r="I763" s="9">
        <f t="shared" si="114"/>
        <v>29934787472.450001</v>
      </c>
      <c r="J763" s="9">
        <f t="shared" si="115"/>
        <v>22826474</v>
      </c>
      <c r="K763" s="21">
        <f t="shared" si="116"/>
        <v>1311.4065480481129</v>
      </c>
      <c r="L763" s="4" t="str">
        <f t="shared" si="112"/>
        <v>BUY</v>
      </c>
      <c r="M763" s="4">
        <f t="shared" si="117"/>
        <v>0</v>
      </c>
      <c r="N763" s="4">
        <f t="shared" si="113"/>
        <v>1</v>
      </c>
      <c r="O763" s="4">
        <f t="shared" si="118"/>
        <v>1306.3499999999999</v>
      </c>
      <c r="P763" s="4">
        <f t="shared" si="119"/>
        <v>0</v>
      </c>
    </row>
    <row r="764" spans="1:16" x14ac:dyDescent="0.25">
      <c r="A764" s="1">
        <v>42346</v>
      </c>
      <c r="B764">
        <v>1349.7</v>
      </c>
      <c r="C764">
        <v>1371.8</v>
      </c>
      <c r="D764">
        <v>1343</v>
      </c>
      <c r="E764" s="7">
        <v>1362</v>
      </c>
      <c r="F764">
        <v>1514272</v>
      </c>
      <c r="G764" s="8">
        <f t="shared" si="110"/>
        <v>1358.9333333333334</v>
      </c>
      <c r="H764" s="9">
        <f t="shared" si="111"/>
        <v>2057794696.5333335</v>
      </c>
      <c r="I764" s="9">
        <f t="shared" si="114"/>
        <v>30312884428.733334</v>
      </c>
      <c r="J764" s="9">
        <f t="shared" si="115"/>
        <v>23023181</v>
      </c>
      <c r="K764" s="21">
        <f t="shared" si="116"/>
        <v>1316.6245111278643</v>
      </c>
      <c r="L764" s="4" t="str">
        <f t="shared" si="112"/>
        <v>BUY</v>
      </c>
      <c r="M764" s="4">
        <f t="shared" si="117"/>
        <v>0</v>
      </c>
      <c r="N764" s="4">
        <f t="shared" si="113"/>
        <v>1</v>
      </c>
      <c r="O764" s="4">
        <f t="shared" si="118"/>
        <v>1306.3499999999999</v>
      </c>
      <c r="P764" s="4">
        <f t="shared" si="119"/>
        <v>0</v>
      </c>
    </row>
    <row r="765" spans="1:16" x14ac:dyDescent="0.25">
      <c r="A765" s="1">
        <v>42347</v>
      </c>
      <c r="B765">
        <v>1362.5</v>
      </c>
      <c r="C765">
        <v>1366.05</v>
      </c>
      <c r="D765">
        <v>1338.05</v>
      </c>
      <c r="E765" s="7">
        <v>1351</v>
      </c>
      <c r="F765">
        <v>720235</v>
      </c>
      <c r="G765" s="8">
        <f t="shared" si="110"/>
        <v>1351.7</v>
      </c>
      <c r="H765" s="9">
        <f t="shared" si="111"/>
        <v>973541649.5</v>
      </c>
      <c r="I765" s="9">
        <f t="shared" si="114"/>
        <v>27904202672.233334</v>
      </c>
      <c r="J765" s="9">
        <f t="shared" si="115"/>
        <v>21129036</v>
      </c>
      <c r="K765" s="21">
        <f t="shared" si="116"/>
        <v>1320.6566864779506</v>
      </c>
      <c r="L765" s="4" t="str">
        <f t="shared" si="112"/>
        <v>BUY</v>
      </c>
      <c r="M765" s="4">
        <f t="shared" si="117"/>
        <v>0</v>
      </c>
      <c r="N765" s="4">
        <f t="shared" si="113"/>
        <v>1</v>
      </c>
      <c r="O765" s="4">
        <f t="shared" si="118"/>
        <v>1306.3499999999999</v>
      </c>
      <c r="P765" s="4">
        <f t="shared" si="119"/>
        <v>0</v>
      </c>
    </row>
    <row r="766" spans="1:16" x14ac:dyDescent="0.25">
      <c r="A766" s="1">
        <v>42348</v>
      </c>
      <c r="B766">
        <v>1352.5</v>
      </c>
      <c r="C766">
        <v>1354.9</v>
      </c>
      <c r="D766">
        <v>1327.1</v>
      </c>
      <c r="E766" s="7">
        <v>1330</v>
      </c>
      <c r="F766">
        <v>630019</v>
      </c>
      <c r="G766" s="8">
        <f t="shared" si="110"/>
        <v>1337.3333333333333</v>
      </c>
      <c r="H766" s="9">
        <f t="shared" si="111"/>
        <v>842545409.33333325</v>
      </c>
      <c r="I766" s="9">
        <f t="shared" si="114"/>
        <v>27566566981.033333</v>
      </c>
      <c r="J766" s="9">
        <f t="shared" si="115"/>
        <v>20848679</v>
      </c>
      <c r="K766" s="21">
        <f t="shared" si="116"/>
        <v>1322.2212774743825</v>
      </c>
      <c r="L766" s="4" t="str">
        <f t="shared" si="112"/>
        <v>BUY</v>
      </c>
      <c r="M766" s="4">
        <f t="shared" si="117"/>
        <v>0</v>
      </c>
      <c r="N766" s="4">
        <f t="shared" si="113"/>
        <v>1</v>
      </c>
      <c r="O766" s="4">
        <f t="shared" si="118"/>
        <v>1306.3499999999999</v>
      </c>
      <c r="P766" s="4">
        <f t="shared" si="119"/>
        <v>0</v>
      </c>
    </row>
    <row r="767" spans="1:16" x14ac:dyDescent="0.25">
      <c r="A767" s="1">
        <v>42349</v>
      </c>
      <c r="B767">
        <v>1326</v>
      </c>
      <c r="C767">
        <v>1331.7</v>
      </c>
      <c r="D767">
        <v>1308.0999999999999</v>
      </c>
      <c r="E767" s="7">
        <v>1317.5</v>
      </c>
      <c r="F767">
        <v>693315</v>
      </c>
      <c r="G767" s="8">
        <f t="shared" si="110"/>
        <v>1319.1000000000001</v>
      </c>
      <c r="H767" s="9">
        <f t="shared" si="111"/>
        <v>914551816.50000012</v>
      </c>
      <c r="I767" s="9">
        <f t="shared" si="114"/>
        <v>26959352155.949997</v>
      </c>
      <c r="J767" s="9">
        <f t="shared" si="115"/>
        <v>20371059</v>
      </c>
      <c r="K767" s="21">
        <f t="shared" si="116"/>
        <v>1323.4143672133096</v>
      </c>
      <c r="L767" s="4" t="str">
        <f t="shared" si="112"/>
        <v>SELL</v>
      </c>
      <c r="M767" s="4" t="str">
        <f t="shared" si="117"/>
        <v>SELL</v>
      </c>
      <c r="N767" s="4">
        <f t="shared" si="113"/>
        <v>-1</v>
      </c>
      <c r="O767" s="4">
        <f t="shared" si="118"/>
        <v>1317.5</v>
      </c>
      <c r="P767" s="4">
        <f t="shared" si="119"/>
        <v>8.5352317525931726E-3</v>
      </c>
    </row>
    <row r="768" spans="1:16" x14ac:dyDescent="0.25">
      <c r="A768" s="1">
        <v>42352</v>
      </c>
      <c r="B768">
        <v>1315.75</v>
      </c>
      <c r="C768">
        <v>1323.75</v>
      </c>
      <c r="D768">
        <v>1298.4000000000001</v>
      </c>
      <c r="E768" s="7">
        <v>1311.95</v>
      </c>
      <c r="F768">
        <v>938827</v>
      </c>
      <c r="G768" s="8">
        <f t="shared" si="110"/>
        <v>1311.3666666666668</v>
      </c>
      <c r="H768" s="9">
        <f t="shared" si="111"/>
        <v>1231146433.5666668</v>
      </c>
      <c r="I768" s="9">
        <f t="shared" si="114"/>
        <v>26174560427.73333</v>
      </c>
      <c r="J768" s="9">
        <f t="shared" si="115"/>
        <v>19741937</v>
      </c>
      <c r="K768" s="21">
        <f t="shared" si="116"/>
        <v>1325.8354754010879</v>
      </c>
      <c r="L768" s="4" t="str">
        <f t="shared" si="112"/>
        <v>SELL</v>
      </c>
      <c r="M768" s="4">
        <f t="shared" si="117"/>
        <v>0</v>
      </c>
      <c r="N768" s="4">
        <f t="shared" si="113"/>
        <v>-1</v>
      </c>
      <c r="O768" s="4">
        <f t="shared" si="118"/>
        <v>1317.5</v>
      </c>
      <c r="P768" s="4">
        <f t="shared" si="119"/>
        <v>0</v>
      </c>
    </row>
    <row r="769" spans="1:16" x14ac:dyDescent="0.25">
      <c r="A769" s="1">
        <v>42353</v>
      </c>
      <c r="B769">
        <v>1305</v>
      </c>
      <c r="C769">
        <v>1336.9</v>
      </c>
      <c r="D769">
        <v>1305</v>
      </c>
      <c r="E769" s="7">
        <v>1328.55</v>
      </c>
      <c r="F769">
        <v>1749235</v>
      </c>
      <c r="G769" s="8">
        <f t="shared" si="110"/>
        <v>1323.4833333333333</v>
      </c>
      <c r="H769" s="9">
        <f t="shared" si="111"/>
        <v>2315083368.5833335</v>
      </c>
      <c r="I769" s="9">
        <f t="shared" si="114"/>
        <v>25628345716.249996</v>
      </c>
      <c r="J769" s="9">
        <f t="shared" si="115"/>
        <v>19229753</v>
      </c>
      <c r="K769" s="21">
        <f t="shared" si="116"/>
        <v>1332.7444047903266</v>
      </c>
      <c r="L769" s="4" t="str">
        <f t="shared" si="112"/>
        <v>SELL</v>
      </c>
      <c r="M769" s="4">
        <f t="shared" si="117"/>
        <v>0</v>
      </c>
      <c r="N769" s="4">
        <f t="shared" si="113"/>
        <v>-1</v>
      </c>
      <c r="O769" s="4">
        <f t="shared" si="118"/>
        <v>1317.5</v>
      </c>
      <c r="P769" s="4">
        <f t="shared" si="119"/>
        <v>0</v>
      </c>
    </row>
    <row r="770" spans="1:16" x14ac:dyDescent="0.25">
      <c r="A770" s="1">
        <v>42354</v>
      </c>
      <c r="B770">
        <v>1323.75</v>
      </c>
      <c r="C770">
        <v>1345</v>
      </c>
      <c r="D770">
        <v>1323.75</v>
      </c>
      <c r="E770" s="7">
        <v>1340.5</v>
      </c>
      <c r="F770">
        <v>760550</v>
      </c>
      <c r="G770" s="8">
        <f t="shared" ref="G770:G833" si="120">AVERAGE(C770:E770)</f>
        <v>1336.4166666666667</v>
      </c>
      <c r="H770" s="9">
        <f t="shared" si="111"/>
        <v>1016411695.8333334</v>
      </c>
      <c r="I770" s="9">
        <f t="shared" si="114"/>
        <v>21546982784.899998</v>
      </c>
      <c r="J770" s="9">
        <f t="shared" si="115"/>
        <v>16087800</v>
      </c>
      <c r="K770" s="21">
        <f t="shared" si="116"/>
        <v>1339.3368132933028</v>
      </c>
      <c r="L770" s="4" t="str">
        <f t="shared" si="112"/>
        <v>BUY</v>
      </c>
      <c r="M770" s="4" t="str">
        <f t="shared" si="117"/>
        <v>BUY</v>
      </c>
      <c r="N770" s="4">
        <f t="shared" si="113"/>
        <v>1</v>
      </c>
      <c r="O770" s="4">
        <f t="shared" si="118"/>
        <v>1340.5</v>
      </c>
      <c r="P770" s="4">
        <f t="shared" si="119"/>
        <v>-1.7457305502846299E-2</v>
      </c>
    </row>
    <row r="771" spans="1:16" x14ac:dyDescent="0.25">
      <c r="A771" s="1">
        <v>42355</v>
      </c>
      <c r="B771">
        <v>1340.3</v>
      </c>
      <c r="C771">
        <v>1349.95</v>
      </c>
      <c r="D771">
        <v>1337.95</v>
      </c>
      <c r="E771" s="7">
        <v>1345.05</v>
      </c>
      <c r="F771">
        <v>1214077</v>
      </c>
      <c r="G771" s="8">
        <f t="shared" si="120"/>
        <v>1344.3166666666666</v>
      </c>
      <c r="H771" s="9">
        <f t="shared" ref="H771:H834" si="121">G771*F771</f>
        <v>1632103945.7166667</v>
      </c>
      <c r="I771" s="9">
        <f t="shared" si="114"/>
        <v>19328298259.416668</v>
      </c>
      <c r="J771" s="9">
        <f t="shared" si="115"/>
        <v>14406765</v>
      </c>
      <c r="K771" s="21">
        <f t="shared" si="116"/>
        <v>1341.6126562359188</v>
      </c>
      <c r="L771" s="4" t="str">
        <f t="shared" si="112"/>
        <v>BUY</v>
      </c>
      <c r="M771" s="4">
        <f t="shared" si="117"/>
        <v>0</v>
      </c>
      <c r="N771" s="4">
        <f t="shared" si="113"/>
        <v>1</v>
      </c>
      <c r="O771" s="4">
        <f t="shared" si="118"/>
        <v>1340.5</v>
      </c>
      <c r="P771" s="4">
        <f t="shared" si="119"/>
        <v>0</v>
      </c>
    </row>
    <row r="772" spans="1:16" x14ac:dyDescent="0.25">
      <c r="A772" s="1">
        <v>42356</v>
      </c>
      <c r="B772">
        <v>1341.2</v>
      </c>
      <c r="C772">
        <v>1356.55</v>
      </c>
      <c r="D772">
        <v>1340.3</v>
      </c>
      <c r="E772" s="7">
        <v>1344.95</v>
      </c>
      <c r="F772">
        <v>865902</v>
      </c>
      <c r="G772" s="8">
        <f t="shared" si="120"/>
        <v>1347.2666666666667</v>
      </c>
      <c r="H772" s="9">
        <f t="shared" si="121"/>
        <v>1166600901.2</v>
      </c>
      <c r="I772" s="9">
        <f t="shared" si="114"/>
        <v>14897489005.26667</v>
      </c>
      <c r="J772" s="9">
        <f t="shared" si="115"/>
        <v>11141178</v>
      </c>
      <c r="K772" s="21">
        <f t="shared" si="116"/>
        <v>1337.1556405675119</v>
      </c>
      <c r="L772" s="4" t="str">
        <f t="shared" si="112"/>
        <v>BUY</v>
      </c>
      <c r="M772" s="4">
        <f t="shared" si="117"/>
        <v>0</v>
      </c>
      <c r="N772" s="4">
        <f t="shared" si="113"/>
        <v>1</v>
      </c>
      <c r="O772" s="4">
        <f t="shared" si="118"/>
        <v>1340.5</v>
      </c>
      <c r="P772" s="4">
        <f t="shared" si="119"/>
        <v>0</v>
      </c>
    </row>
    <row r="773" spans="1:16" x14ac:dyDescent="0.25">
      <c r="A773" s="1">
        <v>42359</v>
      </c>
      <c r="B773">
        <v>1341</v>
      </c>
      <c r="C773">
        <v>1349.85</v>
      </c>
      <c r="D773">
        <v>1335.8</v>
      </c>
      <c r="E773" s="7">
        <v>1346.15</v>
      </c>
      <c r="F773">
        <v>1139572</v>
      </c>
      <c r="G773" s="8">
        <f t="shared" si="120"/>
        <v>1343.9333333333332</v>
      </c>
      <c r="H773" s="9">
        <f t="shared" si="121"/>
        <v>1531508796.5333331</v>
      </c>
      <c r="I773" s="9">
        <f t="shared" si="114"/>
        <v>13681288713.300001</v>
      </c>
      <c r="J773" s="9">
        <f t="shared" si="115"/>
        <v>10226004</v>
      </c>
      <c r="K773" s="21">
        <f t="shared" si="116"/>
        <v>1337.8919774821134</v>
      </c>
      <c r="L773" s="4" t="str">
        <f t="shared" si="112"/>
        <v>BUY</v>
      </c>
      <c r="M773" s="4">
        <f t="shared" si="117"/>
        <v>0</v>
      </c>
      <c r="N773" s="4">
        <f t="shared" si="113"/>
        <v>1</v>
      </c>
      <c r="O773" s="4">
        <f t="shared" si="118"/>
        <v>1340.5</v>
      </c>
      <c r="P773" s="4">
        <f t="shared" si="119"/>
        <v>0</v>
      </c>
    </row>
    <row r="774" spans="1:16" x14ac:dyDescent="0.25">
      <c r="A774" s="1">
        <v>42360</v>
      </c>
      <c r="B774">
        <v>1348.85</v>
      </c>
      <c r="C774">
        <v>1352.45</v>
      </c>
      <c r="D774">
        <v>1326.4</v>
      </c>
      <c r="E774" s="7">
        <v>1344.15</v>
      </c>
      <c r="F774">
        <v>2156584</v>
      </c>
      <c r="G774" s="8">
        <f t="shared" si="120"/>
        <v>1341.0000000000002</v>
      </c>
      <c r="H774" s="9">
        <f t="shared" si="121"/>
        <v>2891979144.0000005</v>
      </c>
      <c r="I774" s="9">
        <f t="shared" si="114"/>
        <v>14515473160.766666</v>
      </c>
      <c r="J774" s="9">
        <f t="shared" si="115"/>
        <v>10868316</v>
      </c>
      <c r="K774" s="21">
        <f t="shared" si="116"/>
        <v>1335.577025986976</v>
      </c>
      <c r="L774" s="4" t="str">
        <f t="shared" si="112"/>
        <v>BUY</v>
      </c>
      <c r="M774" s="4">
        <f t="shared" si="117"/>
        <v>0</v>
      </c>
      <c r="N774" s="4">
        <f t="shared" si="113"/>
        <v>1</v>
      </c>
      <c r="O774" s="4">
        <f t="shared" si="118"/>
        <v>1340.5</v>
      </c>
      <c r="P774" s="4">
        <f t="shared" si="119"/>
        <v>0</v>
      </c>
    </row>
    <row r="775" spans="1:16" x14ac:dyDescent="0.25">
      <c r="A775" s="1">
        <v>42361</v>
      </c>
      <c r="B775">
        <v>1344</v>
      </c>
      <c r="C775">
        <v>1352</v>
      </c>
      <c r="D775">
        <v>1342.15</v>
      </c>
      <c r="E775" s="7">
        <v>1348.1</v>
      </c>
      <c r="F775">
        <v>742270</v>
      </c>
      <c r="G775" s="8">
        <f t="shared" si="120"/>
        <v>1347.4166666666667</v>
      </c>
      <c r="H775" s="9">
        <f t="shared" si="121"/>
        <v>1000146969.1666667</v>
      </c>
      <c r="I775" s="9">
        <f t="shared" si="114"/>
        <v>14542078480.433332</v>
      </c>
      <c r="J775" s="9">
        <f t="shared" si="115"/>
        <v>10890351</v>
      </c>
      <c r="K775" s="21">
        <f t="shared" si="116"/>
        <v>1335.3177028392686</v>
      </c>
      <c r="L775" s="4" t="str">
        <f t="shared" si="112"/>
        <v>BUY</v>
      </c>
      <c r="M775" s="4">
        <f t="shared" si="117"/>
        <v>0</v>
      </c>
      <c r="N775" s="4">
        <f t="shared" si="113"/>
        <v>1</v>
      </c>
      <c r="O775" s="4">
        <f t="shared" si="118"/>
        <v>1340.5</v>
      </c>
      <c r="P775" s="4">
        <f t="shared" si="119"/>
        <v>0</v>
      </c>
    </row>
    <row r="776" spans="1:16" x14ac:dyDescent="0.25">
      <c r="A776" s="1">
        <v>42362</v>
      </c>
      <c r="B776">
        <v>1349</v>
      </c>
      <c r="C776">
        <v>1367.8</v>
      </c>
      <c r="D776">
        <v>1345.15</v>
      </c>
      <c r="E776" s="7">
        <v>1356.35</v>
      </c>
      <c r="F776">
        <v>1243652</v>
      </c>
      <c r="G776" s="8">
        <f t="shared" si="120"/>
        <v>1356.4333333333332</v>
      </c>
      <c r="H776" s="9">
        <f t="shared" si="121"/>
        <v>1686931027.8666666</v>
      </c>
      <c r="I776" s="9">
        <f t="shared" si="114"/>
        <v>15386464098.966667</v>
      </c>
      <c r="J776" s="9">
        <f t="shared" si="115"/>
        <v>11503984</v>
      </c>
      <c r="K776" s="21">
        <f t="shared" si="116"/>
        <v>1337.4900468365279</v>
      </c>
      <c r="L776" s="4" t="str">
        <f t="shared" si="112"/>
        <v>BUY</v>
      </c>
      <c r="M776" s="4">
        <f t="shared" si="117"/>
        <v>0</v>
      </c>
      <c r="N776" s="4">
        <f t="shared" si="113"/>
        <v>1</v>
      </c>
      <c r="O776" s="4">
        <f t="shared" si="118"/>
        <v>1340.5</v>
      </c>
      <c r="P776" s="4">
        <f t="shared" si="119"/>
        <v>0</v>
      </c>
    </row>
    <row r="777" spans="1:16" x14ac:dyDescent="0.25">
      <c r="A777" s="1">
        <v>42363</v>
      </c>
      <c r="B777">
        <v>1345.1</v>
      </c>
      <c r="C777">
        <v>1365</v>
      </c>
      <c r="D777">
        <v>1345.1</v>
      </c>
      <c r="E777" s="7">
        <v>1360.05</v>
      </c>
      <c r="F777">
        <v>1080997</v>
      </c>
      <c r="G777" s="8">
        <f t="shared" si="120"/>
        <v>1356.7166666666665</v>
      </c>
      <c r="H777" s="9">
        <f t="shared" si="121"/>
        <v>1466606646.5166664</v>
      </c>
      <c r="I777" s="9">
        <f t="shared" si="114"/>
        <v>15938518928.983334</v>
      </c>
      <c r="J777" s="9">
        <f t="shared" si="115"/>
        <v>11891666</v>
      </c>
      <c r="K777" s="21">
        <f t="shared" si="116"/>
        <v>1340.310006098669</v>
      </c>
      <c r="L777" s="4" t="str">
        <f t="shared" si="112"/>
        <v>BUY</v>
      </c>
      <c r="M777" s="4">
        <f t="shared" si="117"/>
        <v>0</v>
      </c>
      <c r="N777" s="4">
        <f t="shared" si="113"/>
        <v>1</v>
      </c>
      <c r="O777" s="4">
        <f t="shared" si="118"/>
        <v>1340.5</v>
      </c>
      <c r="P777" s="4">
        <f t="shared" si="119"/>
        <v>0</v>
      </c>
    </row>
    <row r="778" spans="1:16" x14ac:dyDescent="0.25">
      <c r="A778" s="1">
        <v>42366</v>
      </c>
      <c r="B778">
        <v>1362.5</v>
      </c>
      <c r="C778">
        <v>1375.9</v>
      </c>
      <c r="D778">
        <v>1362</v>
      </c>
      <c r="E778" s="7">
        <v>1370.55</v>
      </c>
      <c r="F778">
        <v>1786853</v>
      </c>
      <c r="G778" s="8">
        <f t="shared" si="120"/>
        <v>1369.4833333333333</v>
      </c>
      <c r="H778" s="9">
        <f t="shared" si="121"/>
        <v>2447065402.6166668</v>
      </c>
      <c r="I778" s="9">
        <f t="shared" si="114"/>
        <v>17154437898.033333</v>
      </c>
      <c r="J778" s="9">
        <f t="shared" si="115"/>
        <v>12739692</v>
      </c>
      <c r="K778" s="21">
        <f t="shared" si="116"/>
        <v>1346.5347433857376</v>
      </c>
      <c r="L778" s="4" t="str">
        <f t="shared" si="112"/>
        <v>BUY</v>
      </c>
      <c r="M778" s="4">
        <f t="shared" si="117"/>
        <v>0</v>
      </c>
      <c r="N778" s="4">
        <f t="shared" si="113"/>
        <v>1</v>
      </c>
      <c r="O778" s="4">
        <f t="shared" si="118"/>
        <v>1340.5</v>
      </c>
      <c r="P778" s="4">
        <f t="shared" si="119"/>
        <v>0</v>
      </c>
    </row>
    <row r="779" spans="1:16" x14ac:dyDescent="0.25">
      <c r="A779" s="1">
        <v>42367</v>
      </c>
      <c r="B779">
        <v>1361</v>
      </c>
      <c r="C779">
        <v>1390</v>
      </c>
      <c r="D779">
        <v>1361</v>
      </c>
      <c r="E779" s="7">
        <v>1387.15</v>
      </c>
      <c r="F779">
        <v>1306391</v>
      </c>
      <c r="G779" s="8">
        <f t="shared" si="120"/>
        <v>1379.3833333333332</v>
      </c>
      <c r="H779" s="9">
        <f t="shared" si="121"/>
        <v>1802013972.2166665</v>
      </c>
      <c r="I779" s="9">
        <f t="shared" si="114"/>
        <v>16641368501.666666</v>
      </c>
      <c r="J779" s="9">
        <f t="shared" si="115"/>
        <v>12296848</v>
      </c>
      <c r="K779" s="21">
        <f t="shared" si="116"/>
        <v>1353.3035865505262</v>
      </c>
      <c r="L779" s="4" t="str">
        <f t="shared" ref="L779:L842" si="122">IF(E779&gt;K779,"BUY",IF(E779&lt;K779,"SELL",0))</f>
        <v>BUY</v>
      </c>
      <c r="M779" s="4">
        <f t="shared" si="117"/>
        <v>0</v>
      </c>
      <c r="N779" s="4">
        <f t="shared" ref="N779:N842" si="123">IF(M779="BUY",1,IF(M779="SELL",-1,N778))</f>
        <v>1</v>
      </c>
      <c r="O779" s="4">
        <f t="shared" si="118"/>
        <v>1340.5</v>
      </c>
      <c r="P779" s="4">
        <f t="shared" si="119"/>
        <v>0</v>
      </c>
    </row>
    <row r="780" spans="1:16" x14ac:dyDescent="0.25">
      <c r="A780" s="1">
        <v>42368</v>
      </c>
      <c r="B780">
        <v>1386</v>
      </c>
      <c r="C780">
        <v>1437</v>
      </c>
      <c r="D780">
        <v>1385.1</v>
      </c>
      <c r="E780" s="7">
        <v>1422.6</v>
      </c>
      <c r="F780">
        <v>3486809</v>
      </c>
      <c r="G780" s="8">
        <f t="shared" si="120"/>
        <v>1414.8999999999999</v>
      </c>
      <c r="H780" s="9">
        <f t="shared" si="121"/>
        <v>4933486054.0999994</v>
      </c>
      <c r="I780" s="9">
        <f t="shared" ref="I780:I843" si="124">SUM(H771:H780)</f>
        <v>20558442859.933334</v>
      </c>
      <c r="J780" s="9">
        <f t="shared" ref="J780:J843" si="125">SUM(F771:F780)</f>
        <v>15023107</v>
      </c>
      <c r="K780" s="21">
        <f t="shared" ref="K780:K843" si="126">I780/J780</f>
        <v>1368.4547983272257</v>
      </c>
      <c r="L780" s="4" t="str">
        <f t="shared" si="122"/>
        <v>BUY</v>
      </c>
      <c r="M780" s="4">
        <f t="shared" ref="M780:M843" si="127">IF(L780&lt;&gt;L779,L780,0)</f>
        <v>0</v>
      </c>
      <c r="N780" s="4">
        <f t="shared" si="123"/>
        <v>1</v>
      </c>
      <c r="O780" s="4">
        <f t="shared" ref="O780:O843" si="128">IF(M780&lt;&gt;0,E780,O779)</f>
        <v>1340.5</v>
      </c>
      <c r="P780" s="4">
        <f t="shared" ref="P780:P843" si="129">IF(M780="BUY",(O779-O780)/O779,IF(M780="SELL",(O780-O779)/O779,0))</f>
        <v>0</v>
      </c>
    </row>
    <row r="781" spans="1:16" x14ac:dyDescent="0.25">
      <c r="A781" s="1">
        <v>42369</v>
      </c>
      <c r="B781">
        <v>1424</v>
      </c>
      <c r="C781">
        <v>1428.9</v>
      </c>
      <c r="D781">
        <v>1412.25</v>
      </c>
      <c r="E781" s="7">
        <v>1414.7</v>
      </c>
      <c r="F781">
        <v>1156063</v>
      </c>
      <c r="G781" s="8">
        <f t="shared" si="120"/>
        <v>1418.6166666666668</v>
      </c>
      <c r="H781" s="9">
        <f t="shared" si="121"/>
        <v>1640010239.5166669</v>
      </c>
      <c r="I781" s="9">
        <f t="shared" si="124"/>
        <v>20566349153.733334</v>
      </c>
      <c r="J781" s="9">
        <f t="shared" si="125"/>
        <v>14965093</v>
      </c>
      <c r="K781" s="21">
        <f t="shared" si="126"/>
        <v>1374.2880952182077</v>
      </c>
      <c r="L781" s="4" t="str">
        <f t="shared" si="122"/>
        <v>BUY</v>
      </c>
      <c r="M781" s="4">
        <f t="shared" si="127"/>
        <v>0</v>
      </c>
      <c r="N781" s="4">
        <f t="shared" si="123"/>
        <v>1</v>
      </c>
      <c r="O781" s="4">
        <f t="shared" si="128"/>
        <v>1340.5</v>
      </c>
      <c r="P781" s="4">
        <f t="shared" si="129"/>
        <v>0</v>
      </c>
    </row>
    <row r="782" spans="1:16" x14ac:dyDescent="0.25">
      <c r="A782" s="1">
        <v>42370</v>
      </c>
      <c r="B782">
        <v>1409.05</v>
      </c>
      <c r="C782">
        <v>1415</v>
      </c>
      <c r="D782">
        <v>1401.85</v>
      </c>
      <c r="E782" s="7">
        <v>1410.05</v>
      </c>
      <c r="F782">
        <v>1112751</v>
      </c>
      <c r="G782" s="8">
        <f t="shared" si="120"/>
        <v>1408.9666666666665</v>
      </c>
      <c r="H782" s="9">
        <f t="shared" si="121"/>
        <v>1567829067.2999997</v>
      </c>
      <c r="I782" s="9">
        <f t="shared" si="124"/>
        <v>20967577319.833332</v>
      </c>
      <c r="J782" s="9">
        <f t="shared" si="125"/>
        <v>15211942</v>
      </c>
      <c r="K782" s="21">
        <f t="shared" si="126"/>
        <v>1378.3629545677554</v>
      </c>
      <c r="L782" s="4" t="str">
        <f t="shared" si="122"/>
        <v>BUY</v>
      </c>
      <c r="M782" s="4">
        <f t="shared" si="127"/>
        <v>0</v>
      </c>
      <c r="N782" s="4">
        <f t="shared" si="123"/>
        <v>1</v>
      </c>
      <c r="O782" s="4">
        <f t="shared" si="128"/>
        <v>1340.5</v>
      </c>
      <c r="P782" s="4">
        <f t="shared" si="129"/>
        <v>0</v>
      </c>
    </row>
    <row r="783" spans="1:16" x14ac:dyDescent="0.25">
      <c r="A783" s="1">
        <v>42373</v>
      </c>
      <c r="B783">
        <v>1409.8</v>
      </c>
      <c r="C783">
        <v>1441.65</v>
      </c>
      <c r="D783">
        <v>1405.1</v>
      </c>
      <c r="E783" s="7">
        <v>1435.4</v>
      </c>
      <c r="F783">
        <v>1911333</v>
      </c>
      <c r="G783" s="8">
        <f t="shared" si="120"/>
        <v>1427.3833333333332</v>
      </c>
      <c r="H783" s="9">
        <f t="shared" si="121"/>
        <v>2728204868.6499996</v>
      </c>
      <c r="I783" s="9">
        <f t="shared" si="124"/>
        <v>22164273391.949997</v>
      </c>
      <c r="J783" s="9">
        <f t="shared" si="125"/>
        <v>15983703</v>
      </c>
      <c r="K783" s="21">
        <f t="shared" si="126"/>
        <v>1386.6795067419607</v>
      </c>
      <c r="L783" s="4" t="str">
        <f t="shared" si="122"/>
        <v>BUY</v>
      </c>
      <c r="M783" s="4">
        <f t="shared" si="127"/>
        <v>0</v>
      </c>
      <c r="N783" s="4">
        <f t="shared" si="123"/>
        <v>1</v>
      </c>
      <c r="O783" s="4">
        <f t="shared" si="128"/>
        <v>1340.5</v>
      </c>
      <c r="P783" s="4">
        <f t="shared" si="129"/>
        <v>0</v>
      </c>
    </row>
    <row r="784" spans="1:16" x14ac:dyDescent="0.25">
      <c r="A784" s="1">
        <v>42374</v>
      </c>
      <c r="B784">
        <v>1430.1</v>
      </c>
      <c r="C784">
        <v>1455.8</v>
      </c>
      <c r="D784">
        <v>1429</v>
      </c>
      <c r="E784" s="7">
        <v>1447.7</v>
      </c>
      <c r="F784">
        <v>1473479</v>
      </c>
      <c r="G784" s="8">
        <f t="shared" si="120"/>
        <v>1444.1666666666667</v>
      </c>
      <c r="H784" s="9">
        <f t="shared" si="121"/>
        <v>2127949255.8333335</v>
      </c>
      <c r="I784" s="9">
        <f t="shared" si="124"/>
        <v>21400243503.783329</v>
      </c>
      <c r="J784" s="9">
        <f t="shared" si="125"/>
        <v>15300598</v>
      </c>
      <c r="K784" s="21">
        <f t="shared" si="126"/>
        <v>1398.6540593892689</v>
      </c>
      <c r="L784" s="4" t="str">
        <f t="shared" si="122"/>
        <v>BUY</v>
      </c>
      <c r="M784" s="4">
        <f t="shared" si="127"/>
        <v>0</v>
      </c>
      <c r="N784" s="4">
        <f t="shared" si="123"/>
        <v>1</v>
      </c>
      <c r="O784" s="4">
        <f t="shared" si="128"/>
        <v>1340.5</v>
      </c>
      <c r="P784" s="4">
        <f t="shared" si="129"/>
        <v>0</v>
      </c>
    </row>
    <row r="785" spans="1:16" x14ac:dyDescent="0.25">
      <c r="A785" s="1">
        <v>42375</v>
      </c>
      <c r="B785">
        <v>1444</v>
      </c>
      <c r="C785">
        <v>1451.8</v>
      </c>
      <c r="D785">
        <v>1430.65</v>
      </c>
      <c r="E785" s="7">
        <v>1442.15</v>
      </c>
      <c r="F785">
        <v>910395</v>
      </c>
      <c r="G785" s="8">
        <f t="shared" si="120"/>
        <v>1441.5333333333335</v>
      </c>
      <c r="H785" s="9">
        <f t="shared" si="121"/>
        <v>1312364739.0000002</v>
      </c>
      <c r="I785" s="9">
        <f t="shared" si="124"/>
        <v>21712461273.616665</v>
      </c>
      <c r="J785" s="9">
        <f t="shared" si="125"/>
        <v>15468723</v>
      </c>
      <c r="K785" s="21">
        <f t="shared" si="126"/>
        <v>1403.6363100959702</v>
      </c>
      <c r="L785" s="4" t="str">
        <f t="shared" si="122"/>
        <v>BUY</v>
      </c>
      <c r="M785" s="4">
        <f t="shared" si="127"/>
        <v>0</v>
      </c>
      <c r="N785" s="4">
        <f t="shared" si="123"/>
        <v>1</v>
      </c>
      <c r="O785" s="4">
        <f t="shared" si="128"/>
        <v>1340.5</v>
      </c>
      <c r="P785" s="4">
        <f t="shared" si="129"/>
        <v>0</v>
      </c>
    </row>
    <row r="786" spans="1:16" x14ac:dyDescent="0.25">
      <c r="A786" s="1">
        <v>42376</v>
      </c>
      <c r="B786">
        <v>1440.1</v>
      </c>
      <c r="C786">
        <v>1441.9</v>
      </c>
      <c r="D786">
        <v>1420</v>
      </c>
      <c r="E786" s="7">
        <v>1425.35</v>
      </c>
      <c r="F786">
        <v>476043</v>
      </c>
      <c r="G786" s="8">
        <f t="shared" si="120"/>
        <v>1429.0833333333333</v>
      </c>
      <c r="H786" s="9">
        <f t="shared" si="121"/>
        <v>680305117.25</v>
      </c>
      <c r="I786" s="9">
        <f t="shared" si="124"/>
        <v>20705835362.999996</v>
      </c>
      <c r="J786" s="9">
        <f t="shared" si="125"/>
        <v>14701114</v>
      </c>
      <c r="K786" s="21">
        <f t="shared" si="126"/>
        <v>1408.4534929121696</v>
      </c>
      <c r="L786" s="4" t="str">
        <f t="shared" si="122"/>
        <v>BUY</v>
      </c>
      <c r="M786" s="4">
        <f t="shared" si="127"/>
        <v>0</v>
      </c>
      <c r="N786" s="4">
        <f t="shared" si="123"/>
        <v>1</v>
      </c>
      <c r="O786" s="4">
        <f t="shared" si="128"/>
        <v>1340.5</v>
      </c>
      <c r="P786" s="4">
        <f t="shared" si="129"/>
        <v>0</v>
      </c>
    </row>
    <row r="787" spans="1:16" x14ac:dyDescent="0.25">
      <c r="A787" s="1">
        <v>42377</v>
      </c>
      <c r="B787">
        <v>1421.6</v>
      </c>
      <c r="C787">
        <v>1448.9</v>
      </c>
      <c r="D787">
        <v>1412.7</v>
      </c>
      <c r="E787" s="7">
        <v>1443.55</v>
      </c>
      <c r="F787">
        <v>372147</v>
      </c>
      <c r="G787" s="8">
        <f t="shared" si="120"/>
        <v>1435.0500000000002</v>
      </c>
      <c r="H787" s="9">
        <f t="shared" si="121"/>
        <v>534049552.35000008</v>
      </c>
      <c r="I787" s="9">
        <f t="shared" si="124"/>
        <v>19773278268.833328</v>
      </c>
      <c r="J787" s="9">
        <f t="shared" si="125"/>
        <v>13992264</v>
      </c>
      <c r="K787" s="21">
        <f t="shared" si="126"/>
        <v>1413.1578898763867</v>
      </c>
      <c r="L787" s="4" t="str">
        <f t="shared" si="122"/>
        <v>BUY</v>
      </c>
      <c r="M787" s="4">
        <f t="shared" si="127"/>
        <v>0</v>
      </c>
      <c r="N787" s="4">
        <f t="shared" si="123"/>
        <v>1</v>
      </c>
      <c r="O787" s="4">
        <f t="shared" si="128"/>
        <v>1340.5</v>
      </c>
      <c r="P787" s="4">
        <f t="shared" si="129"/>
        <v>0</v>
      </c>
    </row>
    <row r="788" spans="1:16" x14ac:dyDescent="0.25">
      <c r="A788" s="1">
        <v>42380</v>
      </c>
      <c r="B788">
        <v>1441.5</v>
      </c>
      <c r="C788">
        <v>1457</v>
      </c>
      <c r="D788">
        <v>1441.5</v>
      </c>
      <c r="E788" s="7">
        <v>1452.8</v>
      </c>
      <c r="F788">
        <v>1130759</v>
      </c>
      <c r="G788" s="8">
        <f t="shared" si="120"/>
        <v>1450.4333333333334</v>
      </c>
      <c r="H788" s="9">
        <f t="shared" si="121"/>
        <v>1640090545.5666668</v>
      </c>
      <c r="I788" s="9">
        <f t="shared" si="124"/>
        <v>18966303411.783329</v>
      </c>
      <c r="J788" s="9">
        <f t="shared" si="125"/>
        <v>13336170</v>
      </c>
      <c r="K788" s="21">
        <f t="shared" si="126"/>
        <v>1422.1701891760024</v>
      </c>
      <c r="L788" s="4" t="str">
        <f t="shared" si="122"/>
        <v>BUY</v>
      </c>
      <c r="M788" s="4">
        <f t="shared" si="127"/>
        <v>0</v>
      </c>
      <c r="N788" s="4">
        <f t="shared" si="123"/>
        <v>1</v>
      </c>
      <c r="O788" s="4">
        <f t="shared" si="128"/>
        <v>1340.5</v>
      </c>
      <c r="P788" s="4">
        <f t="shared" si="129"/>
        <v>0</v>
      </c>
    </row>
    <row r="789" spans="1:16" x14ac:dyDescent="0.25">
      <c r="A789" s="1">
        <v>42381</v>
      </c>
      <c r="B789">
        <v>1440.7</v>
      </c>
      <c r="C789">
        <v>1456.85</v>
      </c>
      <c r="D789">
        <v>1440.7</v>
      </c>
      <c r="E789" s="7">
        <v>1451.05</v>
      </c>
      <c r="F789">
        <v>1924573</v>
      </c>
      <c r="G789" s="8">
        <f t="shared" si="120"/>
        <v>1449.5333333333335</v>
      </c>
      <c r="H789" s="9">
        <f t="shared" si="121"/>
        <v>2789732715.9333339</v>
      </c>
      <c r="I789" s="9">
        <f t="shared" si="124"/>
        <v>19954022155.5</v>
      </c>
      <c r="J789" s="9">
        <f t="shared" si="125"/>
        <v>13954352</v>
      </c>
      <c r="K789" s="21">
        <f t="shared" si="126"/>
        <v>1429.9497501209657</v>
      </c>
      <c r="L789" s="4" t="str">
        <f t="shared" si="122"/>
        <v>BUY</v>
      </c>
      <c r="M789" s="4">
        <f t="shared" si="127"/>
        <v>0</v>
      </c>
      <c r="N789" s="4">
        <f t="shared" si="123"/>
        <v>1</v>
      </c>
      <c r="O789" s="4">
        <f t="shared" si="128"/>
        <v>1340.5</v>
      </c>
      <c r="P789" s="4">
        <f t="shared" si="129"/>
        <v>0</v>
      </c>
    </row>
    <row r="790" spans="1:16" x14ac:dyDescent="0.25">
      <c r="A790" s="1">
        <v>42382</v>
      </c>
      <c r="B790">
        <v>1450</v>
      </c>
      <c r="C790">
        <v>1464.05</v>
      </c>
      <c r="D790">
        <v>1442.3</v>
      </c>
      <c r="E790" s="7">
        <v>1455.1</v>
      </c>
      <c r="F790">
        <v>655347</v>
      </c>
      <c r="G790" s="8">
        <f t="shared" si="120"/>
        <v>1453.8166666666666</v>
      </c>
      <c r="H790" s="9">
        <f t="shared" si="121"/>
        <v>952754391.04999995</v>
      </c>
      <c r="I790" s="9">
        <f t="shared" si="124"/>
        <v>15973290492.450001</v>
      </c>
      <c r="J790" s="9">
        <f t="shared" si="125"/>
        <v>11122890</v>
      </c>
      <c r="K790" s="21">
        <f t="shared" si="126"/>
        <v>1436.0737625248476</v>
      </c>
      <c r="L790" s="4" t="str">
        <f t="shared" si="122"/>
        <v>BUY</v>
      </c>
      <c r="M790" s="4">
        <f t="shared" si="127"/>
        <v>0</v>
      </c>
      <c r="N790" s="4">
        <f t="shared" si="123"/>
        <v>1</v>
      </c>
      <c r="O790" s="4">
        <f t="shared" si="128"/>
        <v>1340.5</v>
      </c>
      <c r="P790" s="4">
        <f t="shared" si="129"/>
        <v>0</v>
      </c>
    </row>
    <row r="791" spans="1:16" x14ac:dyDescent="0.25">
      <c r="A791" s="1">
        <v>42383</v>
      </c>
      <c r="B791">
        <v>1453</v>
      </c>
      <c r="C791">
        <v>1475</v>
      </c>
      <c r="D791">
        <v>1451.5</v>
      </c>
      <c r="E791" s="7">
        <v>1473.7</v>
      </c>
      <c r="F791">
        <v>865015</v>
      </c>
      <c r="G791" s="8">
        <f t="shared" si="120"/>
        <v>1466.7333333333333</v>
      </c>
      <c r="H791" s="9">
        <f t="shared" si="121"/>
        <v>1268746334.3333333</v>
      </c>
      <c r="I791" s="9">
        <f t="shared" si="124"/>
        <v>15602026587.266668</v>
      </c>
      <c r="J791" s="9">
        <f t="shared" si="125"/>
        <v>10831842</v>
      </c>
      <c r="K791" s="21">
        <f t="shared" si="126"/>
        <v>1440.3853552578287</v>
      </c>
      <c r="L791" s="4" t="str">
        <f t="shared" si="122"/>
        <v>BUY</v>
      </c>
      <c r="M791" s="4">
        <f t="shared" si="127"/>
        <v>0</v>
      </c>
      <c r="N791" s="4">
        <f t="shared" si="123"/>
        <v>1</v>
      </c>
      <c r="O791" s="4">
        <f t="shared" si="128"/>
        <v>1340.5</v>
      </c>
      <c r="P791" s="4">
        <f t="shared" si="129"/>
        <v>0</v>
      </c>
    </row>
    <row r="792" spans="1:16" x14ac:dyDescent="0.25">
      <c r="A792" s="1">
        <v>42384</v>
      </c>
      <c r="B792">
        <v>1467</v>
      </c>
      <c r="C792">
        <v>1499.95</v>
      </c>
      <c r="D792">
        <v>1466</v>
      </c>
      <c r="E792" s="7">
        <v>1496.4</v>
      </c>
      <c r="F792">
        <v>1426835</v>
      </c>
      <c r="G792" s="8">
        <f t="shared" si="120"/>
        <v>1487.45</v>
      </c>
      <c r="H792" s="9">
        <f t="shared" si="121"/>
        <v>2122345720.75</v>
      </c>
      <c r="I792" s="9">
        <f t="shared" si="124"/>
        <v>16156543240.716669</v>
      </c>
      <c r="J792" s="9">
        <f t="shared" si="125"/>
        <v>11145926</v>
      </c>
      <c r="K792" s="21">
        <f t="shared" si="126"/>
        <v>1449.546968167263</v>
      </c>
      <c r="L792" s="4" t="str">
        <f t="shared" si="122"/>
        <v>BUY</v>
      </c>
      <c r="M792" s="4">
        <f t="shared" si="127"/>
        <v>0</v>
      </c>
      <c r="N792" s="4">
        <f t="shared" si="123"/>
        <v>1</v>
      </c>
      <c r="O792" s="4">
        <f t="shared" si="128"/>
        <v>1340.5</v>
      </c>
      <c r="P792" s="4">
        <f t="shared" si="129"/>
        <v>0</v>
      </c>
    </row>
    <row r="793" spans="1:16" x14ac:dyDescent="0.25">
      <c r="A793" s="1">
        <v>42387</v>
      </c>
      <c r="B793">
        <v>1495.25</v>
      </c>
      <c r="C793">
        <v>1503.05</v>
      </c>
      <c r="D793">
        <v>1477.3</v>
      </c>
      <c r="E793" s="7">
        <v>1483.2</v>
      </c>
      <c r="F793">
        <v>1278341</v>
      </c>
      <c r="G793" s="8">
        <f t="shared" si="120"/>
        <v>1487.8500000000001</v>
      </c>
      <c r="H793" s="9">
        <f t="shared" si="121"/>
        <v>1901979656.8500001</v>
      </c>
      <c r="I793" s="9">
        <f t="shared" si="124"/>
        <v>15330318028.916668</v>
      </c>
      <c r="J793" s="9">
        <f t="shared" si="125"/>
        <v>10512934</v>
      </c>
      <c r="K793" s="21">
        <f t="shared" si="126"/>
        <v>1458.2340219121197</v>
      </c>
      <c r="L793" s="4" t="str">
        <f t="shared" si="122"/>
        <v>BUY</v>
      </c>
      <c r="M793" s="4">
        <f t="shared" si="127"/>
        <v>0</v>
      </c>
      <c r="N793" s="4">
        <f t="shared" si="123"/>
        <v>1</v>
      </c>
      <c r="O793" s="4">
        <f t="shared" si="128"/>
        <v>1340.5</v>
      </c>
      <c r="P793" s="4">
        <f t="shared" si="129"/>
        <v>0</v>
      </c>
    </row>
    <row r="794" spans="1:16" x14ac:dyDescent="0.25">
      <c r="A794" s="1">
        <v>42388</v>
      </c>
      <c r="B794">
        <v>1486.25</v>
      </c>
      <c r="C794">
        <v>1525</v>
      </c>
      <c r="D794">
        <v>1485.25</v>
      </c>
      <c r="E794" s="7">
        <v>1517</v>
      </c>
      <c r="F794">
        <v>2299712</v>
      </c>
      <c r="G794" s="8">
        <f t="shared" si="120"/>
        <v>1509.0833333333333</v>
      </c>
      <c r="H794" s="9">
        <f t="shared" si="121"/>
        <v>3470457050.6666665</v>
      </c>
      <c r="I794" s="9">
        <f t="shared" si="124"/>
        <v>16672825823.75</v>
      </c>
      <c r="J794" s="9">
        <f t="shared" si="125"/>
        <v>11339167</v>
      </c>
      <c r="K794" s="21">
        <f t="shared" si="126"/>
        <v>1470.3748365069498</v>
      </c>
      <c r="L794" s="4" t="str">
        <f t="shared" si="122"/>
        <v>BUY</v>
      </c>
      <c r="M794" s="4">
        <f t="shared" si="127"/>
        <v>0</v>
      </c>
      <c r="N794" s="4">
        <f t="shared" si="123"/>
        <v>1</v>
      </c>
      <c r="O794" s="4">
        <f t="shared" si="128"/>
        <v>1340.5</v>
      </c>
      <c r="P794" s="4">
        <f t="shared" si="129"/>
        <v>0</v>
      </c>
    </row>
    <row r="795" spans="1:16" x14ac:dyDescent="0.25">
      <c r="A795" s="1">
        <v>42389</v>
      </c>
      <c r="B795">
        <v>1515.1</v>
      </c>
      <c r="C795">
        <v>1516</v>
      </c>
      <c r="D795">
        <v>1498</v>
      </c>
      <c r="E795" s="7">
        <v>1501.85</v>
      </c>
      <c r="F795">
        <v>1268663</v>
      </c>
      <c r="G795" s="8">
        <f t="shared" si="120"/>
        <v>1505.2833333333335</v>
      </c>
      <c r="H795" s="9">
        <f t="shared" si="121"/>
        <v>1909697269.5166669</v>
      </c>
      <c r="I795" s="9">
        <f t="shared" si="124"/>
        <v>17270158354.266666</v>
      </c>
      <c r="J795" s="9">
        <f t="shared" si="125"/>
        <v>11697435</v>
      </c>
      <c r="K795" s="21">
        <f t="shared" si="126"/>
        <v>1476.405584152993</v>
      </c>
      <c r="L795" s="4" t="str">
        <f t="shared" si="122"/>
        <v>BUY</v>
      </c>
      <c r="M795" s="4">
        <f t="shared" si="127"/>
        <v>0</v>
      </c>
      <c r="N795" s="4">
        <f t="shared" si="123"/>
        <v>1</v>
      </c>
      <c r="O795" s="4">
        <f t="shared" si="128"/>
        <v>1340.5</v>
      </c>
      <c r="P795" s="4">
        <f t="shared" si="129"/>
        <v>0</v>
      </c>
    </row>
    <row r="796" spans="1:16" x14ac:dyDescent="0.25">
      <c r="A796" s="1">
        <v>42390</v>
      </c>
      <c r="B796">
        <v>1491</v>
      </c>
      <c r="C796">
        <v>1519.9</v>
      </c>
      <c r="D796">
        <v>1491</v>
      </c>
      <c r="E796" s="7">
        <v>1513.2</v>
      </c>
      <c r="F796">
        <v>1568038</v>
      </c>
      <c r="G796" s="8">
        <f t="shared" si="120"/>
        <v>1508.0333333333335</v>
      </c>
      <c r="H796" s="9">
        <f t="shared" si="121"/>
        <v>2364653571.9333339</v>
      </c>
      <c r="I796" s="9">
        <f t="shared" si="124"/>
        <v>18954506808.950001</v>
      </c>
      <c r="J796" s="9">
        <f t="shared" si="125"/>
        <v>12789430</v>
      </c>
      <c r="K796" s="21">
        <f t="shared" si="126"/>
        <v>1482.0446891651934</v>
      </c>
      <c r="L796" s="4" t="str">
        <f t="shared" si="122"/>
        <v>BUY</v>
      </c>
      <c r="M796" s="4">
        <f t="shared" si="127"/>
        <v>0</v>
      </c>
      <c r="N796" s="4">
        <f t="shared" si="123"/>
        <v>1</v>
      </c>
      <c r="O796" s="4">
        <f t="shared" si="128"/>
        <v>1340.5</v>
      </c>
      <c r="P796" s="4">
        <f t="shared" si="129"/>
        <v>0</v>
      </c>
    </row>
    <row r="797" spans="1:16" x14ac:dyDescent="0.25">
      <c r="A797" s="1">
        <v>42391</v>
      </c>
      <c r="B797">
        <v>1517</v>
      </c>
      <c r="C797">
        <v>1543</v>
      </c>
      <c r="D797">
        <v>1508.6</v>
      </c>
      <c r="E797" s="7">
        <v>1540.15</v>
      </c>
      <c r="F797">
        <v>1720027</v>
      </c>
      <c r="G797" s="8">
        <f t="shared" si="120"/>
        <v>1530.5833333333333</v>
      </c>
      <c r="H797" s="9">
        <f t="shared" si="121"/>
        <v>2632644659.083333</v>
      </c>
      <c r="I797" s="9">
        <f t="shared" si="124"/>
        <v>21053101915.683334</v>
      </c>
      <c r="J797" s="9">
        <f t="shared" si="125"/>
        <v>14137310</v>
      </c>
      <c r="K797" s="21">
        <f t="shared" si="126"/>
        <v>1489.1872580910608</v>
      </c>
      <c r="L797" s="4" t="str">
        <f t="shared" si="122"/>
        <v>BUY</v>
      </c>
      <c r="M797" s="4">
        <f t="shared" si="127"/>
        <v>0</v>
      </c>
      <c r="N797" s="4">
        <f t="shared" si="123"/>
        <v>1</v>
      </c>
      <c r="O797" s="4">
        <f t="shared" si="128"/>
        <v>1340.5</v>
      </c>
      <c r="P797" s="4">
        <f t="shared" si="129"/>
        <v>0</v>
      </c>
    </row>
    <row r="798" spans="1:16" x14ac:dyDescent="0.25">
      <c r="A798" s="1">
        <v>42394</v>
      </c>
      <c r="B798">
        <v>1536.15</v>
      </c>
      <c r="C798">
        <v>1565.5</v>
      </c>
      <c r="D798">
        <v>1536.15</v>
      </c>
      <c r="E798" s="7">
        <v>1561.2</v>
      </c>
      <c r="F798">
        <v>1149755</v>
      </c>
      <c r="G798" s="8">
        <f t="shared" si="120"/>
        <v>1554.2833333333335</v>
      </c>
      <c r="H798" s="9">
        <f t="shared" si="121"/>
        <v>1787045033.916667</v>
      </c>
      <c r="I798" s="9">
        <f t="shared" si="124"/>
        <v>21200056404.033333</v>
      </c>
      <c r="J798" s="9">
        <f t="shared" si="125"/>
        <v>14156306</v>
      </c>
      <c r="K798" s="21">
        <f t="shared" si="126"/>
        <v>1497.569804158891</v>
      </c>
      <c r="L798" s="4" t="str">
        <f t="shared" si="122"/>
        <v>BUY</v>
      </c>
      <c r="M798" s="4">
        <f t="shared" si="127"/>
        <v>0</v>
      </c>
      <c r="N798" s="4">
        <f t="shared" si="123"/>
        <v>1</v>
      </c>
      <c r="O798" s="4">
        <f t="shared" si="128"/>
        <v>1340.5</v>
      </c>
      <c r="P798" s="4">
        <f t="shared" si="129"/>
        <v>0</v>
      </c>
    </row>
    <row r="799" spans="1:16" x14ac:dyDescent="0.25">
      <c r="A799" s="1">
        <v>42395</v>
      </c>
      <c r="B799">
        <v>1561</v>
      </c>
      <c r="C799">
        <v>1597.6</v>
      </c>
      <c r="D799">
        <v>1559.35</v>
      </c>
      <c r="E799" s="7">
        <v>1589.9</v>
      </c>
      <c r="F799">
        <v>1954351</v>
      </c>
      <c r="G799" s="8">
        <f t="shared" si="120"/>
        <v>1582.2833333333335</v>
      </c>
      <c r="H799" s="9">
        <f t="shared" si="121"/>
        <v>3092337014.7833338</v>
      </c>
      <c r="I799" s="9">
        <f t="shared" si="124"/>
        <v>21502660702.883335</v>
      </c>
      <c r="J799" s="9">
        <f t="shared" si="125"/>
        <v>14186084</v>
      </c>
      <c r="K799" s="21">
        <f t="shared" si="126"/>
        <v>1515.7573226609497</v>
      </c>
      <c r="L799" s="4" t="str">
        <f t="shared" si="122"/>
        <v>BUY</v>
      </c>
      <c r="M799" s="4">
        <f t="shared" si="127"/>
        <v>0</v>
      </c>
      <c r="N799" s="4">
        <f t="shared" si="123"/>
        <v>1</v>
      </c>
      <c r="O799" s="4">
        <f t="shared" si="128"/>
        <v>1340.5</v>
      </c>
      <c r="P799" s="4">
        <f t="shared" si="129"/>
        <v>0</v>
      </c>
    </row>
    <row r="800" spans="1:16" x14ac:dyDescent="0.25">
      <c r="A800" s="1">
        <v>42396</v>
      </c>
      <c r="B800">
        <v>1590</v>
      </c>
      <c r="C800">
        <v>1595.65</v>
      </c>
      <c r="D800">
        <v>1574.9</v>
      </c>
      <c r="E800" s="7">
        <v>1583.15</v>
      </c>
      <c r="F800">
        <v>2170751</v>
      </c>
      <c r="G800" s="8">
        <f t="shared" si="120"/>
        <v>1584.5666666666668</v>
      </c>
      <c r="H800" s="9">
        <f t="shared" si="121"/>
        <v>3439699676.2333336</v>
      </c>
      <c r="I800" s="9">
        <f t="shared" si="124"/>
        <v>23989605988.066669</v>
      </c>
      <c r="J800" s="9">
        <f t="shared" si="125"/>
        <v>15701488</v>
      </c>
      <c r="K800" s="21">
        <f t="shared" si="126"/>
        <v>1527.8555757305721</v>
      </c>
      <c r="L800" s="4" t="str">
        <f t="shared" si="122"/>
        <v>BUY</v>
      </c>
      <c r="M800" s="4">
        <f t="shared" si="127"/>
        <v>0</v>
      </c>
      <c r="N800" s="4">
        <f t="shared" si="123"/>
        <v>1</v>
      </c>
      <c r="O800" s="4">
        <f t="shared" si="128"/>
        <v>1340.5</v>
      </c>
      <c r="P800" s="4">
        <f t="shared" si="129"/>
        <v>0</v>
      </c>
    </row>
    <row r="801" spans="1:16" x14ac:dyDescent="0.25">
      <c r="A801" s="1">
        <v>42397</v>
      </c>
      <c r="B801">
        <v>1575</v>
      </c>
      <c r="C801">
        <v>1589.55</v>
      </c>
      <c r="D801">
        <v>1556.65</v>
      </c>
      <c r="E801" s="7">
        <v>1566.2</v>
      </c>
      <c r="F801">
        <v>1110665</v>
      </c>
      <c r="G801" s="8">
        <f t="shared" si="120"/>
        <v>1570.8</v>
      </c>
      <c r="H801" s="9">
        <f t="shared" si="121"/>
        <v>1744632582</v>
      </c>
      <c r="I801" s="9">
        <f t="shared" si="124"/>
        <v>24465492235.733334</v>
      </c>
      <c r="J801" s="9">
        <f t="shared" si="125"/>
        <v>15947138</v>
      </c>
      <c r="K801" s="21">
        <f t="shared" si="126"/>
        <v>1534.1619440261527</v>
      </c>
      <c r="L801" s="4" t="str">
        <f t="shared" si="122"/>
        <v>BUY</v>
      </c>
      <c r="M801" s="4">
        <f t="shared" si="127"/>
        <v>0</v>
      </c>
      <c r="N801" s="4">
        <f t="shared" si="123"/>
        <v>1</v>
      </c>
      <c r="O801" s="4">
        <f t="shared" si="128"/>
        <v>1340.5</v>
      </c>
      <c r="P801" s="4">
        <f t="shared" si="129"/>
        <v>0</v>
      </c>
    </row>
    <row r="802" spans="1:16" x14ac:dyDescent="0.25">
      <c r="A802" s="1">
        <v>42398</v>
      </c>
      <c r="B802">
        <v>1558</v>
      </c>
      <c r="C802">
        <v>1567.95</v>
      </c>
      <c r="D802">
        <v>1548</v>
      </c>
      <c r="E802" s="7">
        <v>1560.5</v>
      </c>
      <c r="F802">
        <v>904726</v>
      </c>
      <c r="G802" s="8">
        <f t="shared" si="120"/>
        <v>1558.8166666666666</v>
      </c>
      <c r="H802" s="9">
        <f t="shared" si="121"/>
        <v>1410301967.5666666</v>
      </c>
      <c r="I802" s="9">
        <f t="shared" si="124"/>
        <v>23753448482.549999</v>
      </c>
      <c r="J802" s="9">
        <f t="shared" si="125"/>
        <v>15425029</v>
      </c>
      <c r="K802" s="21">
        <f t="shared" si="126"/>
        <v>1539.9289351449518</v>
      </c>
      <c r="L802" s="4" t="str">
        <f t="shared" si="122"/>
        <v>BUY</v>
      </c>
      <c r="M802" s="4">
        <f t="shared" si="127"/>
        <v>0</v>
      </c>
      <c r="N802" s="4">
        <f t="shared" si="123"/>
        <v>1</v>
      </c>
      <c r="O802" s="4">
        <f t="shared" si="128"/>
        <v>1340.5</v>
      </c>
      <c r="P802" s="4">
        <f t="shared" si="129"/>
        <v>0</v>
      </c>
    </row>
    <row r="803" spans="1:16" x14ac:dyDescent="0.25">
      <c r="A803" s="1">
        <v>42401</v>
      </c>
      <c r="B803">
        <v>1556.05</v>
      </c>
      <c r="C803">
        <v>1558.7</v>
      </c>
      <c r="D803">
        <v>1548</v>
      </c>
      <c r="E803" s="7">
        <v>1551.7</v>
      </c>
      <c r="F803">
        <v>897248</v>
      </c>
      <c r="G803" s="8">
        <f t="shared" si="120"/>
        <v>1552.8</v>
      </c>
      <c r="H803" s="9">
        <f t="shared" si="121"/>
        <v>1393246694.3999999</v>
      </c>
      <c r="I803" s="9">
        <f t="shared" si="124"/>
        <v>23244715520.100002</v>
      </c>
      <c r="J803" s="9">
        <f t="shared" si="125"/>
        <v>15043936</v>
      </c>
      <c r="K803" s="21">
        <f t="shared" si="126"/>
        <v>1545.1219361807975</v>
      </c>
      <c r="L803" s="4" t="str">
        <f t="shared" si="122"/>
        <v>BUY</v>
      </c>
      <c r="M803" s="4">
        <f t="shared" si="127"/>
        <v>0</v>
      </c>
      <c r="N803" s="4">
        <f t="shared" si="123"/>
        <v>1</v>
      </c>
      <c r="O803" s="4">
        <f t="shared" si="128"/>
        <v>1340.5</v>
      </c>
      <c r="P803" s="4">
        <f t="shared" si="129"/>
        <v>0</v>
      </c>
    </row>
    <row r="804" spans="1:16" x14ac:dyDescent="0.25">
      <c r="A804" s="1">
        <v>42402</v>
      </c>
      <c r="B804">
        <v>1557</v>
      </c>
      <c r="C804">
        <v>1577</v>
      </c>
      <c r="D804">
        <v>1543.8</v>
      </c>
      <c r="E804" s="7">
        <v>1567.7</v>
      </c>
      <c r="F804">
        <v>1525609</v>
      </c>
      <c r="G804" s="8">
        <f t="shared" si="120"/>
        <v>1562.8333333333333</v>
      </c>
      <c r="H804" s="9">
        <f t="shared" si="121"/>
        <v>2384272598.833333</v>
      </c>
      <c r="I804" s="9">
        <f t="shared" si="124"/>
        <v>22158531068.266666</v>
      </c>
      <c r="J804" s="9">
        <f t="shared" si="125"/>
        <v>14269833</v>
      </c>
      <c r="K804" s="21">
        <f t="shared" si="126"/>
        <v>1552.8234330609662</v>
      </c>
      <c r="L804" s="4" t="str">
        <f t="shared" si="122"/>
        <v>BUY</v>
      </c>
      <c r="M804" s="4">
        <f t="shared" si="127"/>
        <v>0</v>
      </c>
      <c r="N804" s="4">
        <f t="shared" si="123"/>
        <v>1</v>
      </c>
      <c r="O804" s="4">
        <f t="shared" si="128"/>
        <v>1340.5</v>
      </c>
      <c r="P804" s="4">
        <f t="shared" si="129"/>
        <v>0</v>
      </c>
    </row>
    <row r="805" spans="1:16" x14ac:dyDescent="0.25">
      <c r="A805" s="1">
        <v>42403</v>
      </c>
      <c r="B805">
        <v>1572</v>
      </c>
      <c r="C805">
        <v>1580.4</v>
      </c>
      <c r="D805">
        <v>1560.6</v>
      </c>
      <c r="E805" s="7">
        <v>1570.25</v>
      </c>
      <c r="F805">
        <v>2106199</v>
      </c>
      <c r="G805" s="8">
        <f t="shared" si="120"/>
        <v>1570.4166666666667</v>
      </c>
      <c r="H805" s="9">
        <f t="shared" si="121"/>
        <v>3307610012.916667</v>
      </c>
      <c r="I805" s="9">
        <f t="shared" si="124"/>
        <v>23556443811.666668</v>
      </c>
      <c r="J805" s="9">
        <f t="shared" si="125"/>
        <v>15107369</v>
      </c>
      <c r="K805" s="21">
        <f t="shared" si="126"/>
        <v>1559.2684478459928</v>
      </c>
      <c r="L805" s="4" t="str">
        <f t="shared" si="122"/>
        <v>BUY</v>
      </c>
      <c r="M805" s="4">
        <f t="shared" si="127"/>
        <v>0</v>
      </c>
      <c r="N805" s="4">
        <f t="shared" si="123"/>
        <v>1</v>
      </c>
      <c r="O805" s="4">
        <f t="shared" si="128"/>
        <v>1340.5</v>
      </c>
      <c r="P805" s="4">
        <f t="shared" si="129"/>
        <v>0</v>
      </c>
    </row>
    <row r="806" spans="1:16" x14ac:dyDescent="0.25">
      <c r="A806" s="1">
        <v>42404</v>
      </c>
      <c r="B806">
        <v>1559.85</v>
      </c>
      <c r="C806">
        <v>1573.65</v>
      </c>
      <c r="D806">
        <v>1554.4</v>
      </c>
      <c r="E806" s="7">
        <v>1566.95</v>
      </c>
      <c r="F806">
        <v>847494</v>
      </c>
      <c r="G806" s="8">
        <f t="shared" si="120"/>
        <v>1565</v>
      </c>
      <c r="H806" s="9">
        <f t="shared" si="121"/>
        <v>1326328110</v>
      </c>
      <c r="I806" s="9">
        <f t="shared" si="124"/>
        <v>22518118349.733334</v>
      </c>
      <c r="J806" s="9">
        <f t="shared" si="125"/>
        <v>14386825</v>
      </c>
      <c r="K806" s="21">
        <f t="shared" si="126"/>
        <v>1565.1902591248127</v>
      </c>
      <c r="L806" s="4" t="str">
        <f t="shared" si="122"/>
        <v>BUY</v>
      </c>
      <c r="M806" s="4">
        <f t="shared" si="127"/>
        <v>0</v>
      </c>
      <c r="N806" s="4">
        <f t="shared" si="123"/>
        <v>1</v>
      </c>
      <c r="O806" s="4">
        <f t="shared" si="128"/>
        <v>1340.5</v>
      </c>
      <c r="P806" s="4">
        <f t="shared" si="129"/>
        <v>0</v>
      </c>
    </row>
    <row r="807" spans="1:16" x14ac:dyDescent="0.25">
      <c r="A807" s="1">
        <v>42405</v>
      </c>
      <c r="B807">
        <v>1564.5</v>
      </c>
      <c r="C807">
        <v>1564.5</v>
      </c>
      <c r="D807">
        <v>1540.45</v>
      </c>
      <c r="E807" s="7">
        <v>1546.75</v>
      </c>
      <c r="F807">
        <v>1869955</v>
      </c>
      <c r="G807" s="8">
        <f t="shared" si="120"/>
        <v>1550.5666666666666</v>
      </c>
      <c r="H807" s="9">
        <f t="shared" si="121"/>
        <v>2899489891.1666665</v>
      </c>
      <c r="I807" s="9">
        <f t="shared" si="124"/>
        <v>22784963581.816669</v>
      </c>
      <c r="J807" s="9">
        <f t="shared" si="125"/>
        <v>14536753</v>
      </c>
      <c r="K807" s="21">
        <f t="shared" si="126"/>
        <v>1567.4039162539716</v>
      </c>
      <c r="L807" s="4" t="str">
        <f t="shared" si="122"/>
        <v>SELL</v>
      </c>
      <c r="M807" s="4" t="str">
        <f t="shared" si="127"/>
        <v>SELL</v>
      </c>
      <c r="N807" s="4">
        <f t="shared" si="123"/>
        <v>-1</v>
      </c>
      <c r="O807" s="4">
        <f t="shared" si="128"/>
        <v>1546.75</v>
      </c>
      <c r="P807" s="4">
        <f t="shared" si="129"/>
        <v>0.15386049981350242</v>
      </c>
    </row>
    <row r="808" spans="1:16" x14ac:dyDescent="0.25">
      <c r="A808" s="1">
        <v>42408</v>
      </c>
      <c r="B808">
        <v>1540</v>
      </c>
      <c r="C808">
        <v>1572.65</v>
      </c>
      <c r="D808">
        <v>1539.95</v>
      </c>
      <c r="E808" s="7">
        <v>1557.65</v>
      </c>
      <c r="F808">
        <v>2084068</v>
      </c>
      <c r="G808" s="8">
        <f t="shared" si="120"/>
        <v>1556.75</v>
      </c>
      <c r="H808" s="9">
        <f t="shared" si="121"/>
        <v>3244372859</v>
      </c>
      <c r="I808" s="9">
        <f t="shared" si="124"/>
        <v>24242291406.900002</v>
      </c>
      <c r="J808" s="9">
        <f t="shared" si="125"/>
        <v>15471066</v>
      </c>
      <c r="K808" s="21">
        <f t="shared" si="126"/>
        <v>1566.9438296559526</v>
      </c>
      <c r="L808" s="4" t="str">
        <f t="shared" si="122"/>
        <v>SELL</v>
      </c>
      <c r="M808" s="4">
        <f t="shared" si="127"/>
        <v>0</v>
      </c>
      <c r="N808" s="4">
        <f t="shared" si="123"/>
        <v>-1</v>
      </c>
      <c r="O808" s="4">
        <f t="shared" si="128"/>
        <v>1546.75</v>
      </c>
      <c r="P808" s="4">
        <f t="shared" si="129"/>
        <v>0</v>
      </c>
    </row>
    <row r="809" spans="1:16" x14ac:dyDescent="0.25">
      <c r="A809" s="1">
        <v>42409</v>
      </c>
      <c r="B809">
        <v>1563</v>
      </c>
      <c r="C809">
        <v>1574.4</v>
      </c>
      <c r="D809">
        <v>1553.7</v>
      </c>
      <c r="E809" s="7">
        <v>1559.95</v>
      </c>
      <c r="F809">
        <v>832302</v>
      </c>
      <c r="G809" s="8">
        <f t="shared" si="120"/>
        <v>1562.6833333333334</v>
      </c>
      <c r="H809" s="9">
        <f t="shared" si="121"/>
        <v>1300624463.7</v>
      </c>
      <c r="I809" s="9">
        <f t="shared" si="124"/>
        <v>22450578855.816669</v>
      </c>
      <c r="J809" s="9">
        <f t="shared" si="125"/>
        <v>14349017</v>
      </c>
      <c r="K809" s="21">
        <f t="shared" si="126"/>
        <v>1564.6074470339445</v>
      </c>
      <c r="L809" s="4" t="str">
        <f t="shared" si="122"/>
        <v>SELL</v>
      </c>
      <c r="M809" s="4">
        <f t="shared" si="127"/>
        <v>0</v>
      </c>
      <c r="N809" s="4">
        <f t="shared" si="123"/>
        <v>-1</v>
      </c>
      <c r="O809" s="4">
        <f t="shared" si="128"/>
        <v>1546.75</v>
      </c>
      <c r="P809" s="4">
        <f t="shared" si="129"/>
        <v>0</v>
      </c>
    </row>
    <row r="810" spans="1:16" x14ac:dyDescent="0.25">
      <c r="A810" s="1">
        <v>42410</v>
      </c>
      <c r="B810">
        <v>1561.4</v>
      </c>
      <c r="C810">
        <v>1562.1</v>
      </c>
      <c r="D810">
        <v>1532</v>
      </c>
      <c r="E810" s="7">
        <v>1542.15</v>
      </c>
      <c r="F810">
        <v>1357228</v>
      </c>
      <c r="G810" s="8">
        <f t="shared" si="120"/>
        <v>1545.4166666666667</v>
      </c>
      <c r="H810" s="9">
        <f t="shared" si="121"/>
        <v>2097482771.6666667</v>
      </c>
      <c r="I810" s="9">
        <f t="shared" si="124"/>
        <v>21108361951.25</v>
      </c>
      <c r="J810" s="9">
        <f t="shared" si="125"/>
        <v>13535494</v>
      </c>
      <c r="K810" s="21">
        <f t="shared" si="126"/>
        <v>1559.4821992643933</v>
      </c>
      <c r="L810" s="4" t="str">
        <f t="shared" si="122"/>
        <v>SELL</v>
      </c>
      <c r="M810" s="4">
        <f t="shared" si="127"/>
        <v>0</v>
      </c>
      <c r="N810" s="4">
        <f t="shared" si="123"/>
        <v>-1</v>
      </c>
      <c r="O810" s="4">
        <f t="shared" si="128"/>
        <v>1546.75</v>
      </c>
      <c r="P810" s="4">
        <f t="shared" si="129"/>
        <v>0</v>
      </c>
    </row>
    <row r="811" spans="1:16" x14ac:dyDescent="0.25">
      <c r="A811" s="1">
        <v>42411</v>
      </c>
      <c r="B811">
        <v>1548.5</v>
      </c>
      <c r="C811">
        <v>1552</v>
      </c>
      <c r="D811">
        <v>1528.4</v>
      </c>
      <c r="E811" s="7">
        <v>1543.35</v>
      </c>
      <c r="F811">
        <v>928658</v>
      </c>
      <c r="G811" s="8">
        <f t="shared" si="120"/>
        <v>1541.25</v>
      </c>
      <c r="H811" s="9">
        <f t="shared" si="121"/>
        <v>1431294142.5</v>
      </c>
      <c r="I811" s="9">
        <f t="shared" si="124"/>
        <v>20795023511.75</v>
      </c>
      <c r="J811" s="9">
        <f t="shared" si="125"/>
        <v>13353487</v>
      </c>
      <c r="K811" s="21">
        <f t="shared" si="126"/>
        <v>1557.2729064513262</v>
      </c>
      <c r="L811" s="4" t="str">
        <f t="shared" si="122"/>
        <v>SELL</v>
      </c>
      <c r="M811" s="4">
        <f t="shared" si="127"/>
        <v>0</v>
      </c>
      <c r="N811" s="4">
        <f t="shared" si="123"/>
        <v>-1</v>
      </c>
      <c r="O811" s="4">
        <f t="shared" si="128"/>
        <v>1546.75</v>
      </c>
      <c r="P811" s="4">
        <f t="shared" si="129"/>
        <v>0</v>
      </c>
    </row>
    <row r="812" spans="1:16" x14ac:dyDescent="0.25">
      <c r="A812" s="1">
        <v>42412</v>
      </c>
      <c r="B812">
        <v>1540.1</v>
      </c>
      <c r="C812">
        <v>1570</v>
      </c>
      <c r="D812">
        <v>1536.15</v>
      </c>
      <c r="E812" s="7">
        <v>1556.35</v>
      </c>
      <c r="F812">
        <v>890768</v>
      </c>
      <c r="G812" s="8">
        <f t="shared" si="120"/>
        <v>1554.1666666666667</v>
      </c>
      <c r="H812" s="9">
        <f t="shared" si="121"/>
        <v>1384401933.3333335</v>
      </c>
      <c r="I812" s="9">
        <f t="shared" si="124"/>
        <v>20769123477.516666</v>
      </c>
      <c r="J812" s="9">
        <f t="shared" si="125"/>
        <v>13339529</v>
      </c>
      <c r="K812" s="21">
        <f t="shared" si="126"/>
        <v>1556.9607800632741</v>
      </c>
      <c r="L812" s="4" t="str">
        <f t="shared" si="122"/>
        <v>SELL</v>
      </c>
      <c r="M812" s="4">
        <f t="shared" si="127"/>
        <v>0</v>
      </c>
      <c r="N812" s="4">
        <f t="shared" si="123"/>
        <v>-1</v>
      </c>
      <c r="O812" s="4">
        <f t="shared" si="128"/>
        <v>1546.75</v>
      </c>
      <c r="P812" s="4">
        <f t="shared" si="129"/>
        <v>0</v>
      </c>
    </row>
    <row r="813" spans="1:16" x14ac:dyDescent="0.25">
      <c r="A813" s="1">
        <v>42415</v>
      </c>
      <c r="B813">
        <v>1556</v>
      </c>
      <c r="C813">
        <v>1583.4</v>
      </c>
      <c r="D813">
        <v>1541.65</v>
      </c>
      <c r="E813" s="7">
        <v>1575.75</v>
      </c>
      <c r="F813">
        <v>1532831</v>
      </c>
      <c r="G813" s="8">
        <f t="shared" si="120"/>
        <v>1566.9333333333334</v>
      </c>
      <c r="H813" s="9">
        <f t="shared" si="121"/>
        <v>2401843988.2666669</v>
      </c>
      <c r="I813" s="9">
        <f t="shared" si="124"/>
        <v>21777720771.383331</v>
      </c>
      <c r="J813" s="9">
        <f t="shared" si="125"/>
        <v>13975112</v>
      </c>
      <c r="K813" s="21">
        <f t="shared" si="126"/>
        <v>1558.3217344793609</v>
      </c>
      <c r="L813" s="4" t="str">
        <f t="shared" si="122"/>
        <v>BUY</v>
      </c>
      <c r="M813" s="4" t="str">
        <f t="shared" si="127"/>
        <v>BUY</v>
      </c>
      <c r="N813" s="4">
        <f t="shared" si="123"/>
        <v>1</v>
      </c>
      <c r="O813" s="4">
        <f t="shared" si="128"/>
        <v>1575.75</v>
      </c>
      <c r="P813" s="4">
        <f t="shared" si="129"/>
        <v>-1.874898981735898E-2</v>
      </c>
    </row>
    <row r="814" spans="1:16" x14ac:dyDescent="0.25">
      <c r="A814" s="1">
        <v>42416</v>
      </c>
      <c r="B814">
        <v>1565</v>
      </c>
      <c r="C814">
        <v>1573.7</v>
      </c>
      <c r="D814">
        <v>1551.25</v>
      </c>
      <c r="E814" s="7">
        <v>1556.85</v>
      </c>
      <c r="F814">
        <v>484406</v>
      </c>
      <c r="G814" s="8">
        <f t="shared" si="120"/>
        <v>1560.5999999999997</v>
      </c>
      <c r="H814" s="9">
        <f t="shared" si="121"/>
        <v>755964003.5999999</v>
      </c>
      <c r="I814" s="9">
        <f t="shared" si="124"/>
        <v>20149412176.150002</v>
      </c>
      <c r="J814" s="9">
        <f t="shared" si="125"/>
        <v>12933909</v>
      </c>
      <c r="K814" s="21">
        <f t="shared" si="126"/>
        <v>1557.8748989304008</v>
      </c>
      <c r="L814" s="4" t="str">
        <f t="shared" si="122"/>
        <v>SELL</v>
      </c>
      <c r="M814" s="4" t="str">
        <f t="shared" si="127"/>
        <v>SELL</v>
      </c>
      <c r="N814" s="4">
        <f t="shared" si="123"/>
        <v>-1</v>
      </c>
      <c r="O814" s="4">
        <f t="shared" si="128"/>
        <v>1556.85</v>
      </c>
      <c r="P814" s="4">
        <f t="shared" si="129"/>
        <v>-1.1994288434079068E-2</v>
      </c>
    </row>
    <row r="815" spans="1:16" x14ac:dyDescent="0.25">
      <c r="A815" s="1">
        <v>42417</v>
      </c>
      <c r="B815">
        <v>1556</v>
      </c>
      <c r="C815">
        <v>1571.2</v>
      </c>
      <c r="D815">
        <v>1541.25</v>
      </c>
      <c r="E815" s="7">
        <v>1567.35</v>
      </c>
      <c r="F815">
        <v>565166</v>
      </c>
      <c r="G815" s="8">
        <f t="shared" si="120"/>
        <v>1559.9333333333332</v>
      </c>
      <c r="H815" s="9">
        <f t="shared" si="121"/>
        <v>881621282.26666653</v>
      </c>
      <c r="I815" s="9">
        <f t="shared" si="124"/>
        <v>17723423445.5</v>
      </c>
      <c r="J815" s="9">
        <f t="shared" si="125"/>
        <v>11392876</v>
      </c>
      <c r="K815" s="21">
        <f t="shared" si="126"/>
        <v>1555.6584171986074</v>
      </c>
      <c r="L815" s="4" t="str">
        <f t="shared" si="122"/>
        <v>BUY</v>
      </c>
      <c r="M815" s="4" t="str">
        <f t="shared" si="127"/>
        <v>BUY</v>
      </c>
      <c r="N815" s="4">
        <f t="shared" si="123"/>
        <v>1</v>
      </c>
      <c r="O815" s="4">
        <f t="shared" si="128"/>
        <v>1567.35</v>
      </c>
      <c r="P815" s="4">
        <f t="shared" si="129"/>
        <v>-6.7443877059446961E-3</v>
      </c>
    </row>
    <row r="816" spans="1:16" x14ac:dyDescent="0.25">
      <c r="A816" s="1">
        <v>42418</v>
      </c>
      <c r="B816">
        <v>1570</v>
      </c>
      <c r="C816">
        <v>1575</v>
      </c>
      <c r="D816">
        <v>1531</v>
      </c>
      <c r="E816" s="7">
        <v>1543.4</v>
      </c>
      <c r="F816">
        <v>479966</v>
      </c>
      <c r="G816" s="8">
        <f t="shared" si="120"/>
        <v>1549.8</v>
      </c>
      <c r="H816" s="9">
        <f t="shared" si="121"/>
        <v>743851306.79999995</v>
      </c>
      <c r="I816" s="9">
        <f t="shared" si="124"/>
        <v>17140946642.299999</v>
      </c>
      <c r="J816" s="9">
        <f t="shared" si="125"/>
        <v>11025348</v>
      </c>
      <c r="K816" s="21">
        <f t="shared" si="126"/>
        <v>1554.68531626394</v>
      </c>
      <c r="L816" s="4" t="str">
        <f t="shared" si="122"/>
        <v>SELL</v>
      </c>
      <c r="M816" s="4" t="str">
        <f t="shared" si="127"/>
        <v>SELL</v>
      </c>
      <c r="N816" s="4">
        <f t="shared" si="123"/>
        <v>-1</v>
      </c>
      <c r="O816" s="4">
        <f t="shared" si="128"/>
        <v>1543.4</v>
      </c>
      <c r="P816" s="4">
        <f t="shared" si="129"/>
        <v>-1.5280569113471669E-2</v>
      </c>
    </row>
    <row r="817" spans="1:16" x14ac:dyDescent="0.25">
      <c r="A817" s="1">
        <v>42419</v>
      </c>
      <c r="B817">
        <v>1540.1</v>
      </c>
      <c r="C817">
        <v>1540.1</v>
      </c>
      <c r="D817">
        <v>1501</v>
      </c>
      <c r="E817" s="7">
        <v>1507.8</v>
      </c>
      <c r="F817">
        <v>563169</v>
      </c>
      <c r="G817" s="8">
        <f t="shared" si="120"/>
        <v>1516.3</v>
      </c>
      <c r="H817" s="9">
        <f t="shared" si="121"/>
        <v>853933154.69999993</v>
      </c>
      <c r="I817" s="9">
        <f t="shared" si="124"/>
        <v>15095389905.833334</v>
      </c>
      <c r="J817" s="9">
        <f t="shared" si="125"/>
        <v>9718562</v>
      </c>
      <c r="K817" s="21">
        <f t="shared" si="126"/>
        <v>1553.2534448855019</v>
      </c>
      <c r="L817" s="4" t="str">
        <f t="shared" si="122"/>
        <v>SELL</v>
      </c>
      <c r="M817" s="4">
        <f t="shared" si="127"/>
        <v>0</v>
      </c>
      <c r="N817" s="4">
        <f t="shared" si="123"/>
        <v>-1</v>
      </c>
      <c r="O817" s="4">
        <f t="shared" si="128"/>
        <v>1543.4</v>
      </c>
      <c r="P817" s="4">
        <f t="shared" si="129"/>
        <v>0</v>
      </c>
    </row>
    <row r="818" spans="1:16" x14ac:dyDescent="0.25">
      <c r="A818" s="1">
        <v>42422</v>
      </c>
      <c r="B818">
        <v>1505</v>
      </c>
      <c r="C818">
        <v>1509.35</v>
      </c>
      <c r="D818">
        <v>1484.1</v>
      </c>
      <c r="E818" s="7">
        <v>1498.35</v>
      </c>
      <c r="F818">
        <v>932624</v>
      </c>
      <c r="G818" s="8">
        <f t="shared" si="120"/>
        <v>1497.2666666666664</v>
      </c>
      <c r="H818" s="9">
        <f t="shared" si="121"/>
        <v>1396386827.7333331</v>
      </c>
      <c r="I818" s="9">
        <f t="shared" si="124"/>
        <v>13247403874.566668</v>
      </c>
      <c r="J818" s="9">
        <f t="shared" si="125"/>
        <v>8567118</v>
      </c>
      <c r="K818" s="21">
        <f t="shared" si="126"/>
        <v>1546.3080903714256</v>
      </c>
      <c r="L818" s="4" t="str">
        <f t="shared" si="122"/>
        <v>SELL</v>
      </c>
      <c r="M818" s="4">
        <f t="shared" si="127"/>
        <v>0</v>
      </c>
      <c r="N818" s="4">
        <f t="shared" si="123"/>
        <v>-1</v>
      </c>
      <c r="O818" s="4">
        <f t="shared" si="128"/>
        <v>1543.4</v>
      </c>
      <c r="P818" s="4">
        <f t="shared" si="129"/>
        <v>0</v>
      </c>
    </row>
    <row r="819" spans="1:16" x14ac:dyDescent="0.25">
      <c r="A819" s="1">
        <v>42423</v>
      </c>
      <c r="B819">
        <v>1498.9</v>
      </c>
      <c r="C819">
        <v>1498.9</v>
      </c>
      <c r="D819">
        <v>1475</v>
      </c>
      <c r="E819" s="7">
        <v>1480.75</v>
      </c>
      <c r="F819">
        <v>448208</v>
      </c>
      <c r="G819" s="8">
        <f t="shared" si="120"/>
        <v>1484.8833333333332</v>
      </c>
      <c r="H819" s="9">
        <f t="shared" si="121"/>
        <v>665536589.0666666</v>
      </c>
      <c r="I819" s="9">
        <f t="shared" si="124"/>
        <v>12612315999.933334</v>
      </c>
      <c r="J819" s="9">
        <f t="shared" si="125"/>
        <v>8183024</v>
      </c>
      <c r="K819" s="21">
        <f t="shared" si="126"/>
        <v>1541.2781387337168</v>
      </c>
      <c r="L819" s="4" t="str">
        <f t="shared" si="122"/>
        <v>SELL</v>
      </c>
      <c r="M819" s="4">
        <f t="shared" si="127"/>
        <v>0</v>
      </c>
      <c r="N819" s="4">
        <f t="shared" si="123"/>
        <v>-1</v>
      </c>
      <c r="O819" s="4">
        <f t="shared" si="128"/>
        <v>1543.4</v>
      </c>
      <c r="P819" s="4">
        <f t="shared" si="129"/>
        <v>0</v>
      </c>
    </row>
    <row r="820" spans="1:16" x14ac:dyDescent="0.25">
      <c r="A820" s="1">
        <v>42424</v>
      </c>
      <c r="B820">
        <v>1480</v>
      </c>
      <c r="C820">
        <v>1513</v>
      </c>
      <c r="D820">
        <v>1477.6</v>
      </c>
      <c r="E820" s="7">
        <v>1497.4</v>
      </c>
      <c r="F820">
        <v>836177</v>
      </c>
      <c r="G820" s="8">
        <f t="shared" si="120"/>
        <v>1496</v>
      </c>
      <c r="H820" s="9">
        <f t="shared" si="121"/>
        <v>1250920792</v>
      </c>
      <c r="I820" s="9">
        <f t="shared" si="124"/>
        <v>11765754020.266666</v>
      </c>
      <c r="J820" s="9">
        <f t="shared" si="125"/>
        <v>7661973</v>
      </c>
      <c r="K820" s="21">
        <f t="shared" si="126"/>
        <v>1535.6036911467406</v>
      </c>
      <c r="L820" s="4" t="str">
        <f t="shared" si="122"/>
        <v>SELL</v>
      </c>
      <c r="M820" s="4">
        <f t="shared" si="127"/>
        <v>0</v>
      </c>
      <c r="N820" s="4">
        <f t="shared" si="123"/>
        <v>-1</v>
      </c>
      <c r="O820" s="4">
        <f t="shared" si="128"/>
        <v>1543.4</v>
      </c>
      <c r="P820" s="4">
        <f t="shared" si="129"/>
        <v>0</v>
      </c>
    </row>
    <row r="821" spans="1:16" x14ac:dyDescent="0.25">
      <c r="A821" s="1">
        <v>42425</v>
      </c>
      <c r="B821">
        <v>1509.9</v>
      </c>
      <c r="C821">
        <v>1538.9</v>
      </c>
      <c r="D821">
        <v>1501</v>
      </c>
      <c r="E821" s="7">
        <v>1530.45</v>
      </c>
      <c r="F821">
        <v>1023142</v>
      </c>
      <c r="G821" s="8">
        <f t="shared" si="120"/>
        <v>1523.45</v>
      </c>
      <c r="H821" s="9">
        <f t="shared" si="121"/>
        <v>1558705679.9000001</v>
      </c>
      <c r="I821" s="9">
        <f t="shared" si="124"/>
        <v>11893165557.666666</v>
      </c>
      <c r="J821" s="9">
        <f t="shared" si="125"/>
        <v>7756457</v>
      </c>
      <c r="K821" s="21">
        <f t="shared" si="126"/>
        <v>1533.3245008212727</v>
      </c>
      <c r="L821" s="4" t="str">
        <f t="shared" si="122"/>
        <v>SELL</v>
      </c>
      <c r="M821" s="4">
        <f t="shared" si="127"/>
        <v>0</v>
      </c>
      <c r="N821" s="4">
        <f t="shared" si="123"/>
        <v>-1</v>
      </c>
      <c r="O821" s="4">
        <f t="shared" si="128"/>
        <v>1543.4</v>
      </c>
      <c r="P821" s="4">
        <f t="shared" si="129"/>
        <v>0</v>
      </c>
    </row>
    <row r="822" spans="1:16" x14ac:dyDescent="0.25">
      <c r="A822" s="1">
        <v>42426</v>
      </c>
      <c r="B822">
        <v>1540</v>
      </c>
      <c r="C822">
        <v>1550.1</v>
      </c>
      <c r="D822">
        <v>1520.7</v>
      </c>
      <c r="E822" s="7">
        <v>1536.9</v>
      </c>
      <c r="F822">
        <v>1122329</v>
      </c>
      <c r="G822" s="8">
        <f t="shared" si="120"/>
        <v>1535.9000000000003</v>
      </c>
      <c r="H822" s="9">
        <f t="shared" si="121"/>
        <v>1723785111.1000004</v>
      </c>
      <c r="I822" s="9">
        <f t="shared" si="124"/>
        <v>12232548735.433334</v>
      </c>
      <c r="J822" s="9">
        <f t="shared" si="125"/>
        <v>7988018</v>
      </c>
      <c r="K822" s="21">
        <f t="shared" si="126"/>
        <v>1531.3621896487132</v>
      </c>
      <c r="L822" s="4" t="str">
        <f t="shared" si="122"/>
        <v>BUY</v>
      </c>
      <c r="M822" s="4" t="str">
        <f t="shared" si="127"/>
        <v>BUY</v>
      </c>
      <c r="N822" s="4">
        <f t="shared" si="123"/>
        <v>1</v>
      </c>
      <c r="O822" s="4">
        <f t="shared" si="128"/>
        <v>1536.9</v>
      </c>
      <c r="P822" s="4">
        <f t="shared" si="129"/>
        <v>4.2114811455228711E-3</v>
      </c>
    </row>
    <row r="823" spans="1:16" x14ac:dyDescent="0.25">
      <c r="A823" s="1">
        <v>42429</v>
      </c>
      <c r="B823">
        <v>1481.9</v>
      </c>
      <c r="C823">
        <v>1524.5</v>
      </c>
      <c r="D823">
        <v>1478.35</v>
      </c>
      <c r="E823" s="7">
        <v>1511.75</v>
      </c>
      <c r="F823">
        <v>2516030</v>
      </c>
      <c r="G823" s="8">
        <f t="shared" si="120"/>
        <v>1504.8666666666668</v>
      </c>
      <c r="H823" s="9">
        <f t="shared" si="121"/>
        <v>3786289679.3333335</v>
      </c>
      <c r="I823" s="9">
        <f t="shared" si="124"/>
        <v>13616994426.5</v>
      </c>
      <c r="J823" s="9">
        <f t="shared" si="125"/>
        <v>8971217</v>
      </c>
      <c r="K823" s="21">
        <f t="shared" si="126"/>
        <v>1517.8536453303939</v>
      </c>
      <c r="L823" s="4" t="str">
        <f t="shared" si="122"/>
        <v>SELL</v>
      </c>
      <c r="M823" s="4" t="str">
        <f t="shared" si="127"/>
        <v>SELL</v>
      </c>
      <c r="N823" s="4">
        <f t="shared" si="123"/>
        <v>-1</v>
      </c>
      <c r="O823" s="4">
        <f t="shared" si="128"/>
        <v>1511.75</v>
      </c>
      <c r="P823" s="4">
        <f t="shared" si="129"/>
        <v>-1.6364109571214841E-2</v>
      </c>
    </row>
    <row r="824" spans="1:16" x14ac:dyDescent="0.25">
      <c r="A824" s="1">
        <v>42430</v>
      </c>
      <c r="B824">
        <v>1513.5</v>
      </c>
      <c r="C824">
        <v>1514</v>
      </c>
      <c r="D824">
        <v>1448.35</v>
      </c>
      <c r="E824" s="7">
        <v>1472.45</v>
      </c>
      <c r="F824">
        <v>2695748</v>
      </c>
      <c r="G824" s="8">
        <f t="shared" si="120"/>
        <v>1478.2666666666667</v>
      </c>
      <c r="H824" s="9">
        <f t="shared" si="121"/>
        <v>3985034410.1333332</v>
      </c>
      <c r="I824" s="9">
        <f t="shared" si="124"/>
        <v>16846064833.033333</v>
      </c>
      <c r="J824" s="9">
        <f t="shared" si="125"/>
        <v>11182559</v>
      </c>
      <c r="K824" s="21">
        <f t="shared" si="126"/>
        <v>1506.4588376447048</v>
      </c>
      <c r="L824" s="4" t="str">
        <f t="shared" si="122"/>
        <v>SELL</v>
      </c>
      <c r="M824" s="4">
        <f t="shared" si="127"/>
        <v>0</v>
      </c>
      <c r="N824" s="4">
        <f t="shared" si="123"/>
        <v>-1</v>
      </c>
      <c r="O824" s="4">
        <f t="shared" si="128"/>
        <v>1511.75</v>
      </c>
      <c r="P824" s="4">
        <f t="shared" si="129"/>
        <v>0</v>
      </c>
    </row>
    <row r="825" spans="1:16" x14ac:dyDescent="0.25">
      <c r="A825" s="1">
        <v>42431</v>
      </c>
      <c r="B825">
        <v>1470</v>
      </c>
      <c r="C825">
        <v>1493.45</v>
      </c>
      <c r="D825">
        <v>1457.95</v>
      </c>
      <c r="E825" s="7">
        <v>1483.15</v>
      </c>
      <c r="F825">
        <v>1535791</v>
      </c>
      <c r="G825" s="8">
        <f t="shared" si="120"/>
        <v>1478.1833333333334</v>
      </c>
      <c r="H825" s="9">
        <f t="shared" si="121"/>
        <v>2270180659.6833334</v>
      </c>
      <c r="I825" s="9">
        <f t="shared" si="124"/>
        <v>18234624210.450001</v>
      </c>
      <c r="J825" s="9">
        <f t="shared" si="125"/>
        <v>12153184</v>
      </c>
      <c r="K825" s="21">
        <f t="shared" si="126"/>
        <v>1500.3989251253006</v>
      </c>
      <c r="L825" s="4" t="str">
        <f t="shared" si="122"/>
        <v>SELL</v>
      </c>
      <c r="M825" s="4">
        <f t="shared" si="127"/>
        <v>0</v>
      </c>
      <c r="N825" s="4">
        <f t="shared" si="123"/>
        <v>-1</v>
      </c>
      <c r="O825" s="4">
        <f t="shared" si="128"/>
        <v>1511.75</v>
      </c>
      <c r="P825" s="4">
        <f t="shared" si="129"/>
        <v>0</v>
      </c>
    </row>
    <row r="826" spans="1:16" x14ac:dyDescent="0.25">
      <c r="A826" s="1">
        <v>42432</v>
      </c>
      <c r="B826">
        <v>1495</v>
      </c>
      <c r="C826">
        <v>1499</v>
      </c>
      <c r="D826">
        <v>1431</v>
      </c>
      <c r="E826" s="7">
        <v>1456.65</v>
      </c>
      <c r="F826">
        <v>2639502</v>
      </c>
      <c r="G826" s="8">
        <f t="shared" si="120"/>
        <v>1462.2166666666665</v>
      </c>
      <c r="H826" s="9">
        <f t="shared" si="121"/>
        <v>3859523816.0999994</v>
      </c>
      <c r="I826" s="9">
        <f t="shared" si="124"/>
        <v>21350296719.75</v>
      </c>
      <c r="J826" s="9">
        <f t="shared" si="125"/>
        <v>14312720</v>
      </c>
      <c r="K826" s="21">
        <f t="shared" si="126"/>
        <v>1491.7008590784981</v>
      </c>
      <c r="L826" s="4" t="str">
        <f t="shared" si="122"/>
        <v>SELL</v>
      </c>
      <c r="M826" s="4">
        <f t="shared" si="127"/>
        <v>0</v>
      </c>
      <c r="N826" s="4">
        <f t="shared" si="123"/>
        <v>-1</v>
      </c>
      <c r="O826" s="4">
        <f t="shared" si="128"/>
        <v>1511.75</v>
      </c>
      <c r="P826" s="4">
        <f t="shared" si="129"/>
        <v>0</v>
      </c>
    </row>
    <row r="827" spans="1:16" x14ac:dyDescent="0.25">
      <c r="A827" s="1">
        <v>42433</v>
      </c>
      <c r="B827">
        <v>1487.95</v>
      </c>
      <c r="C827">
        <v>1494.9</v>
      </c>
      <c r="D827">
        <v>1427.45</v>
      </c>
      <c r="E827" s="7">
        <v>1452.75</v>
      </c>
      <c r="F827">
        <v>4277229</v>
      </c>
      <c r="G827" s="8">
        <f t="shared" si="120"/>
        <v>1458.3666666666668</v>
      </c>
      <c r="H827" s="9">
        <f t="shared" si="121"/>
        <v>6237768199.3000002</v>
      </c>
      <c r="I827" s="9">
        <f t="shared" si="124"/>
        <v>26734131764.349998</v>
      </c>
      <c r="J827" s="9">
        <f t="shared" si="125"/>
        <v>18026780</v>
      </c>
      <c r="K827" s="21">
        <f t="shared" si="126"/>
        <v>1483.0231336017857</v>
      </c>
      <c r="L827" s="4" t="str">
        <f t="shared" si="122"/>
        <v>SELL</v>
      </c>
      <c r="M827" s="4">
        <f t="shared" si="127"/>
        <v>0</v>
      </c>
      <c r="N827" s="4">
        <f t="shared" si="123"/>
        <v>-1</v>
      </c>
      <c r="O827" s="4">
        <f t="shared" si="128"/>
        <v>1511.75</v>
      </c>
      <c r="P827" s="4">
        <f t="shared" si="129"/>
        <v>0</v>
      </c>
    </row>
    <row r="828" spans="1:16" x14ac:dyDescent="0.25">
      <c r="A828" s="1">
        <v>42436</v>
      </c>
      <c r="B828">
        <v>1446</v>
      </c>
      <c r="C828">
        <v>1459.8</v>
      </c>
      <c r="D828">
        <v>1425</v>
      </c>
      <c r="E828" s="7">
        <v>1425.3</v>
      </c>
      <c r="F828">
        <v>1481242</v>
      </c>
      <c r="G828" s="8">
        <f t="shared" si="120"/>
        <v>1436.7</v>
      </c>
      <c r="H828" s="9">
        <f t="shared" si="121"/>
        <v>2128100381.4000001</v>
      </c>
      <c r="I828" s="9">
        <f t="shared" si="124"/>
        <v>27465845318.016666</v>
      </c>
      <c r="J828" s="9">
        <f t="shared" si="125"/>
        <v>18575398</v>
      </c>
      <c r="K828" s="21">
        <f t="shared" si="126"/>
        <v>1478.614095806543</v>
      </c>
      <c r="L828" s="4" t="str">
        <f t="shared" si="122"/>
        <v>SELL</v>
      </c>
      <c r="M828" s="4">
        <f t="shared" si="127"/>
        <v>0</v>
      </c>
      <c r="N828" s="4">
        <f t="shared" si="123"/>
        <v>-1</v>
      </c>
      <c r="O828" s="4">
        <f t="shared" si="128"/>
        <v>1511.75</v>
      </c>
      <c r="P828" s="4">
        <f t="shared" si="129"/>
        <v>0</v>
      </c>
    </row>
    <row r="829" spans="1:16" x14ac:dyDescent="0.25">
      <c r="A829" s="1">
        <v>42437</v>
      </c>
      <c r="B829">
        <v>1424.45</v>
      </c>
      <c r="C829">
        <v>1448</v>
      </c>
      <c r="D829">
        <v>1424</v>
      </c>
      <c r="E829" s="7">
        <v>1430.55</v>
      </c>
      <c r="F829">
        <v>1692085</v>
      </c>
      <c r="G829" s="8">
        <f t="shared" si="120"/>
        <v>1434.1833333333334</v>
      </c>
      <c r="H829" s="9">
        <f t="shared" si="121"/>
        <v>2426760105.5833335</v>
      </c>
      <c r="I829" s="9">
        <f t="shared" si="124"/>
        <v>29227068834.533333</v>
      </c>
      <c r="J829" s="9">
        <f t="shared" si="125"/>
        <v>19819275</v>
      </c>
      <c r="K829" s="21">
        <f t="shared" si="126"/>
        <v>1474.6790099301479</v>
      </c>
      <c r="L829" s="4" t="str">
        <f t="shared" si="122"/>
        <v>SELL</v>
      </c>
      <c r="M829" s="4">
        <f t="shared" si="127"/>
        <v>0</v>
      </c>
      <c r="N829" s="4">
        <f t="shared" si="123"/>
        <v>-1</v>
      </c>
      <c r="O829" s="4">
        <f t="shared" si="128"/>
        <v>1511.75</v>
      </c>
      <c r="P829" s="4">
        <f t="shared" si="129"/>
        <v>0</v>
      </c>
    </row>
    <row r="830" spans="1:16" x14ac:dyDescent="0.25">
      <c r="A830" s="1">
        <v>42438</v>
      </c>
      <c r="B830">
        <v>1430.55</v>
      </c>
      <c r="C830">
        <v>1430.55</v>
      </c>
      <c r="D830">
        <v>1398.65</v>
      </c>
      <c r="E830" s="7">
        <v>1402.3</v>
      </c>
      <c r="F830">
        <v>3964597</v>
      </c>
      <c r="G830" s="8">
        <f t="shared" si="120"/>
        <v>1410.5</v>
      </c>
      <c r="H830" s="9">
        <f t="shared" si="121"/>
        <v>5592064068.5</v>
      </c>
      <c r="I830" s="9">
        <f t="shared" si="124"/>
        <v>33568212111.033333</v>
      </c>
      <c r="J830" s="9">
        <f t="shared" si="125"/>
        <v>22947695</v>
      </c>
      <c r="K830" s="21">
        <f t="shared" si="126"/>
        <v>1462.8141131836262</v>
      </c>
      <c r="L830" s="4" t="str">
        <f t="shared" si="122"/>
        <v>SELL</v>
      </c>
      <c r="M830" s="4">
        <f t="shared" si="127"/>
        <v>0</v>
      </c>
      <c r="N830" s="4">
        <f t="shared" si="123"/>
        <v>-1</v>
      </c>
      <c r="O830" s="4">
        <f t="shared" si="128"/>
        <v>1511.75</v>
      </c>
      <c r="P830" s="4">
        <f t="shared" si="129"/>
        <v>0</v>
      </c>
    </row>
    <row r="831" spans="1:16" x14ac:dyDescent="0.25">
      <c r="A831" s="1">
        <v>42439</v>
      </c>
      <c r="B831">
        <v>1393</v>
      </c>
      <c r="C831">
        <v>1393.45</v>
      </c>
      <c r="D831">
        <v>1365.1</v>
      </c>
      <c r="E831" s="7">
        <v>1369.35</v>
      </c>
      <c r="F831">
        <v>2377038</v>
      </c>
      <c r="G831" s="8">
        <f t="shared" si="120"/>
        <v>1375.9666666666665</v>
      </c>
      <c r="H831" s="9">
        <f t="shared" si="121"/>
        <v>3270725053.3999996</v>
      </c>
      <c r="I831" s="9">
        <f t="shared" si="124"/>
        <v>35280231484.533333</v>
      </c>
      <c r="J831" s="9">
        <f t="shared" si="125"/>
        <v>24301591</v>
      </c>
      <c r="K831" s="21">
        <f t="shared" si="126"/>
        <v>1451.7663261032305</v>
      </c>
      <c r="L831" s="4" t="str">
        <f t="shared" si="122"/>
        <v>SELL</v>
      </c>
      <c r="M831" s="4">
        <f t="shared" si="127"/>
        <v>0</v>
      </c>
      <c r="N831" s="4">
        <f t="shared" si="123"/>
        <v>-1</v>
      </c>
      <c r="O831" s="4">
        <f t="shared" si="128"/>
        <v>1511.75</v>
      </c>
      <c r="P831" s="4">
        <f t="shared" si="129"/>
        <v>0</v>
      </c>
    </row>
    <row r="832" spans="1:16" x14ac:dyDescent="0.25">
      <c r="A832" s="1">
        <v>42440</v>
      </c>
      <c r="B832">
        <v>1365</v>
      </c>
      <c r="C832">
        <v>1384.7</v>
      </c>
      <c r="D832">
        <v>1365</v>
      </c>
      <c r="E832" s="7">
        <v>1370.75</v>
      </c>
      <c r="F832">
        <v>1984458</v>
      </c>
      <c r="G832" s="8">
        <f t="shared" si="120"/>
        <v>1373.4833333333333</v>
      </c>
      <c r="H832" s="9">
        <f t="shared" si="121"/>
        <v>2725619988.6999998</v>
      </c>
      <c r="I832" s="9">
        <f t="shared" si="124"/>
        <v>36282066362.133331</v>
      </c>
      <c r="J832" s="9">
        <f t="shared" si="125"/>
        <v>25163720</v>
      </c>
      <c r="K832" s="21">
        <f t="shared" si="126"/>
        <v>1441.8403305287666</v>
      </c>
      <c r="L832" s="4" t="str">
        <f t="shared" si="122"/>
        <v>SELL</v>
      </c>
      <c r="M832" s="4">
        <f t="shared" si="127"/>
        <v>0</v>
      </c>
      <c r="N832" s="4">
        <f t="shared" si="123"/>
        <v>-1</v>
      </c>
      <c r="O832" s="4">
        <f t="shared" si="128"/>
        <v>1511.75</v>
      </c>
      <c r="P832" s="4">
        <f t="shared" si="129"/>
        <v>0</v>
      </c>
    </row>
    <row r="833" spans="1:16" x14ac:dyDescent="0.25">
      <c r="A833" s="1">
        <v>42443</v>
      </c>
      <c r="B833">
        <v>1368</v>
      </c>
      <c r="C833">
        <v>1382</v>
      </c>
      <c r="D833">
        <v>1365</v>
      </c>
      <c r="E833" s="7">
        <v>1378.4</v>
      </c>
      <c r="F833">
        <v>2010285</v>
      </c>
      <c r="G833" s="8">
        <f t="shared" si="120"/>
        <v>1375.1333333333332</v>
      </c>
      <c r="H833" s="9">
        <f t="shared" si="121"/>
        <v>2764409912.9999995</v>
      </c>
      <c r="I833" s="9">
        <f t="shared" si="124"/>
        <v>35260186595.799995</v>
      </c>
      <c r="J833" s="9">
        <f t="shared" si="125"/>
        <v>24657975</v>
      </c>
      <c r="K833" s="21">
        <f t="shared" si="126"/>
        <v>1429.9708956554623</v>
      </c>
      <c r="L833" s="4" t="str">
        <f t="shared" si="122"/>
        <v>SELL</v>
      </c>
      <c r="M833" s="4">
        <f t="shared" si="127"/>
        <v>0</v>
      </c>
      <c r="N833" s="4">
        <f t="shared" si="123"/>
        <v>-1</v>
      </c>
      <c r="O833" s="4">
        <f t="shared" si="128"/>
        <v>1511.75</v>
      </c>
      <c r="P833" s="4">
        <f t="shared" si="129"/>
        <v>0</v>
      </c>
    </row>
    <row r="834" spans="1:16" x14ac:dyDescent="0.25">
      <c r="A834" s="1">
        <v>42444</v>
      </c>
      <c r="B834">
        <v>1373.5</v>
      </c>
      <c r="C834">
        <v>1438.8</v>
      </c>
      <c r="D834">
        <v>1373.5</v>
      </c>
      <c r="E834" s="7">
        <v>1433.9</v>
      </c>
      <c r="F834">
        <v>2815163</v>
      </c>
      <c r="G834" s="8">
        <f t="shared" ref="G834:G897" si="130">AVERAGE(C834:E834)</f>
        <v>1415.4000000000003</v>
      </c>
      <c r="H834" s="9">
        <f t="shared" si="121"/>
        <v>3984581710.2000008</v>
      </c>
      <c r="I834" s="9">
        <f t="shared" si="124"/>
        <v>35259733895.866669</v>
      </c>
      <c r="J834" s="9">
        <f t="shared" si="125"/>
        <v>24777390</v>
      </c>
      <c r="K834" s="21">
        <f t="shared" si="126"/>
        <v>1423.0608589470751</v>
      </c>
      <c r="L834" s="4" t="str">
        <f t="shared" si="122"/>
        <v>BUY</v>
      </c>
      <c r="M834" s="4" t="str">
        <f t="shared" si="127"/>
        <v>BUY</v>
      </c>
      <c r="N834" s="4">
        <f t="shared" si="123"/>
        <v>1</v>
      </c>
      <c r="O834" s="4">
        <f t="shared" si="128"/>
        <v>1433.9</v>
      </c>
      <c r="P834" s="4">
        <f t="shared" si="129"/>
        <v>5.1496609889201198E-2</v>
      </c>
    </row>
    <row r="835" spans="1:16" x14ac:dyDescent="0.25">
      <c r="A835" s="1">
        <v>42445</v>
      </c>
      <c r="B835">
        <v>1426</v>
      </c>
      <c r="C835">
        <v>1447.25</v>
      </c>
      <c r="D835">
        <v>1407.9</v>
      </c>
      <c r="E835" s="7">
        <v>1418.5</v>
      </c>
      <c r="F835">
        <v>1820895</v>
      </c>
      <c r="G835" s="8">
        <f t="shared" si="130"/>
        <v>1424.55</v>
      </c>
      <c r="H835" s="9">
        <f t="shared" ref="H835:H898" si="131">G835*F835</f>
        <v>2593955972.25</v>
      </c>
      <c r="I835" s="9">
        <f t="shared" si="124"/>
        <v>35583509208.433334</v>
      </c>
      <c r="J835" s="9">
        <f t="shared" si="125"/>
        <v>25062494</v>
      </c>
      <c r="K835" s="21">
        <f t="shared" si="126"/>
        <v>1419.7912310097045</v>
      </c>
      <c r="L835" s="4" t="str">
        <f t="shared" si="122"/>
        <v>SELL</v>
      </c>
      <c r="M835" s="4" t="str">
        <f t="shared" si="127"/>
        <v>SELL</v>
      </c>
      <c r="N835" s="4">
        <f t="shared" si="123"/>
        <v>-1</v>
      </c>
      <c r="O835" s="4">
        <f t="shared" si="128"/>
        <v>1418.5</v>
      </c>
      <c r="P835" s="4">
        <f t="shared" si="129"/>
        <v>-1.0739940023711619E-2</v>
      </c>
    </row>
    <row r="836" spans="1:16" x14ac:dyDescent="0.25">
      <c r="A836" s="1">
        <v>42446</v>
      </c>
      <c r="B836">
        <v>1420</v>
      </c>
      <c r="C836">
        <v>1472.4</v>
      </c>
      <c r="D836">
        <v>1420</v>
      </c>
      <c r="E836" s="7">
        <v>1467.2</v>
      </c>
      <c r="F836">
        <v>1863559</v>
      </c>
      <c r="G836" s="8">
        <f t="shared" si="130"/>
        <v>1453.2</v>
      </c>
      <c r="H836" s="9">
        <f t="shared" si="131"/>
        <v>2708123938.8000002</v>
      </c>
      <c r="I836" s="9">
        <f t="shared" si="124"/>
        <v>34432109331.133339</v>
      </c>
      <c r="J836" s="9">
        <f t="shared" si="125"/>
        <v>24286551</v>
      </c>
      <c r="K836" s="21">
        <f t="shared" si="126"/>
        <v>1417.7438917174093</v>
      </c>
      <c r="L836" s="4" t="str">
        <f t="shared" si="122"/>
        <v>BUY</v>
      </c>
      <c r="M836" s="4" t="str">
        <f t="shared" si="127"/>
        <v>BUY</v>
      </c>
      <c r="N836" s="4">
        <f t="shared" si="123"/>
        <v>1</v>
      </c>
      <c r="O836" s="4">
        <f t="shared" si="128"/>
        <v>1467.2</v>
      </c>
      <c r="P836" s="4">
        <f t="shared" si="129"/>
        <v>-3.4332040888262284E-2</v>
      </c>
    </row>
    <row r="837" spans="1:16" x14ac:dyDescent="0.25">
      <c r="A837" s="1">
        <v>42447</v>
      </c>
      <c r="B837">
        <v>1467.1</v>
      </c>
      <c r="C837">
        <v>1478.85</v>
      </c>
      <c r="D837">
        <v>1457.4</v>
      </c>
      <c r="E837" s="7">
        <v>1471.6</v>
      </c>
      <c r="F837">
        <v>1130090</v>
      </c>
      <c r="G837" s="8">
        <f t="shared" si="130"/>
        <v>1469.2833333333335</v>
      </c>
      <c r="H837" s="9">
        <f t="shared" si="131"/>
        <v>1660422402.166667</v>
      </c>
      <c r="I837" s="9">
        <f t="shared" si="124"/>
        <v>29854763534</v>
      </c>
      <c r="J837" s="9">
        <f t="shared" si="125"/>
        <v>21139412</v>
      </c>
      <c r="K837" s="21">
        <f t="shared" si="126"/>
        <v>1412.2797518682166</v>
      </c>
      <c r="L837" s="4" t="str">
        <f t="shared" si="122"/>
        <v>BUY</v>
      </c>
      <c r="M837" s="4">
        <f t="shared" si="127"/>
        <v>0</v>
      </c>
      <c r="N837" s="4">
        <f t="shared" si="123"/>
        <v>1</v>
      </c>
      <c r="O837" s="4">
        <f t="shared" si="128"/>
        <v>1467.2</v>
      </c>
      <c r="P837" s="4">
        <f t="shared" si="129"/>
        <v>0</v>
      </c>
    </row>
    <row r="838" spans="1:16" x14ac:dyDescent="0.25">
      <c r="A838" s="1">
        <v>42450</v>
      </c>
      <c r="B838">
        <v>1472</v>
      </c>
      <c r="C838">
        <v>1487.8</v>
      </c>
      <c r="D838">
        <v>1470</v>
      </c>
      <c r="E838" s="7">
        <v>1480.1</v>
      </c>
      <c r="F838">
        <v>884065</v>
      </c>
      <c r="G838" s="8">
        <f t="shared" si="130"/>
        <v>1479.3</v>
      </c>
      <c r="H838" s="9">
        <f t="shared" si="131"/>
        <v>1307797354.5</v>
      </c>
      <c r="I838" s="9">
        <f t="shared" si="124"/>
        <v>29034460507.100002</v>
      </c>
      <c r="J838" s="9">
        <f t="shared" si="125"/>
        <v>20542235</v>
      </c>
      <c r="K838" s="21">
        <f t="shared" si="126"/>
        <v>1413.4031913810743</v>
      </c>
      <c r="L838" s="4" t="str">
        <f t="shared" si="122"/>
        <v>BUY</v>
      </c>
      <c r="M838" s="4">
        <f t="shared" si="127"/>
        <v>0</v>
      </c>
      <c r="N838" s="4">
        <f t="shared" si="123"/>
        <v>1</v>
      </c>
      <c r="O838" s="4">
        <f t="shared" si="128"/>
        <v>1467.2</v>
      </c>
      <c r="P838" s="4">
        <f t="shared" si="129"/>
        <v>0</v>
      </c>
    </row>
    <row r="839" spans="1:16" x14ac:dyDescent="0.25">
      <c r="A839" s="1">
        <v>42451</v>
      </c>
      <c r="B839">
        <v>1483.2</v>
      </c>
      <c r="C839">
        <v>1503.45</v>
      </c>
      <c r="D839">
        <v>1483</v>
      </c>
      <c r="E839" s="7">
        <v>1498.45</v>
      </c>
      <c r="F839">
        <v>974850</v>
      </c>
      <c r="G839" s="8">
        <f t="shared" si="130"/>
        <v>1494.9666666666665</v>
      </c>
      <c r="H839" s="9">
        <f t="shared" si="131"/>
        <v>1457368254.9999998</v>
      </c>
      <c r="I839" s="9">
        <f t="shared" si="124"/>
        <v>28065068656.516666</v>
      </c>
      <c r="J839" s="9">
        <f t="shared" si="125"/>
        <v>19825000</v>
      </c>
      <c r="K839" s="21">
        <f t="shared" si="126"/>
        <v>1415.6402853224045</v>
      </c>
      <c r="L839" s="4" t="str">
        <f t="shared" si="122"/>
        <v>BUY</v>
      </c>
      <c r="M839" s="4">
        <f t="shared" si="127"/>
        <v>0</v>
      </c>
      <c r="N839" s="4">
        <f t="shared" si="123"/>
        <v>1</v>
      </c>
      <c r="O839" s="4">
        <f t="shared" si="128"/>
        <v>1467.2</v>
      </c>
      <c r="P839" s="4">
        <f t="shared" si="129"/>
        <v>0</v>
      </c>
    </row>
    <row r="840" spans="1:16" x14ac:dyDescent="0.25">
      <c r="A840" s="1">
        <v>42452</v>
      </c>
      <c r="B840">
        <v>1498.45</v>
      </c>
      <c r="C840">
        <v>1510.9</v>
      </c>
      <c r="D840">
        <v>1491.1</v>
      </c>
      <c r="E840" s="7">
        <v>1495.9</v>
      </c>
      <c r="F840">
        <v>569857</v>
      </c>
      <c r="G840" s="8">
        <f t="shared" si="130"/>
        <v>1499.3</v>
      </c>
      <c r="H840" s="9">
        <f t="shared" si="131"/>
        <v>854386600.10000002</v>
      </c>
      <c r="I840" s="9">
        <f t="shared" si="124"/>
        <v>23327391188.116665</v>
      </c>
      <c r="J840" s="9">
        <f t="shared" si="125"/>
        <v>16430260</v>
      </c>
      <c r="K840" s="21">
        <f t="shared" si="126"/>
        <v>1419.7822303552509</v>
      </c>
      <c r="L840" s="4" t="str">
        <f t="shared" si="122"/>
        <v>BUY</v>
      </c>
      <c r="M840" s="4">
        <f t="shared" si="127"/>
        <v>0</v>
      </c>
      <c r="N840" s="4">
        <f t="shared" si="123"/>
        <v>1</v>
      </c>
      <c r="O840" s="4">
        <f t="shared" si="128"/>
        <v>1467.2</v>
      </c>
      <c r="P840" s="4">
        <f t="shared" si="129"/>
        <v>0</v>
      </c>
    </row>
    <row r="841" spans="1:16" x14ac:dyDescent="0.25">
      <c r="A841" s="1">
        <v>42453</v>
      </c>
      <c r="B841">
        <v>1495</v>
      </c>
      <c r="C841">
        <v>1495</v>
      </c>
      <c r="D841">
        <v>1486.1</v>
      </c>
      <c r="E841" s="7">
        <v>1489.65</v>
      </c>
      <c r="F841">
        <v>28017</v>
      </c>
      <c r="G841" s="8">
        <f t="shared" si="130"/>
        <v>1490.25</v>
      </c>
      <c r="H841" s="9">
        <f t="shared" si="131"/>
        <v>41752334.25</v>
      </c>
      <c r="I841" s="9">
        <f t="shared" si="124"/>
        <v>20098418468.966667</v>
      </c>
      <c r="J841" s="9">
        <f t="shared" si="125"/>
        <v>14081239</v>
      </c>
      <c r="K841" s="21">
        <f t="shared" si="126"/>
        <v>1427.3188935268172</v>
      </c>
      <c r="L841" s="4" t="str">
        <f t="shared" si="122"/>
        <v>BUY</v>
      </c>
      <c r="M841" s="4">
        <f t="shared" si="127"/>
        <v>0</v>
      </c>
      <c r="N841" s="4">
        <f t="shared" si="123"/>
        <v>1</v>
      </c>
      <c r="O841" s="4">
        <f t="shared" si="128"/>
        <v>1467.2</v>
      </c>
      <c r="P841" s="4">
        <f t="shared" si="129"/>
        <v>0</v>
      </c>
    </row>
    <row r="842" spans="1:16" x14ac:dyDescent="0.25">
      <c r="A842" s="1">
        <v>42454</v>
      </c>
      <c r="B842">
        <v>1480</v>
      </c>
      <c r="C842">
        <v>1481</v>
      </c>
      <c r="D842">
        <v>1445.7</v>
      </c>
      <c r="E842" s="7">
        <v>1451.6</v>
      </c>
      <c r="F842">
        <v>931249</v>
      </c>
      <c r="G842" s="8">
        <f t="shared" si="130"/>
        <v>1459.4333333333332</v>
      </c>
      <c r="H842" s="9">
        <f t="shared" si="131"/>
        <v>1359095832.2333331</v>
      </c>
      <c r="I842" s="9">
        <f t="shared" si="124"/>
        <v>18731894312.5</v>
      </c>
      <c r="J842" s="9">
        <f t="shared" si="125"/>
        <v>13028030</v>
      </c>
      <c r="K842" s="21">
        <f t="shared" si="126"/>
        <v>1437.8147972103227</v>
      </c>
      <c r="L842" s="4" t="str">
        <f t="shared" si="122"/>
        <v>BUY</v>
      </c>
      <c r="M842" s="4">
        <f t="shared" si="127"/>
        <v>0</v>
      </c>
      <c r="N842" s="4">
        <f t="shared" si="123"/>
        <v>1</v>
      </c>
      <c r="O842" s="4">
        <f t="shared" si="128"/>
        <v>1467.2</v>
      </c>
      <c r="P842" s="4">
        <f t="shared" si="129"/>
        <v>0</v>
      </c>
    </row>
    <row r="843" spans="1:16" x14ac:dyDescent="0.25">
      <c r="A843" s="1">
        <v>42457</v>
      </c>
      <c r="B843">
        <v>1455.1</v>
      </c>
      <c r="C843">
        <v>1470.55</v>
      </c>
      <c r="D843">
        <v>1443.75</v>
      </c>
      <c r="E843" s="7">
        <v>1457.95</v>
      </c>
      <c r="F843">
        <v>1125050</v>
      </c>
      <c r="G843" s="8">
        <f t="shared" si="130"/>
        <v>1457.4166666666667</v>
      </c>
      <c r="H843" s="9">
        <f t="shared" si="131"/>
        <v>1639666620.8333335</v>
      </c>
      <c r="I843" s="9">
        <f t="shared" si="124"/>
        <v>17607151020.333336</v>
      </c>
      <c r="J843" s="9">
        <f t="shared" si="125"/>
        <v>12142795</v>
      </c>
      <c r="K843" s="21">
        <f t="shared" si="126"/>
        <v>1450.0080928923971</v>
      </c>
      <c r="L843" s="4" t="str">
        <f t="shared" ref="L843:L906" si="132">IF(E843&gt;K843,"BUY",IF(E843&lt;K843,"SELL",0))</f>
        <v>BUY</v>
      </c>
      <c r="M843" s="4">
        <f t="shared" si="127"/>
        <v>0</v>
      </c>
      <c r="N843" s="4">
        <f t="shared" ref="N843:N906" si="133">IF(M843="BUY",1,IF(M843="SELL",-1,N842))</f>
        <v>1</v>
      </c>
      <c r="O843" s="4">
        <f t="shared" si="128"/>
        <v>1467.2</v>
      </c>
      <c r="P843" s="4">
        <f t="shared" si="129"/>
        <v>0</v>
      </c>
    </row>
    <row r="844" spans="1:16" x14ac:dyDescent="0.25">
      <c r="A844" s="1">
        <v>42458</v>
      </c>
      <c r="B844">
        <v>1458.1</v>
      </c>
      <c r="C844">
        <v>1477.2</v>
      </c>
      <c r="D844">
        <v>1450</v>
      </c>
      <c r="E844" s="7">
        <v>1471.55</v>
      </c>
      <c r="F844">
        <v>1782963</v>
      </c>
      <c r="G844" s="8">
        <f t="shared" si="130"/>
        <v>1466.25</v>
      </c>
      <c r="H844" s="9">
        <f t="shared" si="131"/>
        <v>2614269498.75</v>
      </c>
      <c r="I844" s="9">
        <f t="shared" ref="I844:I907" si="134">SUM(H835:H844)</f>
        <v>16236838808.883335</v>
      </c>
      <c r="J844" s="9">
        <f t="shared" ref="J844:J907" si="135">SUM(F835:F844)</f>
        <v>11110595</v>
      </c>
      <c r="K844" s="21">
        <f t="shared" ref="K844:K907" si="136">I844/J844</f>
        <v>1461.3833740572252</v>
      </c>
      <c r="L844" s="4" t="str">
        <f t="shared" si="132"/>
        <v>BUY</v>
      </c>
      <c r="M844" s="4">
        <f t="shared" ref="M844:M907" si="137">IF(L844&lt;&gt;L843,L844,0)</f>
        <v>0</v>
      </c>
      <c r="N844" s="4">
        <f t="shared" si="133"/>
        <v>1</v>
      </c>
      <c r="O844" s="4">
        <f t="shared" ref="O844:O907" si="138">IF(M844&lt;&gt;0,E844,O843)</f>
        <v>1467.2</v>
      </c>
      <c r="P844" s="4">
        <f t="shared" ref="P844:P907" si="139">IF(M844="BUY",(O843-O844)/O843,IF(M844="SELL",(O844-O843)/O843,0))</f>
        <v>0</v>
      </c>
    </row>
    <row r="845" spans="1:16" x14ac:dyDescent="0.25">
      <c r="A845" s="1">
        <v>42459</v>
      </c>
      <c r="B845">
        <v>1469</v>
      </c>
      <c r="C845">
        <v>1469</v>
      </c>
      <c r="D845">
        <v>1447.45</v>
      </c>
      <c r="E845" s="7">
        <v>1454.05</v>
      </c>
      <c r="F845">
        <v>1207826</v>
      </c>
      <c r="G845" s="8">
        <f t="shared" si="130"/>
        <v>1456.8333333333333</v>
      </c>
      <c r="H845" s="9">
        <f t="shared" si="131"/>
        <v>1759601177.6666665</v>
      </c>
      <c r="I845" s="9">
        <f t="shared" si="134"/>
        <v>15402484014.300001</v>
      </c>
      <c r="J845" s="9">
        <f t="shared" si="135"/>
        <v>10497526</v>
      </c>
      <c r="K845" s="21">
        <f t="shared" si="136"/>
        <v>1467.2489512576583</v>
      </c>
      <c r="L845" s="4" t="str">
        <f t="shared" si="132"/>
        <v>SELL</v>
      </c>
      <c r="M845" s="4" t="str">
        <f t="shared" si="137"/>
        <v>SELL</v>
      </c>
      <c r="N845" s="4">
        <f t="shared" si="133"/>
        <v>-1</v>
      </c>
      <c r="O845" s="4">
        <f t="shared" si="138"/>
        <v>1454.05</v>
      </c>
      <c r="P845" s="4">
        <f t="shared" si="139"/>
        <v>-8.9626499454744345E-3</v>
      </c>
    </row>
    <row r="846" spans="1:16" x14ac:dyDescent="0.25">
      <c r="A846" s="1">
        <v>42460</v>
      </c>
      <c r="B846">
        <v>1455</v>
      </c>
      <c r="C846">
        <v>1478.5</v>
      </c>
      <c r="D846">
        <v>1454.1</v>
      </c>
      <c r="E846" s="7">
        <v>1473.8</v>
      </c>
      <c r="F846">
        <v>1450100</v>
      </c>
      <c r="G846" s="8">
        <f t="shared" si="130"/>
        <v>1468.8</v>
      </c>
      <c r="H846" s="9">
        <f t="shared" si="131"/>
        <v>2129906880</v>
      </c>
      <c r="I846" s="9">
        <f t="shared" si="134"/>
        <v>14824266955.5</v>
      </c>
      <c r="J846" s="9">
        <f t="shared" si="135"/>
        <v>10084067</v>
      </c>
      <c r="K846" s="21">
        <f t="shared" si="136"/>
        <v>1470.0682726027107</v>
      </c>
      <c r="L846" s="4" t="str">
        <f t="shared" si="132"/>
        <v>BUY</v>
      </c>
      <c r="M846" s="4" t="str">
        <f t="shared" si="137"/>
        <v>BUY</v>
      </c>
      <c r="N846" s="4">
        <f t="shared" si="133"/>
        <v>1</v>
      </c>
      <c r="O846" s="4">
        <f t="shared" si="138"/>
        <v>1473.8</v>
      </c>
      <c r="P846" s="4">
        <f t="shared" si="139"/>
        <v>-1.3582751624772188E-2</v>
      </c>
    </row>
    <row r="847" spans="1:16" x14ac:dyDescent="0.25">
      <c r="A847" s="1">
        <v>42461</v>
      </c>
      <c r="B847">
        <v>1471.25</v>
      </c>
      <c r="C847">
        <v>1478</v>
      </c>
      <c r="D847">
        <v>1461</v>
      </c>
      <c r="E847" s="7">
        <v>1472.4</v>
      </c>
      <c r="F847">
        <v>692752</v>
      </c>
      <c r="G847" s="8">
        <f t="shared" si="130"/>
        <v>1470.4666666666665</v>
      </c>
      <c r="H847" s="9">
        <f t="shared" si="131"/>
        <v>1018668724.2666665</v>
      </c>
      <c r="I847" s="9">
        <f t="shared" si="134"/>
        <v>14182513277.599998</v>
      </c>
      <c r="J847" s="9">
        <f t="shared" si="135"/>
        <v>9646729</v>
      </c>
      <c r="K847" s="21">
        <f t="shared" si="136"/>
        <v>1470.1888357805012</v>
      </c>
      <c r="L847" s="4" t="str">
        <f t="shared" si="132"/>
        <v>BUY</v>
      </c>
      <c r="M847" s="4">
        <f t="shared" si="137"/>
        <v>0</v>
      </c>
      <c r="N847" s="4">
        <f t="shared" si="133"/>
        <v>1</v>
      </c>
      <c r="O847" s="4">
        <f t="shared" si="138"/>
        <v>1473.8</v>
      </c>
      <c r="P847" s="4">
        <f t="shared" si="139"/>
        <v>0</v>
      </c>
    </row>
    <row r="848" spans="1:16" x14ac:dyDescent="0.25">
      <c r="A848" s="1">
        <v>42464</v>
      </c>
      <c r="B848">
        <v>1465</v>
      </c>
      <c r="C848">
        <v>1502</v>
      </c>
      <c r="D848">
        <v>1465</v>
      </c>
      <c r="E848" s="7">
        <v>1492.85</v>
      </c>
      <c r="F848">
        <v>949216</v>
      </c>
      <c r="G848" s="8">
        <f t="shared" si="130"/>
        <v>1486.6166666666668</v>
      </c>
      <c r="H848" s="9">
        <f t="shared" si="131"/>
        <v>1411120325.8666668</v>
      </c>
      <c r="I848" s="9">
        <f t="shared" si="134"/>
        <v>14285836248.966665</v>
      </c>
      <c r="J848" s="9">
        <f t="shared" si="135"/>
        <v>9711880</v>
      </c>
      <c r="K848" s="21">
        <f t="shared" si="136"/>
        <v>1470.9650705081472</v>
      </c>
      <c r="L848" s="4" t="str">
        <f t="shared" si="132"/>
        <v>BUY</v>
      </c>
      <c r="M848" s="4">
        <f t="shared" si="137"/>
        <v>0</v>
      </c>
      <c r="N848" s="4">
        <f t="shared" si="133"/>
        <v>1</v>
      </c>
      <c r="O848" s="4">
        <f t="shared" si="138"/>
        <v>1473.8</v>
      </c>
      <c r="P848" s="4">
        <f t="shared" si="139"/>
        <v>0</v>
      </c>
    </row>
    <row r="849" spans="1:16" x14ac:dyDescent="0.25">
      <c r="A849" s="1">
        <v>42465</v>
      </c>
      <c r="B849">
        <v>1498</v>
      </c>
      <c r="C849">
        <v>1509.15</v>
      </c>
      <c r="D849">
        <v>1492.3</v>
      </c>
      <c r="E849" s="7">
        <v>1498.4</v>
      </c>
      <c r="F849">
        <v>923472</v>
      </c>
      <c r="G849" s="8">
        <f t="shared" si="130"/>
        <v>1499.95</v>
      </c>
      <c r="H849" s="9">
        <f t="shared" si="131"/>
        <v>1385161826.4000001</v>
      </c>
      <c r="I849" s="9">
        <f t="shared" si="134"/>
        <v>14213629820.366665</v>
      </c>
      <c r="J849" s="9">
        <f t="shared" si="135"/>
        <v>9660502</v>
      </c>
      <c r="K849" s="21">
        <f t="shared" si="136"/>
        <v>1471.3137909775978</v>
      </c>
      <c r="L849" s="4" t="str">
        <f t="shared" si="132"/>
        <v>BUY</v>
      </c>
      <c r="M849" s="4">
        <f t="shared" si="137"/>
        <v>0</v>
      </c>
      <c r="N849" s="4">
        <f t="shared" si="133"/>
        <v>1</v>
      </c>
      <c r="O849" s="4">
        <f t="shared" si="138"/>
        <v>1473.8</v>
      </c>
      <c r="P849" s="4">
        <f t="shared" si="139"/>
        <v>0</v>
      </c>
    </row>
    <row r="850" spans="1:16" x14ac:dyDescent="0.25">
      <c r="A850" s="1">
        <v>42466</v>
      </c>
      <c r="B850">
        <v>1495</v>
      </c>
      <c r="C850">
        <v>1526.75</v>
      </c>
      <c r="D850">
        <v>1478.35</v>
      </c>
      <c r="E850" s="7">
        <v>1492.7</v>
      </c>
      <c r="F850">
        <v>1531981</v>
      </c>
      <c r="G850" s="8">
        <f t="shared" si="130"/>
        <v>1499.2666666666667</v>
      </c>
      <c r="H850" s="9">
        <f t="shared" si="131"/>
        <v>2296848047.2666664</v>
      </c>
      <c r="I850" s="9">
        <f t="shared" si="134"/>
        <v>15656091267.533333</v>
      </c>
      <c r="J850" s="9">
        <f t="shared" si="135"/>
        <v>10622626</v>
      </c>
      <c r="K850" s="21">
        <f t="shared" si="136"/>
        <v>1473.843780957113</v>
      </c>
      <c r="L850" s="4" t="str">
        <f t="shared" si="132"/>
        <v>BUY</v>
      </c>
      <c r="M850" s="4">
        <f t="shared" si="137"/>
        <v>0</v>
      </c>
      <c r="N850" s="4">
        <f t="shared" si="133"/>
        <v>1</v>
      </c>
      <c r="O850" s="4">
        <f t="shared" si="138"/>
        <v>1473.8</v>
      </c>
      <c r="P850" s="4">
        <f t="shared" si="139"/>
        <v>0</v>
      </c>
    </row>
    <row r="851" spans="1:16" x14ac:dyDescent="0.25">
      <c r="A851" s="1">
        <v>42467</v>
      </c>
      <c r="B851">
        <v>1500</v>
      </c>
      <c r="C851">
        <v>1502.95</v>
      </c>
      <c r="D851">
        <v>1463.6</v>
      </c>
      <c r="E851" s="7">
        <v>1469.55</v>
      </c>
      <c r="F851">
        <v>793306</v>
      </c>
      <c r="G851" s="8">
        <f t="shared" si="130"/>
        <v>1478.7</v>
      </c>
      <c r="H851" s="9">
        <f t="shared" si="131"/>
        <v>1173061582.2</v>
      </c>
      <c r="I851" s="9">
        <f t="shared" si="134"/>
        <v>16787400515.483334</v>
      </c>
      <c r="J851" s="9">
        <f t="shared" si="135"/>
        <v>11387915</v>
      </c>
      <c r="K851" s="21">
        <f t="shared" si="136"/>
        <v>1474.1417121117722</v>
      </c>
      <c r="L851" s="4" t="str">
        <f t="shared" si="132"/>
        <v>SELL</v>
      </c>
      <c r="M851" s="4" t="str">
        <f t="shared" si="137"/>
        <v>SELL</v>
      </c>
      <c r="N851" s="4">
        <f t="shared" si="133"/>
        <v>-1</v>
      </c>
      <c r="O851" s="4">
        <f t="shared" si="138"/>
        <v>1469.55</v>
      </c>
      <c r="P851" s="4">
        <f t="shared" si="139"/>
        <v>-2.8837019948432623E-3</v>
      </c>
    </row>
    <row r="852" spans="1:16" x14ac:dyDescent="0.25">
      <c r="A852" s="1">
        <v>42468</v>
      </c>
      <c r="B852">
        <v>1469.5</v>
      </c>
      <c r="C852">
        <v>1500</v>
      </c>
      <c r="D852">
        <v>1460</v>
      </c>
      <c r="E852" s="7">
        <v>1498</v>
      </c>
      <c r="F852">
        <v>1011932</v>
      </c>
      <c r="G852" s="8">
        <f t="shared" si="130"/>
        <v>1486</v>
      </c>
      <c r="H852" s="9">
        <f t="shared" si="131"/>
        <v>1503730952</v>
      </c>
      <c r="I852" s="9">
        <f t="shared" si="134"/>
        <v>16932035635.25</v>
      </c>
      <c r="J852" s="9">
        <f t="shared" si="135"/>
        <v>11468598</v>
      </c>
      <c r="K852" s="21">
        <f t="shared" si="136"/>
        <v>1476.3823472799379</v>
      </c>
      <c r="L852" s="4" t="str">
        <f t="shared" si="132"/>
        <v>BUY</v>
      </c>
      <c r="M852" s="4" t="str">
        <f t="shared" si="137"/>
        <v>BUY</v>
      </c>
      <c r="N852" s="4">
        <f t="shared" si="133"/>
        <v>1</v>
      </c>
      <c r="O852" s="4">
        <f t="shared" si="138"/>
        <v>1498</v>
      </c>
      <c r="P852" s="4">
        <f t="shared" si="139"/>
        <v>-1.9359667925555473E-2</v>
      </c>
    </row>
    <row r="853" spans="1:16" x14ac:dyDescent="0.25">
      <c r="A853" s="1">
        <v>42471</v>
      </c>
      <c r="B853">
        <v>1498</v>
      </c>
      <c r="C853">
        <v>1516.5</v>
      </c>
      <c r="D853">
        <v>1490.3</v>
      </c>
      <c r="E853" s="7">
        <v>1514.1</v>
      </c>
      <c r="F853">
        <v>700127</v>
      </c>
      <c r="G853" s="8">
        <f t="shared" si="130"/>
        <v>1506.9666666666665</v>
      </c>
      <c r="H853" s="9">
        <f t="shared" si="131"/>
        <v>1055068051.4333332</v>
      </c>
      <c r="I853" s="9">
        <f t="shared" si="134"/>
        <v>16347437065.849998</v>
      </c>
      <c r="J853" s="9">
        <f t="shared" si="135"/>
        <v>11043675</v>
      </c>
      <c r="K853" s="21">
        <f t="shared" si="136"/>
        <v>1480.253363653856</v>
      </c>
      <c r="L853" s="4" t="str">
        <f t="shared" si="132"/>
        <v>BUY</v>
      </c>
      <c r="M853" s="4">
        <f t="shared" si="137"/>
        <v>0</v>
      </c>
      <c r="N853" s="4">
        <f t="shared" si="133"/>
        <v>1</v>
      </c>
      <c r="O853" s="4">
        <f t="shared" si="138"/>
        <v>1498</v>
      </c>
      <c r="P853" s="4">
        <f t="shared" si="139"/>
        <v>0</v>
      </c>
    </row>
    <row r="854" spans="1:16" x14ac:dyDescent="0.25">
      <c r="A854" s="1">
        <v>42472</v>
      </c>
      <c r="B854">
        <v>1516</v>
      </c>
      <c r="C854">
        <v>1527.5</v>
      </c>
      <c r="D854">
        <v>1485.1</v>
      </c>
      <c r="E854" s="7">
        <v>1497.35</v>
      </c>
      <c r="F854">
        <v>726019</v>
      </c>
      <c r="G854" s="8">
        <f t="shared" si="130"/>
        <v>1503.3166666666666</v>
      </c>
      <c r="H854" s="9">
        <f t="shared" si="131"/>
        <v>1091436463.0166667</v>
      </c>
      <c r="I854" s="9">
        <f t="shared" si="134"/>
        <v>14824604030.116667</v>
      </c>
      <c r="J854" s="9">
        <f t="shared" si="135"/>
        <v>9986731</v>
      </c>
      <c r="K854" s="21">
        <f t="shared" si="136"/>
        <v>1484.4300933024697</v>
      </c>
      <c r="L854" s="4" t="str">
        <f t="shared" si="132"/>
        <v>BUY</v>
      </c>
      <c r="M854" s="4">
        <f t="shared" si="137"/>
        <v>0</v>
      </c>
      <c r="N854" s="4">
        <f t="shared" si="133"/>
        <v>1</v>
      </c>
      <c r="O854" s="4">
        <f t="shared" si="138"/>
        <v>1498</v>
      </c>
      <c r="P854" s="4">
        <f t="shared" si="139"/>
        <v>0</v>
      </c>
    </row>
    <row r="855" spans="1:16" x14ac:dyDescent="0.25">
      <c r="A855" s="1">
        <v>42473</v>
      </c>
      <c r="B855">
        <v>1500</v>
      </c>
      <c r="C855">
        <v>1512</v>
      </c>
      <c r="D855">
        <v>1487</v>
      </c>
      <c r="E855" s="7">
        <v>1499.4</v>
      </c>
      <c r="F855">
        <v>1204173</v>
      </c>
      <c r="G855" s="8">
        <f t="shared" si="130"/>
        <v>1499.4666666666665</v>
      </c>
      <c r="H855" s="9">
        <f t="shared" si="131"/>
        <v>1805617274.3999999</v>
      </c>
      <c r="I855" s="9">
        <f t="shared" si="134"/>
        <v>14870620126.849998</v>
      </c>
      <c r="J855" s="9">
        <f t="shared" si="135"/>
        <v>9983078</v>
      </c>
      <c r="K855" s="21">
        <f t="shared" si="136"/>
        <v>1489.582684503717</v>
      </c>
      <c r="L855" s="4" t="str">
        <f t="shared" si="132"/>
        <v>BUY</v>
      </c>
      <c r="M855" s="4">
        <f t="shared" si="137"/>
        <v>0</v>
      </c>
      <c r="N855" s="4">
        <f t="shared" si="133"/>
        <v>1</v>
      </c>
      <c r="O855" s="4">
        <f t="shared" si="138"/>
        <v>1498</v>
      </c>
      <c r="P855" s="4">
        <f t="shared" si="139"/>
        <v>0</v>
      </c>
    </row>
    <row r="856" spans="1:16" x14ac:dyDescent="0.25">
      <c r="A856" s="1">
        <v>42474</v>
      </c>
      <c r="B856">
        <v>1491</v>
      </c>
      <c r="C856">
        <v>1509.25</v>
      </c>
      <c r="D856">
        <v>1476.75</v>
      </c>
      <c r="E856" s="7">
        <v>1498.45</v>
      </c>
      <c r="F856">
        <v>964934</v>
      </c>
      <c r="G856" s="8">
        <f t="shared" si="130"/>
        <v>1494.8166666666666</v>
      </c>
      <c r="H856" s="9">
        <f t="shared" si="131"/>
        <v>1442399425.4333332</v>
      </c>
      <c r="I856" s="9">
        <f t="shared" si="134"/>
        <v>14183112672.283331</v>
      </c>
      <c r="J856" s="9">
        <f t="shared" si="135"/>
        <v>9497912</v>
      </c>
      <c r="K856" s="21">
        <f t="shared" si="136"/>
        <v>1493.2874375213553</v>
      </c>
      <c r="L856" s="4" t="str">
        <f t="shared" si="132"/>
        <v>BUY</v>
      </c>
      <c r="M856" s="4">
        <f t="shared" si="137"/>
        <v>0</v>
      </c>
      <c r="N856" s="4">
        <f t="shared" si="133"/>
        <v>1</v>
      </c>
      <c r="O856" s="4">
        <f t="shared" si="138"/>
        <v>1498</v>
      </c>
      <c r="P856" s="4">
        <f t="shared" si="139"/>
        <v>0</v>
      </c>
    </row>
    <row r="857" spans="1:16" x14ac:dyDescent="0.25">
      <c r="A857" s="1">
        <v>42475</v>
      </c>
      <c r="B857">
        <v>1504</v>
      </c>
      <c r="C857">
        <v>1507</v>
      </c>
      <c r="D857">
        <v>1457.1</v>
      </c>
      <c r="E857" s="7">
        <v>1469.4</v>
      </c>
      <c r="F857">
        <v>1548806</v>
      </c>
      <c r="G857" s="8">
        <f t="shared" si="130"/>
        <v>1477.8333333333333</v>
      </c>
      <c r="H857" s="9">
        <f t="shared" si="131"/>
        <v>2288877133.6666665</v>
      </c>
      <c r="I857" s="9">
        <f t="shared" si="134"/>
        <v>15453321081.683331</v>
      </c>
      <c r="J857" s="9">
        <f t="shared" si="135"/>
        <v>10353966</v>
      </c>
      <c r="K857" s="21">
        <f t="shared" si="136"/>
        <v>1492.5025909572555</v>
      </c>
      <c r="L857" s="4" t="str">
        <f t="shared" si="132"/>
        <v>SELL</v>
      </c>
      <c r="M857" s="4" t="str">
        <f t="shared" si="137"/>
        <v>SELL</v>
      </c>
      <c r="N857" s="4">
        <f t="shared" si="133"/>
        <v>-1</v>
      </c>
      <c r="O857" s="4">
        <f t="shared" si="138"/>
        <v>1469.4</v>
      </c>
      <c r="P857" s="4">
        <f t="shared" si="139"/>
        <v>-1.9092122830440528E-2</v>
      </c>
    </row>
    <row r="858" spans="1:16" x14ac:dyDescent="0.25">
      <c r="A858" s="1">
        <v>42478</v>
      </c>
      <c r="B858">
        <v>1460</v>
      </c>
      <c r="C858">
        <v>1473.9</v>
      </c>
      <c r="D858">
        <v>1450.15</v>
      </c>
      <c r="E858" s="7">
        <v>1465.35</v>
      </c>
      <c r="F858">
        <v>652660</v>
      </c>
      <c r="G858" s="8">
        <f t="shared" si="130"/>
        <v>1463.1333333333332</v>
      </c>
      <c r="H858" s="9">
        <f t="shared" si="131"/>
        <v>954928601.33333325</v>
      </c>
      <c r="I858" s="9">
        <f t="shared" si="134"/>
        <v>14997129357.15</v>
      </c>
      <c r="J858" s="9">
        <f t="shared" si="135"/>
        <v>10057410</v>
      </c>
      <c r="K858" s="21">
        <f t="shared" si="136"/>
        <v>1491.152230758217</v>
      </c>
      <c r="L858" s="4" t="str">
        <f t="shared" si="132"/>
        <v>SELL</v>
      </c>
      <c r="M858" s="4">
        <f t="shared" si="137"/>
        <v>0</v>
      </c>
      <c r="N858" s="4">
        <f t="shared" si="133"/>
        <v>-1</v>
      </c>
      <c r="O858" s="4">
        <f t="shared" si="138"/>
        <v>1469.4</v>
      </c>
      <c r="P858" s="4">
        <f t="shared" si="139"/>
        <v>0</v>
      </c>
    </row>
    <row r="859" spans="1:16" x14ac:dyDescent="0.25">
      <c r="A859" s="1">
        <v>42479</v>
      </c>
      <c r="B859">
        <v>1461.1</v>
      </c>
      <c r="C859">
        <v>1472.65</v>
      </c>
      <c r="D859">
        <v>1452.7</v>
      </c>
      <c r="E859" s="7">
        <v>1467.8</v>
      </c>
      <c r="F859">
        <v>864338</v>
      </c>
      <c r="G859" s="8">
        <f t="shared" si="130"/>
        <v>1464.3833333333334</v>
      </c>
      <c r="H859" s="9">
        <f t="shared" si="131"/>
        <v>1265722161.5666668</v>
      </c>
      <c r="I859" s="9">
        <f t="shared" si="134"/>
        <v>14877689692.316666</v>
      </c>
      <c r="J859" s="9">
        <f t="shared" si="135"/>
        <v>9998276</v>
      </c>
      <c r="K859" s="21">
        <f t="shared" si="136"/>
        <v>1488.025504828699</v>
      </c>
      <c r="L859" s="4" t="str">
        <f t="shared" si="132"/>
        <v>SELL</v>
      </c>
      <c r="M859" s="4">
        <f t="shared" si="137"/>
        <v>0</v>
      </c>
      <c r="N859" s="4">
        <f t="shared" si="133"/>
        <v>-1</v>
      </c>
      <c r="O859" s="4">
        <f t="shared" si="138"/>
        <v>1469.4</v>
      </c>
      <c r="P859" s="4">
        <f t="shared" si="139"/>
        <v>0</v>
      </c>
    </row>
    <row r="860" spans="1:16" x14ac:dyDescent="0.25">
      <c r="A860" s="1">
        <v>42480</v>
      </c>
      <c r="B860">
        <v>1453.7</v>
      </c>
      <c r="C860">
        <v>1478.5</v>
      </c>
      <c r="D860">
        <v>1452.05</v>
      </c>
      <c r="E860" s="7">
        <v>1470.75</v>
      </c>
      <c r="F860">
        <v>1270226</v>
      </c>
      <c r="G860" s="8">
        <f t="shared" si="130"/>
        <v>1467.1000000000001</v>
      </c>
      <c r="H860" s="9">
        <f t="shared" si="131"/>
        <v>1863548564.6000001</v>
      </c>
      <c r="I860" s="9">
        <f t="shared" si="134"/>
        <v>14444390209.650002</v>
      </c>
      <c r="J860" s="9">
        <f t="shared" si="135"/>
        <v>9736521</v>
      </c>
      <c r="K860" s="21">
        <f t="shared" si="136"/>
        <v>1483.526837732903</v>
      </c>
      <c r="L860" s="4" t="str">
        <f t="shared" si="132"/>
        <v>SELL</v>
      </c>
      <c r="M860" s="4">
        <f t="shared" si="137"/>
        <v>0</v>
      </c>
      <c r="N860" s="4">
        <f t="shared" si="133"/>
        <v>-1</v>
      </c>
      <c r="O860" s="4">
        <f t="shared" si="138"/>
        <v>1469.4</v>
      </c>
      <c r="P860" s="4">
        <f t="shared" si="139"/>
        <v>0</v>
      </c>
    </row>
    <row r="861" spans="1:16" x14ac:dyDescent="0.25">
      <c r="A861" s="1">
        <v>42481</v>
      </c>
      <c r="B861">
        <v>1470.1</v>
      </c>
      <c r="C861">
        <v>1539</v>
      </c>
      <c r="D861">
        <v>1468</v>
      </c>
      <c r="E861" s="7">
        <v>1518.95</v>
      </c>
      <c r="F861">
        <v>1775422</v>
      </c>
      <c r="G861" s="8">
        <f t="shared" si="130"/>
        <v>1508.6499999999999</v>
      </c>
      <c r="H861" s="9">
        <f t="shared" si="131"/>
        <v>2678490400.2999997</v>
      </c>
      <c r="I861" s="9">
        <f t="shared" si="134"/>
        <v>15949819027.75</v>
      </c>
      <c r="J861" s="9">
        <f t="shared" si="135"/>
        <v>10718637</v>
      </c>
      <c r="K861" s="21">
        <f t="shared" si="136"/>
        <v>1488.0454509048118</v>
      </c>
      <c r="L861" s="4" t="str">
        <f t="shared" si="132"/>
        <v>BUY</v>
      </c>
      <c r="M861" s="4" t="str">
        <f t="shared" si="137"/>
        <v>BUY</v>
      </c>
      <c r="N861" s="4">
        <f t="shared" si="133"/>
        <v>1</v>
      </c>
      <c r="O861" s="4">
        <f t="shared" si="138"/>
        <v>1518.95</v>
      </c>
      <c r="P861" s="4">
        <f t="shared" si="139"/>
        <v>-3.3721246767388018E-2</v>
      </c>
    </row>
    <row r="862" spans="1:16" x14ac:dyDescent="0.25">
      <c r="A862" s="1">
        <v>42482</v>
      </c>
      <c r="B862">
        <v>1525.05</v>
      </c>
      <c r="C862">
        <v>1544.7</v>
      </c>
      <c r="D862">
        <v>1519.1</v>
      </c>
      <c r="E862" s="7">
        <v>1525.05</v>
      </c>
      <c r="F862">
        <v>1680215</v>
      </c>
      <c r="G862" s="8">
        <f t="shared" si="130"/>
        <v>1529.6166666666668</v>
      </c>
      <c r="H862" s="9">
        <f t="shared" si="131"/>
        <v>2570084867.5833335</v>
      </c>
      <c r="I862" s="9">
        <f t="shared" si="134"/>
        <v>17016172943.333334</v>
      </c>
      <c r="J862" s="9">
        <f t="shared" si="135"/>
        <v>11386920</v>
      </c>
      <c r="K862" s="21">
        <f t="shared" si="136"/>
        <v>1494.3613324176629</v>
      </c>
      <c r="L862" s="4" t="str">
        <f t="shared" si="132"/>
        <v>BUY</v>
      </c>
      <c r="M862" s="4">
        <f t="shared" si="137"/>
        <v>0</v>
      </c>
      <c r="N862" s="4">
        <f t="shared" si="133"/>
        <v>1</v>
      </c>
      <c r="O862" s="4">
        <f t="shared" si="138"/>
        <v>1518.95</v>
      </c>
      <c r="P862" s="4">
        <f t="shared" si="139"/>
        <v>0</v>
      </c>
    </row>
    <row r="863" spans="1:16" x14ac:dyDescent="0.25">
      <c r="A863" s="1">
        <v>42485</v>
      </c>
      <c r="B863">
        <v>1530.2</v>
      </c>
      <c r="C863">
        <v>1542</v>
      </c>
      <c r="D863">
        <v>1492</v>
      </c>
      <c r="E863" s="7">
        <v>1501.55</v>
      </c>
      <c r="F863">
        <v>1102734</v>
      </c>
      <c r="G863" s="8">
        <f t="shared" si="130"/>
        <v>1511.8500000000001</v>
      </c>
      <c r="H863" s="9">
        <f t="shared" si="131"/>
        <v>1667168397.9000001</v>
      </c>
      <c r="I863" s="9">
        <f t="shared" si="134"/>
        <v>17628273289.799999</v>
      </c>
      <c r="J863" s="9">
        <f t="shared" si="135"/>
        <v>11789527</v>
      </c>
      <c r="K863" s="21">
        <f t="shared" si="136"/>
        <v>1495.2485616937813</v>
      </c>
      <c r="L863" s="4" t="str">
        <f t="shared" si="132"/>
        <v>BUY</v>
      </c>
      <c r="M863" s="4">
        <f t="shared" si="137"/>
        <v>0</v>
      </c>
      <c r="N863" s="4">
        <f t="shared" si="133"/>
        <v>1</v>
      </c>
      <c r="O863" s="4">
        <f t="shared" si="138"/>
        <v>1518.95</v>
      </c>
      <c r="P863" s="4">
        <f t="shared" si="139"/>
        <v>0</v>
      </c>
    </row>
    <row r="864" spans="1:16" x14ac:dyDescent="0.25">
      <c r="A864" s="1">
        <v>42486</v>
      </c>
      <c r="B864">
        <v>1494.1</v>
      </c>
      <c r="C864">
        <v>1495.1</v>
      </c>
      <c r="D864">
        <v>1462.05</v>
      </c>
      <c r="E864" s="7">
        <v>1468.1</v>
      </c>
      <c r="F864">
        <v>2402977</v>
      </c>
      <c r="G864" s="8">
        <f t="shared" si="130"/>
        <v>1475.0833333333333</v>
      </c>
      <c r="H864" s="9">
        <f t="shared" si="131"/>
        <v>3544591323.083333</v>
      </c>
      <c r="I864" s="9">
        <f t="shared" si="134"/>
        <v>20081428149.866665</v>
      </c>
      <c r="J864" s="9">
        <f t="shared" si="135"/>
        <v>13466485</v>
      </c>
      <c r="K864" s="21">
        <f t="shared" si="136"/>
        <v>1491.2152762852863</v>
      </c>
      <c r="L864" s="4" t="str">
        <f t="shared" si="132"/>
        <v>SELL</v>
      </c>
      <c r="M864" s="4" t="str">
        <f t="shared" si="137"/>
        <v>SELL</v>
      </c>
      <c r="N864" s="4">
        <f t="shared" si="133"/>
        <v>-1</v>
      </c>
      <c r="O864" s="4">
        <f t="shared" si="138"/>
        <v>1468.1</v>
      </c>
      <c r="P864" s="4">
        <f t="shared" si="139"/>
        <v>-3.3477072978044135E-2</v>
      </c>
    </row>
    <row r="865" spans="1:16" x14ac:dyDescent="0.25">
      <c r="A865" s="1">
        <v>42487</v>
      </c>
      <c r="B865">
        <v>1460</v>
      </c>
      <c r="C865">
        <v>1464</v>
      </c>
      <c r="D865">
        <v>1435.1</v>
      </c>
      <c r="E865" s="7">
        <v>1445.65</v>
      </c>
      <c r="F865">
        <v>1575671</v>
      </c>
      <c r="G865" s="8">
        <f t="shared" si="130"/>
        <v>1448.25</v>
      </c>
      <c r="H865" s="9">
        <f t="shared" si="131"/>
        <v>2281965525.75</v>
      </c>
      <c r="I865" s="9">
        <f t="shared" si="134"/>
        <v>20557776401.216667</v>
      </c>
      <c r="J865" s="9">
        <f t="shared" si="135"/>
        <v>13837983</v>
      </c>
      <c r="K865" s="21">
        <f t="shared" si="136"/>
        <v>1485.6049758997874</v>
      </c>
      <c r="L865" s="4" t="str">
        <f t="shared" si="132"/>
        <v>SELL</v>
      </c>
      <c r="M865" s="4">
        <f t="shared" si="137"/>
        <v>0</v>
      </c>
      <c r="N865" s="4">
        <f t="shared" si="133"/>
        <v>-1</v>
      </c>
      <c r="O865" s="4">
        <f t="shared" si="138"/>
        <v>1468.1</v>
      </c>
      <c r="P865" s="4">
        <f t="shared" si="139"/>
        <v>0</v>
      </c>
    </row>
    <row r="866" spans="1:16" x14ac:dyDescent="0.25">
      <c r="A866" s="1">
        <v>42488</v>
      </c>
      <c r="B866">
        <v>1448</v>
      </c>
      <c r="C866">
        <v>1457.25</v>
      </c>
      <c r="D866">
        <v>1431</v>
      </c>
      <c r="E866" s="7">
        <v>1450.7</v>
      </c>
      <c r="F866">
        <v>1552998</v>
      </c>
      <c r="G866" s="8">
        <f t="shared" si="130"/>
        <v>1446.3166666666666</v>
      </c>
      <c r="H866" s="9">
        <f t="shared" si="131"/>
        <v>2246126890.6999998</v>
      </c>
      <c r="I866" s="9">
        <f t="shared" si="134"/>
        <v>21361503866.483334</v>
      </c>
      <c r="J866" s="9">
        <f t="shared" si="135"/>
        <v>14426047</v>
      </c>
      <c r="K866" s="21">
        <f t="shared" si="136"/>
        <v>1480.7593422150458</v>
      </c>
      <c r="L866" s="4" t="str">
        <f t="shared" si="132"/>
        <v>SELL</v>
      </c>
      <c r="M866" s="4">
        <f t="shared" si="137"/>
        <v>0</v>
      </c>
      <c r="N866" s="4">
        <f t="shared" si="133"/>
        <v>-1</v>
      </c>
      <c r="O866" s="4">
        <f t="shared" si="138"/>
        <v>1468.1</v>
      </c>
      <c r="P866" s="4">
        <f t="shared" si="139"/>
        <v>0</v>
      </c>
    </row>
    <row r="867" spans="1:16" x14ac:dyDescent="0.25">
      <c r="A867" s="1">
        <v>42489</v>
      </c>
      <c r="B867">
        <v>1453</v>
      </c>
      <c r="C867">
        <v>1465</v>
      </c>
      <c r="D867">
        <v>1428</v>
      </c>
      <c r="E867" s="7">
        <v>1452.45</v>
      </c>
      <c r="F867">
        <v>1292081</v>
      </c>
      <c r="G867" s="8">
        <f t="shared" si="130"/>
        <v>1448.4833333333333</v>
      </c>
      <c r="H867" s="9">
        <f t="shared" si="131"/>
        <v>1871557793.8166666</v>
      </c>
      <c r="I867" s="9">
        <f t="shared" si="134"/>
        <v>20944184526.633331</v>
      </c>
      <c r="J867" s="9">
        <f t="shared" si="135"/>
        <v>14169322</v>
      </c>
      <c r="K867" s="21">
        <f t="shared" si="136"/>
        <v>1478.1359705590239</v>
      </c>
      <c r="L867" s="4" t="str">
        <f t="shared" si="132"/>
        <v>SELL</v>
      </c>
      <c r="M867" s="4">
        <f t="shared" si="137"/>
        <v>0</v>
      </c>
      <c r="N867" s="4">
        <f t="shared" si="133"/>
        <v>-1</v>
      </c>
      <c r="O867" s="4">
        <f t="shared" si="138"/>
        <v>1468.1</v>
      </c>
      <c r="P867" s="4">
        <f t="shared" si="139"/>
        <v>0</v>
      </c>
    </row>
    <row r="868" spans="1:16" x14ac:dyDescent="0.25">
      <c r="A868" s="1">
        <v>42492</v>
      </c>
      <c r="B868">
        <v>1455</v>
      </c>
      <c r="C868">
        <v>1460</v>
      </c>
      <c r="D868">
        <v>1440.15</v>
      </c>
      <c r="E868" s="7">
        <v>1443.8</v>
      </c>
      <c r="F868">
        <v>1145764</v>
      </c>
      <c r="G868" s="8">
        <f t="shared" si="130"/>
        <v>1447.9833333333333</v>
      </c>
      <c r="H868" s="9">
        <f t="shared" si="131"/>
        <v>1659047175.9333334</v>
      </c>
      <c r="I868" s="9">
        <f t="shared" si="134"/>
        <v>21648303101.233334</v>
      </c>
      <c r="J868" s="9">
        <f t="shared" si="135"/>
        <v>14662426</v>
      </c>
      <c r="K868" s="21">
        <f t="shared" si="136"/>
        <v>1476.4475606719743</v>
      </c>
      <c r="L868" s="4" t="str">
        <f t="shared" si="132"/>
        <v>SELL</v>
      </c>
      <c r="M868" s="4">
        <f t="shared" si="137"/>
        <v>0</v>
      </c>
      <c r="N868" s="4">
        <f t="shared" si="133"/>
        <v>-1</v>
      </c>
      <c r="O868" s="4">
        <f t="shared" si="138"/>
        <v>1468.1</v>
      </c>
      <c r="P868" s="4">
        <f t="shared" si="139"/>
        <v>0</v>
      </c>
    </row>
    <row r="869" spans="1:16" x14ac:dyDescent="0.25">
      <c r="A869" s="1">
        <v>42493</v>
      </c>
      <c r="B869">
        <v>1454.9</v>
      </c>
      <c r="C869">
        <v>1454.9</v>
      </c>
      <c r="D869">
        <v>1423.55</v>
      </c>
      <c r="E869" s="7">
        <v>1427.7</v>
      </c>
      <c r="F869">
        <v>1069894</v>
      </c>
      <c r="G869" s="8">
        <f t="shared" si="130"/>
        <v>1435.3833333333332</v>
      </c>
      <c r="H869" s="9">
        <f t="shared" si="131"/>
        <v>1535708016.0333333</v>
      </c>
      <c r="I869" s="9">
        <f t="shared" si="134"/>
        <v>21918288955.700001</v>
      </c>
      <c r="J869" s="9">
        <f t="shared" si="135"/>
        <v>14867982</v>
      </c>
      <c r="K869" s="21">
        <f t="shared" si="136"/>
        <v>1474.1939394128942</v>
      </c>
      <c r="L869" s="4" t="str">
        <f t="shared" si="132"/>
        <v>SELL</v>
      </c>
      <c r="M869" s="4">
        <f t="shared" si="137"/>
        <v>0</v>
      </c>
      <c r="N869" s="4">
        <f t="shared" si="133"/>
        <v>-1</v>
      </c>
      <c r="O869" s="4">
        <f t="shared" si="138"/>
        <v>1468.1</v>
      </c>
      <c r="P869" s="4">
        <f t="shared" si="139"/>
        <v>0</v>
      </c>
    </row>
    <row r="870" spans="1:16" x14ac:dyDescent="0.25">
      <c r="A870" s="1">
        <v>42494</v>
      </c>
      <c r="B870">
        <v>1421</v>
      </c>
      <c r="C870">
        <v>1433.15</v>
      </c>
      <c r="D870">
        <v>1399.1</v>
      </c>
      <c r="E870" s="7">
        <v>1404.5</v>
      </c>
      <c r="F870">
        <v>2086439</v>
      </c>
      <c r="G870" s="8">
        <f t="shared" si="130"/>
        <v>1412.25</v>
      </c>
      <c r="H870" s="9">
        <f t="shared" si="131"/>
        <v>2946573477.75</v>
      </c>
      <c r="I870" s="9">
        <f t="shared" si="134"/>
        <v>23001313868.849998</v>
      </c>
      <c r="J870" s="9">
        <f t="shared" si="135"/>
        <v>15684195</v>
      </c>
      <c r="K870" s="21">
        <f t="shared" si="136"/>
        <v>1466.5281749461799</v>
      </c>
      <c r="L870" s="4" t="str">
        <f t="shared" si="132"/>
        <v>SELL</v>
      </c>
      <c r="M870" s="4">
        <f t="shared" si="137"/>
        <v>0</v>
      </c>
      <c r="N870" s="4">
        <f t="shared" si="133"/>
        <v>-1</v>
      </c>
      <c r="O870" s="4">
        <f t="shared" si="138"/>
        <v>1468.1</v>
      </c>
      <c r="P870" s="4">
        <f t="shared" si="139"/>
        <v>0</v>
      </c>
    </row>
    <row r="871" spans="1:16" x14ac:dyDescent="0.25">
      <c r="A871" s="1">
        <v>42495</v>
      </c>
      <c r="B871">
        <v>1408.8</v>
      </c>
      <c r="C871">
        <v>1431.85</v>
      </c>
      <c r="D871">
        <v>1408</v>
      </c>
      <c r="E871" s="7">
        <v>1422.25</v>
      </c>
      <c r="F871">
        <v>1424112</v>
      </c>
      <c r="G871" s="8">
        <f t="shared" si="130"/>
        <v>1420.7</v>
      </c>
      <c r="H871" s="9">
        <f t="shared" si="131"/>
        <v>2023235918.4000001</v>
      </c>
      <c r="I871" s="9">
        <f t="shared" si="134"/>
        <v>22346059386.950001</v>
      </c>
      <c r="J871" s="9">
        <f t="shared" si="135"/>
        <v>15332885</v>
      </c>
      <c r="K871" s="21">
        <f t="shared" si="136"/>
        <v>1457.3943120912993</v>
      </c>
      <c r="L871" s="4" t="str">
        <f t="shared" si="132"/>
        <v>SELL</v>
      </c>
      <c r="M871" s="4">
        <f t="shared" si="137"/>
        <v>0</v>
      </c>
      <c r="N871" s="4">
        <f t="shared" si="133"/>
        <v>-1</v>
      </c>
      <c r="O871" s="4">
        <f t="shared" si="138"/>
        <v>1468.1</v>
      </c>
      <c r="P871" s="4">
        <f t="shared" si="139"/>
        <v>0</v>
      </c>
    </row>
    <row r="872" spans="1:16" x14ac:dyDescent="0.25">
      <c r="A872" s="1">
        <v>42496</v>
      </c>
      <c r="B872">
        <v>1415</v>
      </c>
      <c r="C872">
        <v>1434.1</v>
      </c>
      <c r="D872">
        <v>1400.1</v>
      </c>
      <c r="E872" s="7">
        <v>1410.7</v>
      </c>
      <c r="F872">
        <v>944582</v>
      </c>
      <c r="G872" s="8">
        <f t="shared" si="130"/>
        <v>1414.9666666666665</v>
      </c>
      <c r="H872" s="9">
        <f t="shared" si="131"/>
        <v>1336552043.9333332</v>
      </c>
      <c r="I872" s="9">
        <f t="shared" si="134"/>
        <v>21112526563.300003</v>
      </c>
      <c r="J872" s="9">
        <f t="shared" si="135"/>
        <v>14597252</v>
      </c>
      <c r="K872" s="21">
        <f t="shared" si="136"/>
        <v>1446.3356913547839</v>
      </c>
      <c r="L872" s="4" t="str">
        <f t="shared" si="132"/>
        <v>SELL</v>
      </c>
      <c r="M872" s="4">
        <f t="shared" si="137"/>
        <v>0</v>
      </c>
      <c r="N872" s="4">
        <f t="shared" si="133"/>
        <v>-1</v>
      </c>
      <c r="O872" s="4">
        <f t="shared" si="138"/>
        <v>1468.1</v>
      </c>
      <c r="P872" s="4">
        <f t="shared" si="139"/>
        <v>0</v>
      </c>
    </row>
    <row r="873" spans="1:16" x14ac:dyDescent="0.25">
      <c r="A873" s="1">
        <v>42499</v>
      </c>
      <c r="B873">
        <v>1413.5</v>
      </c>
      <c r="C873">
        <v>1427.1</v>
      </c>
      <c r="D873">
        <v>1380.7</v>
      </c>
      <c r="E873" s="7">
        <v>1392.3</v>
      </c>
      <c r="F873">
        <v>930274</v>
      </c>
      <c r="G873" s="8">
        <f t="shared" si="130"/>
        <v>1400.0333333333335</v>
      </c>
      <c r="H873" s="9">
        <f t="shared" si="131"/>
        <v>1302414609.1333334</v>
      </c>
      <c r="I873" s="9">
        <f t="shared" si="134"/>
        <v>20747772774.533337</v>
      </c>
      <c r="J873" s="9">
        <f t="shared" si="135"/>
        <v>14424792</v>
      </c>
      <c r="K873" s="21">
        <f t="shared" si="136"/>
        <v>1438.3412096710535</v>
      </c>
      <c r="L873" s="4" t="str">
        <f t="shared" si="132"/>
        <v>SELL</v>
      </c>
      <c r="M873" s="4">
        <f t="shared" si="137"/>
        <v>0</v>
      </c>
      <c r="N873" s="4">
        <f t="shared" si="133"/>
        <v>-1</v>
      </c>
      <c r="O873" s="4">
        <f t="shared" si="138"/>
        <v>1468.1</v>
      </c>
      <c r="P873" s="4">
        <f t="shared" si="139"/>
        <v>0</v>
      </c>
    </row>
    <row r="874" spans="1:16" x14ac:dyDescent="0.25">
      <c r="A874" s="1">
        <v>42500</v>
      </c>
      <c r="B874">
        <v>1396.9</v>
      </c>
      <c r="C874">
        <v>1447.75</v>
      </c>
      <c r="D874">
        <v>1381.05</v>
      </c>
      <c r="E874" s="7">
        <v>1437.7</v>
      </c>
      <c r="F874">
        <v>1163244</v>
      </c>
      <c r="G874" s="8">
        <f t="shared" si="130"/>
        <v>1422.1666666666667</v>
      </c>
      <c r="H874" s="9">
        <f t="shared" si="131"/>
        <v>1654326842</v>
      </c>
      <c r="I874" s="9">
        <f t="shared" si="134"/>
        <v>18857508293.450001</v>
      </c>
      <c r="J874" s="9">
        <f t="shared" si="135"/>
        <v>13185059</v>
      </c>
      <c r="K874" s="21">
        <f t="shared" si="136"/>
        <v>1430.2179681903585</v>
      </c>
      <c r="L874" s="4" t="str">
        <f t="shared" si="132"/>
        <v>BUY</v>
      </c>
      <c r="M874" s="4" t="str">
        <f t="shared" si="137"/>
        <v>BUY</v>
      </c>
      <c r="N874" s="4">
        <f t="shared" si="133"/>
        <v>1</v>
      </c>
      <c r="O874" s="4">
        <f t="shared" si="138"/>
        <v>1437.7</v>
      </c>
      <c r="P874" s="4">
        <f t="shared" si="139"/>
        <v>2.0707036305428694E-2</v>
      </c>
    </row>
    <row r="875" spans="1:16" x14ac:dyDescent="0.25">
      <c r="A875" s="1">
        <v>42501</v>
      </c>
      <c r="B875">
        <v>1447.8</v>
      </c>
      <c r="C875">
        <v>1497</v>
      </c>
      <c r="D875">
        <v>1442</v>
      </c>
      <c r="E875" s="7">
        <v>1491.9</v>
      </c>
      <c r="F875">
        <v>1910339</v>
      </c>
      <c r="G875" s="8">
        <f t="shared" si="130"/>
        <v>1476.9666666666665</v>
      </c>
      <c r="H875" s="9">
        <f t="shared" si="131"/>
        <v>2821507025.0333328</v>
      </c>
      <c r="I875" s="9">
        <f t="shared" si="134"/>
        <v>19397049792.73333</v>
      </c>
      <c r="J875" s="9">
        <f t="shared" si="135"/>
        <v>13519727</v>
      </c>
      <c r="K875" s="21">
        <f t="shared" si="136"/>
        <v>1434.7220023550276</v>
      </c>
      <c r="L875" s="4" t="str">
        <f t="shared" si="132"/>
        <v>BUY</v>
      </c>
      <c r="M875" s="4">
        <f t="shared" si="137"/>
        <v>0</v>
      </c>
      <c r="N875" s="4">
        <f t="shared" si="133"/>
        <v>1</v>
      </c>
      <c r="O875" s="4">
        <f t="shared" si="138"/>
        <v>1437.7</v>
      </c>
      <c r="P875" s="4">
        <f t="shared" si="139"/>
        <v>0</v>
      </c>
    </row>
    <row r="876" spans="1:16" x14ac:dyDescent="0.25">
      <c r="A876" s="1">
        <v>42502</v>
      </c>
      <c r="B876">
        <v>1495</v>
      </c>
      <c r="C876">
        <v>1524.3</v>
      </c>
      <c r="D876">
        <v>1458.2</v>
      </c>
      <c r="E876" s="7">
        <v>1518.15</v>
      </c>
      <c r="F876">
        <v>2408548</v>
      </c>
      <c r="G876" s="8">
        <f t="shared" si="130"/>
        <v>1500.2166666666665</v>
      </c>
      <c r="H876" s="9">
        <f t="shared" si="131"/>
        <v>3613343852.0666661</v>
      </c>
      <c r="I876" s="9">
        <f t="shared" si="134"/>
        <v>20764266754.099998</v>
      </c>
      <c r="J876" s="9">
        <f t="shared" si="135"/>
        <v>14375277</v>
      </c>
      <c r="K876" s="21">
        <f t="shared" si="136"/>
        <v>1444.4428969333946</v>
      </c>
      <c r="L876" s="4" t="str">
        <f t="shared" si="132"/>
        <v>BUY</v>
      </c>
      <c r="M876" s="4">
        <f t="shared" si="137"/>
        <v>0</v>
      </c>
      <c r="N876" s="4">
        <f t="shared" si="133"/>
        <v>1</v>
      </c>
      <c r="O876" s="4">
        <f t="shared" si="138"/>
        <v>1437.7</v>
      </c>
      <c r="P876" s="4">
        <f t="shared" si="139"/>
        <v>0</v>
      </c>
    </row>
    <row r="877" spans="1:16" x14ac:dyDescent="0.25">
      <c r="A877" s="1">
        <v>42503</v>
      </c>
      <c r="B877">
        <v>1512</v>
      </c>
      <c r="C877">
        <v>1516.7</v>
      </c>
      <c r="D877">
        <v>1483.4</v>
      </c>
      <c r="E877" s="7">
        <v>1492.35</v>
      </c>
      <c r="F877">
        <v>677326</v>
      </c>
      <c r="G877" s="8">
        <f t="shared" si="130"/>
        <v>1497.4833333333336</v>
      </c>
      <c r="H877" s="9">
        <f t="shared" si="131"/>
        <v>1014284396.2333335</v>
      </c>
      <c r="I877" s="9">
        <f t="shared" si="134"/>
        <v>19906993356.516666</v>
      </c>
      <c r="J877" s="9">
        <f t="shared" si="135"/>
        <v>13760522</v>
      </c>
      <c r="K877" s="21">
        <f t="shared" si="136"/>
        <v>1446.6742872484538</v>
      </c>
      <c r="L877" s="4" t="str">
        <f t="shared" si="132"/>
        <v>BUY</v>
      </c>
      <c r="M877" s="4">
        <f t="shared" si="137"/>
        <v>0</v>
      </c>
      <c r="N877" s="4">
        <f t="shared" si="133"/>
        <v>1</v>
      </c>
      <c r="O877" s="4">
        <f t="shared" si="138"/>
        <v>1437.7</v>
      </c>
      <c r="P877" s="4">
        <f t="shared" si="139"/>
        <v>0</v>
      </c>
    </row>
    <row r="878" spans="1:16" x14ac:dyDescent="0.25">
      <c r="A878" s="1">
        <v>42506</v>
      </c>
      <c r="B878">
        <v>1493.1</v>
      </c>
      <c r="C878">
        <v>1508.5</v>
      </c>
      <c r="D878">
        <v>1486.65</v>
      </c>
      <c r="E878" s="7">
        <v>1500.55</v>
      </c>
      <c r="F878">
        <v>828621</v>
      </c>
      <c r="G878" s="8">
        <f t="shared" si="130"/>
        <v>1498.5666666666666</v>
      </c>
      <c r="H878" s="9">
        <f t="shared" si="131"/>
        <v>1241743809.8999999</v>
      </c>
      <c r="I878" s="9">
        <f t="shared" si="134"/>
        <v>19489689990.483334</v>
      </c>
      <c r="J878" s="9">
        <f t="shared" si="135"/>
        <v>13443379</v>
      </c>
      <c r="K878" s="21">
        <f t="shared" si="136"/>
        <v>1449.7612535124788</v>
      </c>
      <c r="L878" s="4" t="str">
        <f t="shared" si="132"/>
        <v>BUY</v>
      </c>
      <c r="M878" s="4">
        <f t="shared" si="137"/>
        <v>0</v>
      </c>
      <c r="N878" s="4">
        <f t="shared" si="133"/>
        <v>1</v>
      </c>
      <c r="O878" s="4">
        <f t="shared" si="138"/>
        <v>1437.7</v>
      </c>
      <c r="P878" s="4">
        <f t="shared" si="139"/>
        <v>0</v>
      </c>
    </row>
    <row r="879" spans="1:16" x14ac:dyDescent="0.25">
      <c r="A879" s="1">
        <v>42507</v>
      </c>
      <c r="B879">
        <v>1497.7</v>
      </c>
      <c r="C879">
        <v>1519</v>
      </c>
      <c r="D879">
        <v>1465</v>
      </c>
      <c r="E879" s="7">
        <v>1489.8</v>
      </c>
      <c r="F879">
        <v>765453</v>
      </c>
      <c r="G879" s="8">
        <f t="shared" si="130"/>
        <v>1491.2666666666667</v>
      </c>
      <c r="H879" s="9">
        <f t="shared" si="131"/>
        <v>1141494543.8</v>
      </c>
      <c r="I879" s="9">
        <f t="shared" si="134"/>
        <v>19095476518.25</v>
      </c>
      <c r="J879" s="9">
        <f t="shared" si="135"/>
        <v>13138938</v>
      </c>
      <c r="K879" s="21">
        <f t="shared" si="136"/>
        <v>1453.3500742792151</v>
      </c>
      <c r="L879" s="4" t="str">
        <f t="shared" si="132"/>
        <v>BUY</v>
      </c>
      <c r="M879" s="4">
        <f t="shared" si="137"/>
        <v>0</v>
      </c>
      <c r="N879" s="4">
        <f t="shared" si="133"/>
        <v>1</v>
      </c>
      <c r="O879" s="4">
        <f t="shared" si="138"/>
        <v>1437.7</v>
      </c>
      <c r="P879" s="4">
        <f t="shared" si="139"/>
        <v>0</v>
      </c>
    </row>
    <row r="880" spans="1:16" x14ac:dyDescent="0.25">
      <c r="A880" s="1">
        <v>42508</v>
      </c>
      <c r="B880">
        <v>1490.85</v>
      </c>
      <c r="C880">
        <v>1541</v>
      </c>
      <c r="D880">
        <v>1490</v>
      </c>
      <c r="E880" s="7">
        <v>1538.3</v>
      </c>
      <c r="F880">
        <v>958530</v>
      </c>
      <c r="G880" s="8">
        <f t="shared" si="130"/>
        <v>1523.1000000000001</v>
      </c>
      <c r="H880" s="9">
        <f t="shared" si="131"/>
        <v>1459937043.0000002</v>
      </c>
      <c r="I880" s="9">
        <f t="shared" si="134"/>
        <v>17608840083.5</v>
      </c>
      <c r="J880" s="9">
        <f t="shared" si="135"/>
        <v>12011029</v>
      </c>
      <c r="K880" s="21">
        <f t="shared" si="136"/>
        <v>1466.0559127365357</v>
      </c>
      <c r="L880" s="4" t="str">
        <f t="shared" si="132"/>
        <v>BUY</v>
      </c>
      <c r="M880" s="4">
        <f t="shared" si="137"/>
        <v>0</v>
      </c>
      <c r="N880" s="4">
        <f t="shared" si="133"/>
        <v>1</v>
      </c>
      <c r="O880" s="4">
        <f t="shared" si="138"/>
        <v>1437.7</v>
      </c>
      <c r="P880" s="4">
        <f t="shared" si="139"/>
        <v>0</v>
      </c>
    </row>
    <row r="881" spans="1:16" x14ac:dyDescent="0.25">
      <c r="A881" s="1">
        <v>42509</v>
      </c>
      <c r="B881">
        <v>1542</v>
      </c>
      <c r="C881">
        <v>1558</v>
      </c>
      <c r="D881">
        <v>1522</v>
      </c>
      <c r="E881" s="7">
        <v>1530.2</v>
      </c>
      <c r="F881">
        <v>646506</v>
      </c>
      <c r="G881" s="8">
        <f t="shared" si="130"/>
        <v>1536.7333333333333</v>
      </c>
      <c r="H881" s="9">
        <f t="shared" si="131"/>
        <v>993507320.39999998</v>
      </c>
      <c r="I881" s="9">
        <f t="shared" si="134"/>
        <v>16579111485.499998</v>
      </c>
      <c r="J881" s="9">
        <f t="shared" si="135"/>
        <v>11233423</v>
      </c>
      <c r="K881" s="21">
        <f t="shared" si="136"/>
        <v>1475.8735147336656</v>
      </c>
      <c r="L881" s="4" t="str">
        <f t="shared" si="132"/>
        <v>BUY</v>
      </c>
      <c r="M881" s="4">
        <f t="shared" si="137"/>
        <v>0</v>
      </c>
      <c r="N881" s="4">
        <f t="shared" si="133"/>
        <v>1</v>
      </c>
      <c r="O881" s="4">
        <f t="shared" si="138"/>
        <v>1437.7</v>
      </c>
      <c r="P881" s="4">
        <f t="shared" si="139"/>
        <v>0</v>
      </c>
    </row>
    <row r="882" spans="1:16" x14ac:dyDescent="0.25">
      <c r="A882" s="1">
        <v>42510</v>
      </c>
      <c r="B882">
        <v>1528</v>
      </c>
      <c r="C882">
        <v>1535</v>
      </c>
      <c r="D882">
        <v>1500</v>
      </c>
      <c r="E882" s="7">
        <v>1506.65</v>
      </c>
      <c r="F882">
        <v>829398</v>
      </c>
      <c r="G882" s="8">
        <f t="shared" si="130"/>
        <v>1513.8833333333332</v>
      </c>
      <c r="H882" s="9">
        <f t="shared" si="131"/>
        <v>1255611808.8999999</v>
      </c>
      <c r="I882" s="9">
        <f t="shared" si="134"/>
        <v>16498171250.466663</v>
      </c>
      <c r="J882" s="9">
        <f t="shared" si="135"/>
        <v>11118239</v>
      </c>
      <c r="K882" s="21">
        <f t="shared" si="136"/>
        <v>1483.8834864466094</v>
      </c>
      <c r="L882" s="4" t="str">
        <f t="shared" si="132"/>
        <v>BUY</v>
      </c>
      <c r="M882" s="4">
        <f t="shared" si="137"/>
        <v>0</v>
      </c>
      <c r="N882" s="4">
        <f t="shared" si="133"/>
        <v>1</v>
      </c>
      <c r="O882" s="4">
        <f t="shared" si="138"/>
        <v>1437.7</v>
      </c>
      <c r="P882" s="4">
        <f t="shared" si="139"/>
        <v>0</v>
      </c>
    </row>
    <row r="883" spans="1:16" x14ac:dyDescent="0.25">
      <c r="A883" s="1">
        <v>42513</v>
      </c>
      <c r="B883">
        <v>1495.3</v>
      </c>
      <c r="C883">
        <v>1521.75</v>
      </c>
      <c r="D883">
        <v>1495.3</v>
      </c>
      <c r="E883" s="7">
        <v>1504.9</v>
      </c>
      <c r="F883">
        <v>548663</v>
      </c>
      <c r="G883" s="8">
        <f t="shared" si="130"/>
        <v>1507.3166666666668</v>
      </c>
      <c r="H883" s="9">
        <f t="shared" si="131"/>
        <v>827008884.28333342</v>
      </c>
      <c r="I883" s="9">
        <f t="shared" si="134"/>
        <v>16022765525.616663</v>
      </c>
      <c r="J883" s="9">
        <f t="shared" si="135"/>
        <v>10736628</v>
      </c>
      <c r="K883" s="21">
        <f t="shared" si="136"/>
        <v>1492.3461561317633</v>
      </c>
      <c r="L883" s="4" t="str">
        <f t="shared" si="132"/>
        <v>BUY</v>
      </c>
      <c r="M883" s="4">
        <f t="shared" si="137"/>
        <v>0</v>
      </c>
      <c r="N883" s="4">
        <f t="shared" si="133"/>
        <v>1</v>
      </c>
      <c r="O883" s="4">
        <f t="shared" si="138"/>
        <v>1437.7</v>
      </c>
      <c r="P883" s="4">
        <f t="shared" si="139"/>
        <v>0</v>
      </c>
    </row>
    <row r="884" spans="1:16" x14ac:dyDescent="0.25">
      <c r="A884" s="1">
        <v>42514</v>
      </c>
      <c r="B884">
        <v>1510</v>
      </c>
      <c r="C884">
        <v>1526.8</v>
      </c>
      <c r="D884">
        <v>1498</v>
      </c>
      <c r="E884" s="7">
        <v>1511.95</v>
      </c>
      <c r="F884">
        <v>661312</v>
      </c>
      <c r="G884" s="8">
        <f t="shared" si="130"/>
        <v>1512.25</v>
      </c>
      <c r="H884" s="9">
        <f t="shared" si="131"/>
        <v>1000069072</v>
      </c>
      <c r="I884" s="9">
        <f t="shared" si="134"/>
        <v>15368507755.616663</v>
      </c>
      <c r="J884" s="9">
        <f t="shared" si="135"/>
        <v>10234696</v>
      </c>
      <c r="K884" s="21">
        <f t="shared" si="136"/>
        <v>1501.6086218502887</v>
      </c>
      <c r="L884" s="4" t="str">
        <f t="shared" si="132"/>
        <v>BUY</v>
      </c>
      <c r="M884" s="4">
        <f t="shared" si="137"/>
        <v>0</v>
      </c>
      <c r="N884" s="4">
        <f t="shared" si="133"/>
        <v>1</v>
      </c>
      <c r="O884" s="4">
        <f t="shared" si="138"/>
        <v>1437.7</v>
      </c>
      <c r="P884" s="4">
        <f t="shared" si="139"/>
        <v>0</v>
      </c>
    </row>
    <row r="885" spans="1:16" x14ac:dyDescent="0.25">
      <c r="A885" s="1">
        <v>42515</v>
      </c>
      <c r="B885">
        <v>1520</v>
      </c>
      <c r="C885">
        <v>1570</v>
      </c>
      <c r="D885">
        <v>1520</v>
      </c>
      <c r="E885" s="7">
        <v>1564.55</v>
      </c>
      <c r="F885">
        <v>1167637</v>
      </c>
      <c r="G885" s="8">
        <f t="shared" si="130"/>
        <v>1551.5166666666667</v>
      </c>
      <c r="H885" s="9">
        <f t="shared" si="131"/>
        <v>1811608266.1166666</v>
      </c>
      <c r="I885" s="9">
        <f t="shared" si="134"/>
        <v>14358608996.699999</v>
      </c>
      <c r="J885" s="9">
        <f t="shared" si="135"/>
        <v>9491994</v>
      </c>
      <c r="K885" s="21">
        <f t="shared" si="136"/>
        <v>1512.7073401753098</v>
      </c>
      <c r="L885" s="4" t="str">
        <f t="shared" si="132"/>
        <v>BUY</v>
      </c>
      <c r="M885" s="4">
        <f t="shared" si="137"/>
        <v>0</v>
      </c>
      <c r="N885" s="4">
        <f t="shared" si="133"/>
        <v>1</v>
      </c>
      <c r="O885" s="4">
        <f t="shared" si="138"/>
        <v>1437.7</v>
      </c>
      <c r="P885" s="4">
        <f t="shared" si="139"/>
        <v>0</v>
      </c>
    </row>
    <row r="886" spans="1:16" x14ac:dyDescent="0.25">
      <c r="A886" s="1">
        <v>42516</v>
      </c>
      <c r="B886">
        <v>1595</v>
      </c>
      <c r="C886">
        <v>1624.8</v>
      </c>
      <c r="D886">
        <v>1579.3</v>
      </c>
      <c r="E886" s="7">
        <v>1609.85</v>
      </c>
      <c r="F886">
        <v>1625768</v>
      </c>
      <c r="G886" s="8">
        <f t="shared" si="130"/>
        <v>1604.6499999999999</v>
      </c>
      <c r="H886" s="9">
        <f t="shared" si="131"/>
        <v>2608788621.1999998</v>
      </c>
      <c r="I886" s="9">
        <f t="shared" si="134"/>
        <v>13354053765.833332</v>
      </c>
      <c r="J886" s="9">
        <f t="shared" si="135"/>
        <v>8709214</v>
      </c>
      <c r="K886" s="21">
        <f t="shared" si="136"/>
        <v>1533.3247943882573</v>
      </c>
      <c r="L886" s="4" t="str">
        <f t="shared" si="132"/>
        <v>BUY</v>
      </c>
      <c r="M886" s="4">
        <f t="shared" si="137"/>
        <v>0</v>
      </c>
      <c r="N886" s="4">
        <f t="shared" si="133"/>
        <v>1</v>
      </c>
      <c r="O886" s="4">
        <f t="shared" si="138"/>
        <v>1437.7</v>
      </c>
      <c r="P886" s="4">
        <f t="shared" si="139"/>
        <v>0</v>
      </c>
    </row>
    <row r="887" spans="1:16" x14ac:dyDescent="0.25">
      <c r="A887" s="1">
        <v>42517</v>
      </c>
      <c r="B887">
        <v>1601.1</v>
      </c>
      <c r="C887">
        <v>1647.3</v>
      </c>
      <c r="D887">
        <v>1599.3</v>
      </c>
      <c r="E887" s="7">
        <v>1641.75</v>
      </c>
      <c r="F887">
        <v>1030285</v>
      </c>
      <c r="G887" s="8">
        <f t="shared" si="130"/>
        <v>1629.45</v>
      </c>
      <c r="H887" s="9">
        <f t="shared" si="131"/>
        <v>1678797893.25</v>
      </c>
      <c r="I887" s="9">
        <f t="shared" si="134"/>
        <v>14018567262.849998</v>
      </c>
      <c r="J887" s="9">
        <f t="shared" si="135"/>
        <v>9062173</v>
      </c>
      <c r="K887" s="21">
        <f t="shared" si="136"/>
        <v>1546.9322052061905</v>
      </c>
      <c r="L887" s="4" t="str">
        <f t="shared" si="132"/>
        <v>BUY</v>
      </c>
      <c r="M887" s="4">
        <f t="shared" si="137"/>
        <v>0</v>
      </c>
      <c r="N887" s="4">
        <f t="shared" si="133"/>
        <v>1</v>
      </c>
      <c r="O887" s="4">
        <f t="shared" si="138"/>
        <v>1437.7</v>
      </c>
      <c r="P887" s="4">
        <f t="shared" si="139"/>
        <v>0</v>
      </c>
    </row>
    <row r="888" spans="1:16" x14ac:dyDescent="0.25">
      <c r="A888" s="1">
        <v>42520</v>
      </c>
      <c r="B888">
        <v>1625</v>
      </c>
      <c r="C888">
        <v>1666.35</v>
      </c>
      <c r="D888">
        <v>1617.6</v>
      </c>
      <c r="E888" s="7">
        <v>1649.35</v>
      </c>
      <c r="F888">
        <v>1112493</v>
      </c>
      <c r="G888" s="8">
        <f t="shared" si="130"/>
        <v>1644.4333333333332</v>
      </c>
      <c r="H888" s="9">
        <f t="shared" si="131"/>
        <v>1829420572.2999997</v>
      </c>
      <c r="I888" s="9">
        <f t="shared" si="134"/>
        <v>14606244025.25</v>
      </c>
      <c r="J888" s="9">
        <f t="shared" si="135"/>
        <v>9346045</v>
      </c>
      <c r="K888" s="21">
        <f t="shared" si="136"/>
        <v>1562.8262035171026</v>
      </c>
      <c r="L888" s="4" t="str">
        <f t="shared" si="132"/>
        <v>BUY</v>
      </c>
      <c r="M888" s="4">
        <f t="shared" si="137"/>
        <v>0</v>
      </c>
      <c r="N888" s="4">
        <f t="shared" si="133"/>
        <v>1</v>
      </c>
      <c r="O888" s="4">
        <f t="shared" si="138"/>
        <v>1437.7</v>
      </c>
      <c r="P888" s="4">
        <f t="shared" si="139"/>
        <v>0</v>
      </c>
    </row>
    <row r="889" spans="1:16" x14ac:dyDescent="0.25">
      <c r="A889" s="1">
        <v>42521</v>
      </c>
      <c r="B889">
        <v>1645.05</v>
      </c>
      <c r="C889">
        <v>1684.95</v>
      </c>
      <c r="D889">
        <v>1645.05</v>
      </c>
      <c r="E889" s="7">
        <v>1678.5</v>
      </c>
      <c r="F889">
        <v>1499625</v>
      </c>
      <c r="G889" s="8">
        <f t="shared" si="130"/>
        <v>1669.5</v>
      </c>
      <c r="H889" s="9">
        <f t="shared" si="131"/>
        <v>2503623937.5</v>
      </c>
      <c r="I889" s="9">
        <f t="shared" si="134"/>
        <v>15968373418.950001</v>
      </c>
      <c r="J889" s="9">
        <f t="shared" si="135"/>
        <v>10080217</v>
      </c>
      <c r="K889" s="21">
        <f t="shared" si="136"/>
        <v>1584.1299268607015</v>
      </c>
      <c r="L889" s="4" t="str">
        <f t="shared" si="132"/>
        <v>BUY</v>
      </c>
      <c r="M889" s="4">
        <f t="shared" si="137"/>
        <v>0</v>
      </c>
      <c r="N889" s="4">
        <f t="shared" si="133"/>
        <v>1</v>
      </c>
      <c r="O889" s="4">
        <f t="shared" si="138"/>
        <v>1437.7</v>
      </c>
      <c r="P889" s="4">
        <f t="shared" si="139"/>
        <v>0</v>
      </c>
    </row>
    <row r="890" spans="1:16" x14ac:dyDescent="0.25">
      <c r="A890" s="1">
        <v>42522</v>
      </c>
      <c r="B890">
        <v>1680</v>
      </c>
      <c r="C890">
        <v>1692.3</v>
      </c>
      <c r="D890">
        <v>1644</v>
      </c>
      <c r="E890" s="7">
        <v>1660.4</v>
      </c>
      <c r="F890">
        <v>1722766</v>
      </c>
      <c r="G890" s="8">
        <f t="shared" si="130"/>
        <v>1665.5666666666668</v>
      </c>
      <c r="H890" s="9">
        <f t="shared" si="131"/>
        <v>2869381624.0666671</v>
      </c>
      <c r="I890" s="9">
        <f t="shared" si="134"/>
        <v>17377818000.016666</v>
      </c>
      <c r="J890" s="9">
        <f t="shared" si="135"/>
        <v>10844453</v>
      </c>
      <c r="K890" s="21">
        <f t="shared" si="136"/>
        <v>1602.4614611743596</v>
      </c>
      <c r="L890" s="4" t="str">
        <f t="shared" si="132"/>
        <v>BUY</v>
      </c>
      <c r="M890" s="4">
        <f t="shared" si="137"/>
        <v>0</v>
      </c>
      <c r="N890" s="4">
        <f t="shared" si="133"/>
        <v>1</v>
      </c>
      <c r="O890" s="4">
        <f t="shared" si="138"/>
        <v>1437.7</v>
      </c>
      <c r="P890" s="4">
        <f t="shared" si="139"/>
        <v>0</v>
      </c>
    </row>
    <row r="891" spans="1:16" x14ac:dyDescent="0.25">
      <c r="A891" s="1">
        <v>42523</v>
      </c>
      <c r="B891">
        <v>1719</v>
      </c>
      <c r="C891">
        <v>1759</v>
      </c>
      <c r="D891">
        <v>1700</v>
      </c>
      <c r="E891" s="7">
        <v>1742.8</v>
      </c>
      <c r="F891">
        <v>4275402</v>
      </c>
      <c r="G891" s="8">
        <f t="shared" si="130"/>
        <v>1733.9333333333334</v>
      </c>
      <c r="H891" s="9">
        <f t="shared" si="131"/>
        <v>7413262041.1999998</v>
      </c>
      <c r="I891" s="9">
        <f t="shared" si="134"/>
        <v>23797572720.816666</v>
      </c>
      <c r="J891" s="9">
        <f t="shared" si="135"/>
        <v>14473349</v>
      </c>
      <c r="K891" s="21">
        <f t="shared" si="136"/>
        <v>1644.2340138980042</v>
      </c>
      <c r="L891" s="4" t="str">
        <f t="shared" si="132"/>
        <v>BUY</v>
      </c>
      <c r="M891" s="4">
        <f t="shared" si="137"/>
        <v>0</v>
      </c>
      <c r="N891" s="4">
        <f t="shared" si="133"/>
        <v>1</v>
      </c>
      <c r="O891" s="4">
        <f t="shared" si="138"/>
        <v>1437.7</v>
      </c>
      <c r="P891" s="4">
        <f t="shared" si="139"/>
        <v>0</v>
      </c>
    </row>
    <row r="892" spans="1:16" x14ac:dyDescent="0.25">
      <c r="A892" s="1">
        <v>42524</v>
      </c>
      <c r="B892">
        <v>1741</v>
      </c>
      <c r="C892">
        <v>1758.8</v>
      </c>
      <c r="D892">
        <v>1728.3</v>
      </c>
      <c r="E892" s="7">
        <v>1746.5</v>
      </c>
      <c r="F892">
        <v>1487386</v>
      </c>
      <c r="G892" s="8">
        <f t="shared" si="130"/>
        <v>1744.5333333333335</v>
      </c>
      <c r="H892" s="9">
        <f t="shared" si="131"/>
        <v>2594794456.5333338</v>
      </c>
      <c r="I892" s="9">
        <f t="shared" si="134"/>
        <v>25136755368.450001</v>
      </c>
      <c r="J892" s="9">
        <f t="shared" si="135"/>
        <v>15131337</v>
      </c>
      <c r="K892" s="21">
        <f t="shared" si="136"/>
        <v>1661.238221609234</v>
      </c>
      <c r="L892" s="4" t="str">
        <f t="shared" si="132"/>
        <v>BUY</v>
      </c>
      <c r="M892" s="4">
        <f t="shared" si="137"/>
        <v>0</v>
      </c>
      <c r="N892" s="4">
        <f t="shared" si="133"/>
        <v>1</v>
      </c>
      <c r="O892" s="4">
        <f t="shared" si="138"/>
        <v>1437.7</v>
      </c>
      <c r="P892" s="4">
        <f t="shared" si="139"/>
        <v>0</v>
      </c>
    </row>
    <row r="893" spans="1:16" x14ac:dyDescent="0.25">
      <c r="A893" s="1">
        <v>42527</v>
      </c>
      <c r="B893">
        <v>1748</v>
      </c>
      <c r="C893">
        <v>1780.45</v>
      </c>
      <c r="D893">
        <v>1743.6</v>
      </c>
      <c r="E893" s="7">
        <v>1749.8</v>
      </c>
      <c r="F893">
        <v>823251</v>
      </c>
      <c r="G893" s="8">
        <f t="shared" si="130"/>
        <v>1757.95</v>
      </c>
      <c r="H893" s="9">
        <f t="shared" si="131"/>
        <v>1447234095.45</v>
      </c>
      <c r="I893" s="9">
        <f t="shared" si="134"/>
        <v>25756980579.616669</v>
      </c>
      <c r="J893" s="9">
        <f t="shared" si="135"/>
        <v>15405925</v>
      </c>
      <c r="K893" s="21">
        <f t="shared" si="136"/>
        <v>1671.8879638591432</v>
      </c>
      <c r="L893" s="4" t="str">
        <f t="shared" si="132"/>
        <v>BUY</v>
      </c>
      <c r="M893" s="4">
        <f t="shared" si="137"/>
        <v>0</v>
      </c>
      <c r="N893" s="4">
        <f t="shared" si="133"/>
        <v>1</v>
      </c>
      <c r="O893" s="4">
        <f t="shared" si="138"/>
        <v>1437.7</v>
      </c>
      <c r="P893" s="4">
        <f t="shared" si="139"/>
        <v>0</v>
      </c>
    </row>
    <row r="894" spans="1:16" x14ac:dyDescent="0.25">
      <c r="A894" s="1">
        <v>42528</v>
      </c>
      <c r="B894">
        <v>1748.5</v>
      </c>
      <c r="C894">
        <v>1792</v>
      </c>
      <c r="D894">
        <v>1745</v>
      </c>
      <c r="E894" s="7">
        <v>1782.8</v>
      </c>
      <c r="F894">
        <v>1090822</v>
      </c>
      <c r="G894" s="8">
        <f t="shared" si="130"/>
        <v>1773.2666666666667</v>
      </c>
      <c r="H894" s="9">
        <f t="shared" si="131"/>
        <v>1934318291.8666666</v>
      </c>
      <c r="I894" s="9">
        <f t="shared" si="134"/>
        <v>26691229799.483334</v>
      </c>
      <c r="J894" s="9">
        <f t="shared" si="135"/>
        <v>15835435</v>
      </c>
      <c r="K894" s="21">
        <f t="shared" si="136"/>
        <v>1685.5381490614773</v>
      </c>
      <c r="L894" s="4" t="str">
        <f t="shared" si="132"/>
        <v>BUY</v>
      </c>
      <c r="M894" s="4">
        <f t="shared" si="137"/>
        <v>0</v>
      </c>
      <c r="N894" s="4">
        <f t="shared" si="133"/>
        <v>1</v>
      </c>
      <c r="O894" s="4">
        <f t="shared" si="138"/>
        <v>1437.7</v>
      </c>
      <c r="P894" s="4">
        <f t="shared" si="139"/>
        <v>0</v>
      </c>
    </row>
    <row r="895" spans="1:16" x14ac:dyDescent="0.25">
      <c r="A895" s="1">
        <v>42529</v>
      </c>
      <c r="B895">
        <v>1780</v>
      </c>
      <c r="C895">
        <v>1810</v>
      </c>
      <c r="D895">
        <v>1766.7</v>
      </c>
      <c r="E895" s="7">
        <v>1795.75</v>
      </c>
      <c r="F895">
        <v>2044404</v>
      </c>
      <c r="G895" s="8">
        <f t="shared" si="130"/>
        <v>1790.8166666666666</v>
      </c>
      <c r="H895" s="9">
        <f t="shared" si="131"/>
        <v>3661152756.5999999</v>
      </c>
      <c r="I895" s="9">
        <f t="shared" si="134"/>
        <v>28540774289.966663</v>
      </c>
      <c r="J895" s="9">
        <f t="shared" si="135"/>
        <v>16712202</v>
      </c>
      <c r="K895" s="21">
        <f t="shared" si="136"/>
        <v>1707.780595876394</v>
      </c>
      <c r="L895" s="4" t="str">
        <f t="shared" si="132"/>
        <v>BUY</v>
      </c>
      <c r="M895" s="4">
        <f t="shared" si="137"/>
        <v>0</v>
      </c>
      <c r="N895" s="4">
        <f t="shared" si="133"/>
        <v>1</v>
      </c>
      <c r="O895" s="4">
        <f t="shared" si="138"/>
        <v>1437.7</v>
      </c>
      <c r="P895" s="4">
        <f t="shared" si="139"/>
        <v>0</v>
      </c>
    </row>
    <row r="896" spans="1:16" x14ac:dyDescent="0.25">
      <c r="A896" s="1">
        <v>42530</v>
      </c>
      <c r="B896">
        <v>1795</v>
      </c>
      <c r="C896">
        <v>1798.95</v>
      </c>
      <c r="D896">
        <v>1750.1</v>
      </c>
      <c r="E896" s="7">
        <v>1774.5</v>
      </c>
      <c r="F896">
        <v>1189532</v>
      </c>
      <c r="G896" s="8">
        <f t="shared" si="130"/>
        <v>1774.5166666666667</v>
      </c>
      <c r="H896" s="9">
        <f t="shared" si="131"/>
        <v>2110844359.5333333</v>
      </c>
      <c r="I896" s="9">
        <f t="shared" si="134"/>
        <v>28042830028.299995</v>
      </c>
      <c r="J896" s="9">
        <f t="shared" si="135"/>
        <v>16275966</v>
      </c>
      <c r="K896" s="21">
        <f t="shared" si="136"/>
        <v>1722.9594869084881</v>
      </c>
      <c r="L896" s="4" t="str">
        <f t="shared" si="132"/>
        <v>BUY</v>
      </c>
      <c r="M896" s="4">
        <f t="shared" si="137"/>
        <v>0</v>
      </c>
      <c r="N896" s="4">
        <f t="shared" si="133"/>
        <v>1</v>
      </c>
      <c r="O896" s="4">
        <f t="shared" si="138"/>
        <v>1437.7</v>
      </c>
      <c r="P896" s="4">
        <f t="shared" si="139"/>
        <v>0</v>
      </c>
    </row>
    <row r="897" spans="1:16" x14ac:dyDescent="0.25">
      <c r="A897" s="1">
        <v>42531</v>
      </c>
      <c r="B897">
        <v>1758</v>
      </c>
      <c r="C897">
        <v>1794.6</v>
      </c>
      <c r="D897">
        <v>1757.25</v>
      </c>
      <c r="E897" s="7">
        <v>1779.2</v>
      </c>
      <c r="F897">
        <v>887131</v>
      </c>
      <c r="G897" s="8">
        <f t="shared" si="130"/>
        <v>1777.0166666666667</v>
      </c>
      <c r="H897" s="9">
        <f t="shared" si="131"/>
        <v>1576446572.5166667</v>
      </c>
      <c r="I897" s="9">
        <f t="shared" si="134"/>
        <v>27940478707.566662</v>
      </c>
      <c r="J897" s="9">
        <f t="shared" si="135"/>
        <v>16132812</v>
      </c>
      <c r="K897" s="21">
        <f t="shared" si="136"/>
        <v>1731.9038186006669</v>
      </c>
      <c r="L897" s="4" t="str">
        <f t="shared" si="132"/>
        <v>BUY</v>
      </c>
      <c r="M897" s="4">
        <f t="shared" si="137"/>
        <v>0</v>
      </c>
      <c r="N897" s="4">
        <f t="shared" si="133"/>
        <v>1</v>
      </c>
      <c r="O897" s="4">
        <f t="shared" si="138"/>
        <v>1437.7</v>
      </c>
      <c r="P897" s="4">
        <f t="shared" si="139"/>
        <v>0</v>
      </c>
    </row>
    <row r="898" spans="1:16" x14ac:dyDescent="0.25">
      <c r="A898" s="1">
        <v>42534</v>
      </c>
      <c r="B898">
        <v>1780</v>
      </c>
      <c r="C898">
        <v>1804.95</v>
      </c>
      <c r="D898">
        <v>1775.45</v>
      </c>
      <c r="E898" s="7">
        <v>1792.3</v>
      </c>
      <c r="F898">
        <v>1308742</v>
      </c>
      <c r="G898" s="8">
        <f t="shared" ref="G898:G961" si="140">AVERAGE(C898:E898)</f>
        <v>1790.8999999999999</v>
      </c>
      <c r="H898" s="9">
        <f t="shared" si="131"/>
        <v>2343826047.7999997</v>
      </c>
      <c r="I898" s="9">
        <f t="shared" si="134"/>
        <v>28454884183.066662</v>
      </c>
      <c r="J898" s="9">
        <f t="shared" si="135"/>
        <v>16329061</v>
      </c>
      <c r="K898" s="21">
        <f t="shared" si="136"/>
        <v>1742.5915784788031</v>
      </c>
      <c r="L898" s="4" t="str">
        <f t="shared" si="132"/>
        <v>BUY</v>
      </c>
      <c r="M898" s="4">
        <f t="shared" si="137"/>
        <v>0</v>
      </c>
      <c r="N898" s="4">
        <f t="shared" si="133"/>
        <v>1</v>
      </c>
      <c r="O898" s="4">
        <f t="shared" si="138"/>
        <v>1437.7</v>
      </c>
      <c r="P898" s="4">
        <f t="shared" si="139"/>
        <v>0</v>
      </c>
    </row>
    <row r="899" spans="1:16" x14ac:dyDescent="0.25">
      <c r="A899" s="1">
        <v>42535</v>
      </c>
      <c r="B899">
        <v>1790</v>
      </c>
      <c r="C899">
        <v>1831.5</v>
      </c>
      <c r="D899">
        <v>1789.45</v>
      </c>
      <c r="E899" s="7">
        <v>1815.5</v>
      </c>
      <c r="F899">
        <v>1413375</v>
      </c>
      <c r="G899" s="8">
        <f t="shared" si="140"/>
        <v>1812.1499999999999</v>
      </c>
      <c r="H899" s="9">
        <f t="shared" ref="H899:H962" si="141">G899*F899</f>
        <v>2561247506.25</v>
      </c>
      <c r="I899" s="9">
        <f t="shared" si="134"/>
        <v>28512507751.816666</v>
      </c>
      <c r="J899" s="9">
        <f t="shared" si="135"/>
        <v>16242811</v>
      </c>
      <c r="K899" s="21">
        <f t="shared" si="136"/>
        <v>1755.3924472689282</v>
      </c>
      <c r="L899" s="4" t="str">
        <f t="shared" si="132"/>
        <v>BUY</v>
      </c>
      <c r="M899" s="4">
        <f t="shared" si="137"/>
        <v>0</v>
      </c>
      <c r="N899" s="4">
        <f t="shared" si="133"/>
        <v>1</v>
      </c>
      <c r="O899" s="4">
        <f t="shared" si="138"/>
        <v>1437.7</v>
      </c>
      <c r="P899" s="4">
        <f t="shared" si="139"/>
        <v>0</v>
      </c>
    </row>
    <row r="900" spans="1:16" x14ac:dyDescent="0.25">
      <c r="A900" s="1">
        <v>42536</v>
      </c>
      <c r="B900">
        <v>1810.05</v>
      </c>
      <c r="C900">
        <v>1834.8</v>
      </c>
      <c r="D900">
        <v>1790</v>
      </c>
      <c r="E900" s="7">
        <v>1815.4</v>
      </c>
      <c r="F900">
        <v>1070589</v>
      </c>
      <c r="G900" s="8">
        <f t="shared" si="140"/>
        <v>1813.4000000000003</v>
      </c>
      <c r="H900" s="9">
        <f t="shared" si="141"/>
        <v>1941406092.6000004</v>
      </c>
      <c r="I900" s="9">
        <f t="shared" si="134"/>
        <v>27584532220.349998</v>
      </c>
      <c r="J900" s="9">
        <f t="shared" si="135"/>
        <v>15590634</v>
      </c>
      <c r="K900" s="21">
        <f t="shared" si="136"/>
        <v>1769.3015062985892</v>
      </c>
      <c r="L900" s="4" t="str">
        <f t="shared" si="132"/>
        <v>BUY</v>
      </c>
      <c r="M900" s="4">
        <f t="shared" si="137"/>
        <v>0</v>
      </c>
      <c r="N900" s="4">
        <f t="shared" si="133"/>
        <v>1</v>
      </c>
      <c r="O900" s="4">
        <f t="shared" si="138"/>
        <v>1437.7</v>
      </c>
      <c r="P900" s="4">
        <f t="shared" si="139"/>
        <v>0</v>
      </c>
    </row>
    <row r="901" spans="1:16" x14ac:dyDescent="0.25">
      <c r="A901" s="1">
        <v>42537</v>
      </c>
      <c r="B901">
        <v>1819.7</v>
      </c>
      <c r="C901">
        <v>1849.9</v>
      </c>
      <c r="D901">
        <v>1816.7</v>
      </c>
      <c r="E901" s="7">
        <v>1845.85</v>
      </c>
      <c r="F901">
        <v>923427</v>
      </c>
      <c r="G901" s="8">
        <f t="shared" si="140"/>
        <v>1837.4833333333336</v>
      </c>
      <c r="H901" s="9">
        <f t="shared" si="141"/>
        <v>1696781722.0500002</v>
      </c>
      <c r="I901" s="9">
        <f t="shared" si="134"/>
        <v>21868051901.200001</v>
      </c>
      <c r="J901" s="9">
        <f t="shared" si="135"/>
        <v>12238659</v>
      </c>
      <c r="K901" s="21">
        <f t="shared" si="136"/>
        <v>1786.8013073327725</v>
      </c>
      <c r="L901" s="4" t="str">
        <f t="shared" si="132"/>
        <v>BUY</v>
      </c>
      <c r="M901" s="4">
        <f t="shared" si="137"/>
        <v>0</v>
      </c>
      <c r="N901" s="4">
        <f t="shared" si="133"/>
        <v>1</v>
      </c>
      <c r="O901" s="4">
        <f t="shared" si="138"/>
        <v>1437.7</v>
      </c>
      <c r="P901" s="4">
        <f t="shared" si="139"/>
        <v>0</v>
      </c>
    </row>
    <row r="902" spans="1:16" x14ac:dyDescent="0.25">
      <c r="A902" s="1">
        <v>42538</v>
      </c>
      <c r="B902">
        <v>1840</v>
      </c>
      <c r="C902">
        <v>1877.4</v>
      </c>
      <c r="D902">
        <v>1840</v>
      </c>
      <c r="E902" s="7">
        <v>1867.2</v>
      </c>
      <c r="F902">
        <v>1177592</v>
      </c>
      <c r="G902" s="8">
        <f t="shared" si="140"/>
        <v>1861.5333333333335</v>
      </c>
      <c r="H902" s="9">
        <f t="shared" si="141"/>
        <v>2192126761.0666671</v>
      </c>
      <c r="I902" s="9">
        <f t="shared" si="134"/>
        <v>21465384205.73333</v>
      </c>
      <c r="J902" s="9">
        <f t="shared" si="135"/>
        <v>11928865</v>
      </c>
      <c r="K902" s="21">
        <f t="shared" si="136"/>
        <v>1799.4490008675034</v>
      </c>
      <c r="L902" s="4" t="str">
        <f t="shared" si="132"/>
        <v>BUY</v>
      </c>
      <c r="M902" s="4">
        <f t="shared" si="137"/>
        <v>0</v>
      </c>
      <c r="N902" s="4">
        <f t="shared" si="133"/>
        <v>1</v>
      </c>
      <c r="O902" s="4">
        <f t="shared" si="138"/>
        <v>1437.7</v>
      </c>
      <c r="P902" s="4">
        <f t="shared" si="139"/>
        <v>0</v>
      </c>
    </row>
    <row r="903" spans="1:16" x14ac:dyDescent="0.25">
      <c r="A903" s="1">
        <v>42541</v>
      </c>
      <c r="B903">
        <v>1873</v>
      </c>
      <c r="C903">
        <v>1881.95</v>
      </c>
      <c r="D903">
        <v>1864.65</v>
      </c>
      <c r="E903" s="7">
        <v>1870.1</v>
      </c>
      <c r="F903">
        <v>1152645</v>
      </c>
      <c r="G903" s="8">
        <f t="shared" si="140"/>
        <v>1872.2333333333336</v>
      </c>
      <c r="H903" s="9">
        <f t="shared" si="141"/>
        <v>2158020390.5000005</v>
      </c>
      <c r="I903" s="9">
        <f t="shared" si="134"/>
        <v>22176170500.783333</v>
      </c>
      <c r="J903" s="9">
        <f t="shared" si="135"/>
        <v>12258259</v>
      </c>
      <c r="K903" s="21">
        <f t="shared" si="136"/>
        <v>1809.0799436350082</v>
      </c>
      <c r="L903" s="4" t="str">
        <f t="shared" si="132"/>
        <v>BUY</v>
      </c>
      <c r="M903" s="4">
        <f t="shared" si="137"/>
        <v>0</v>
      </c>
      <c r="N903" s="4">
        <f t="shared" si="133"/>
        <v>1</v>
      </c>
      <c r="O903" s="4">
        <f t="shared" si="138"/>
        <v>1437.7</v>
      </c>
      <c r="P903" s="4">
        <f t="shared" si="139"/>
        <v>0</v>
      </c>
    </row>
    <row r="904" spans="1:16" x14ac:dyDescent="0.25">
      <c r="A904" s="1">
        <v>42542</v>
      </c>
      <c r="B904">
        <v>1874</v>
      </c>
      <c r="C904">
        <v>1890.9</v>
      </c>
      <c r="D904">
        <v>1813.45</v>
      </c>
      <c r="E904" s="7">
        <v>1822.7</v>
      </c>
      <c r="F904">
        <v>1347490</v>
      </c>
      <c r="G904" s="8">
        <f t="shared" si="140"/>
        <v>1842.3500000000001</v>
      </c>
      <c r="H904" s="9">
        <f t="shared" si="141"/>
        <v>2482548201.5</v>
      </c>
      <c r="I904" s="9">
        <f t="shared" si="134"/>
        <v>22724400410.416664</v>
      </c>
      <c r="J904" s="9">
        <f t="shared" si="135"/>
        <v>12514927</v>
      </c>
      <c r="K904" s="21">
        <f t="shared" si="136"/>
        <v>1815.783696574232</v>
      </c>
      <c r="L904" s="4" t="str">
        <f t="shared" si="132"/>
        <v>BUY</v>
      </c>
      <c r="M904" s="4">
        <f t="shared" si="137"/>
        <v>0</v>
      </c>
      <c r="N904" s="4">
        <f t="shared" si="133"/>
        <v>1</v>
      </c>
      <c r="O904" s="4">
        <f t="shared" si="138"/>
        <v>1437.7</v>
      </c>
      <c r="P904" s="4">
        <f t="shared" si="139"/>
        <v>0</v>
      </c>
    </row>
    <row r="905" spans="1:16" x14ac:dyDescent="0.25">
      <c r="A905" s="1">
        <v>42543</v>
      </c>
      <c r="B905">
        <v>1805.1</v>
      </c>
      <c r="C905">
        <v>1856.15</v>
      </c>
      <c r="D905">
        <v>1783.7</v>
      </c>
      <c r="E905" s="7">
        <v>1845.4</v>
      </c>
      <c r="F905">
        <v>1079314</v>
      </c>
      <c r="G905" s="8">
        <f t="shared" si="140"/>
        <v>1828.4166666666667</v>
      </c>
      <c r="H905" s="9">
        <f t="shared" si="141"/>
        <v>1973435706.1666667</v>
      </c>
      <c r="I905" s="9">
        <f t="shared" si="134"/>
        <v>21036683359.983334</v>
      </c>
      <c r="J905" s="9">
        <f t="shared" si="135"/>
        <v>11549837</v>
      </c>
      <c r="K905" s="21">
        <f t="shared" si="136"/>
        <v>1821.3835710394296</v>
      </c>
      <c r="L905" s="4" t="str">
        <f t="shared" si="132"/>
        <v>BUY</v>
      </c>
      <c r="M905" s="4">
        <f t="shared" si="137"/>
        <v>0</v>
      </c>
      <c r="N905" s="4">
        <f t="shared" si="133"/>
        <v>1</v>
      </c>
      <c r="O905" s="4">
        <f t="shared" si="138"/>
        <v>1437.7</v>
      </c>
      <c r="P905" s="4">
        <f t="shared" si="139"/>
        <v>0</v>
      </c>
    </row>
    <row r="906" spans="1:16" x14ac:dyDescent="0.25">
      <c r="A906" s="1">
        <v>42544</v>
      </c>
      <c r="B906">
        <v>1841</v>
      </c>
      <c r="C906">
        <v>1841</v>
      </c>
      <c r="D906">
        <v>1808.15</v>
      </c>
      <c r="E906" s="7">
        <v>1814</v>
      </c>
      <c r="F906">
        <v>1038787</v>
      </c>
      <c r="G906" s="8">
        <f t="shared" si="140"/>
        <v>1821.05</v>
      </c>
      <c r="H906" s="9">
        <f t="shared" si="141"/>
        <v>1891683066.3499999</v>
      </c>
      <c r="I906" s="9">
        <f t="shared" si="134"/>
        <v>20817522066.799999</v>
      </c>
      <c r="J906" s="9">
        <f t="shared" si="135"/>
        <v>11399092</v>
      </c>
      <c r="K906" s="21">
        <f t="shared" si="136"/>
        <v>1826.2438856358033</v>
      </c>
      <c r="L906" s="4" t="str">
        <f t="shared" si="132"/>
        <v>SELL</v>
      </c>
      <c r="M906" s="4" t="str">
        <f t="shared" si="137"/>
        <v>SELL</v>
      </c>
      <c r="N906" s="4">
        <f t="shared" si="133"/>
        <v>-1</v>
      </c>
      <c r="O906" s="4">
        <f t="shared" si="138"/>
        <v>1814</v>
      </c>
      <c r="P906" s="4">
        <f t="shared" si="139"/>
        <v>0.26173749739166718</v>
      </c>
    </row>
    <row r="907" spans="1:16" x14ac:dyDescent="0.25">
      <c r="A907" s="1">
        <v>42545</v>
      </c>
      <c r="B907">
        <v>1820.2</v>
      </c>
      <c r="C907">
        <v>1844.85</v>
      </c>
      <c r="D907">
        <v>1809.95</v>
      </c>
      <c r="E907" s="7">
        <v>1819.8</v>
      </c>
      <c r="F907">
        <v>1084148</v>
      </c>
      <c r="G907" s="8">
        <f t="shared" si="140"/>
        <v>1824.8666666666668</v>
      </c>
      <c r="H907" s="9">
        <f t="shared" si="141"/>
        <v>1978425546.9333334</v>
      </c>
      <c r="I907" s="9">
        <f t="shared" si="134"/>
        <v>21219501041.216667</v>
      </c>
      <c r="J907" s="9">
        <f t="shared" si="135"/>
        <v>11596109</v>
      </c>
      <c r="K907" s="21">
        <f t="shared" si="136"/>
        <v>1829.8811300598043</v>
      </c>
      <c r="L907" s="4" t="str">
        <f t="shared" ref="L907:L970" si="142">IF(E907&gt;K907,"BUY",IF(E907&lt;K907,"SELL",0))</f>
        <v>SELL</v>
      </c>
      <c r="M907" s="4">
        <f t="shared" si="137"/>
        <v>0</v>
      </c>
      <c r="N907" s="4">
        <f t="shared" ref="N907:N970" si="143">IF(M907="BUY",1,IF(M907="SELL",-1,N906))</f>
        <v>-1</v>
      </c>
      <c r="O907" s="4">
        <f t="shared" si="138"/>
        <v>1814</v>
      </c>
      <c r="P907" s="4">
        <f t="shared" si="139"/>
        <v>0</v>
      </c>
    </row>
    <row r="908" spans="1:16" x14ac:dyDescent="0.25">
      <c r="A908" s="1">
        <v>42548</v>
      </c>
      <c r="B908">
        <v>1824.5</v>
      </c>
      <c r="C908">
        <v>1858</v>
      </c>
      <c r="D908">
        <v>1802</v>
      </c>
      <c r="E908" s="7">
        <v>1833.5</v>
      </c>
      <c r="F908">
        <v>1651034</v>
      </c>
      <c r="G908" s="8">
        <f t="shared" si="140"/>
        <v>1831.1666666666667</v>
      </c>
      <c r="H908" s="9">
        <f t="shared" si="141"/>
        <v>3023318426.3333335</v>
      </c>
      <c r="I908" s="9">
        <f t="shared" ref="I908:I971" si="144">SUM(H899:H908)</f>
        <v>21898993419.75</v>
      </c>
      <c r="J908" s="9">
        <f t="shared" ref="J908:J971" si="145">SUM(F899:F908)</f>
        <v>11938401</v>
      </c>
      <c r="K908" s="21">
        <f t="shared" ref="K908:K971" si="146">I908/J908</f>
        <v>1834.3322040991923</v>
      </c>
      <c r="L908" s="4" t="str">
        <f t="shared" si="142"/>
        <v>SELL</v>
      </c>
      <c r="M908" s="4">
        <f t="shared" ref="M908:M971" si="147">IF(L908&lt;&gt;L907,L908,0)</f>
        <v>0</v>
      </c>
      <c r="N908" s="4">
        <f t="shared" si="143"/>
        <v>-1</v>
      </c>
      <c r="O908" s="4">
        <f t="shared" ref="O908:O971" si="148">IF(M908&lt;&gt;0,E908,O907)</f>
        <v>1814</v>
      </c>
      <c r="P908" s="4">
        <f t="shared" ref="P908:P971" si="149">IF(M908="BUY",(O907-O908)/O907,IF(M908="SELL",(O908-O907)/O907,0))</f>
        <v>0</v>
      </c>
    </row>
    <row r="909" spans="1:16" x14ac:dyDescent="0.25">
      <c r="A909" s="1">
        <v>42549</v>
      </c>
      <c r="B909">
        <v>1824.2</v>
      </c>
      <c r="C909">
        <v>1830</v>
      </c>
      <c r="D909">
        <v>1755.55</v>
      </c>
      <c r="E909" s="7">
        <v>1780.9</v>
      </c>
      <c r="F909">
        <v>1389965</v>
      </c>
      <c r="G909" s="8">
        <f t="shared" si="140"/>
        <v>1788.8166666666668</v>
      </c>
      <c r="H909" s="9">
        <f t="shared" si="141"/>
        <v>2486392558.0833335</v>
      </c>
      <c r="I909" s="9">
        <f t="shared" si="144"/>
        <v>21824138471.583332</v>
      </c>
      <c r="J909" s="9">
        <f t="shared" si="145"/>
        <v>11914991</v>
      </c>
      <c r="K909" s="21">
        <f t="shared" si="146"/>
        <v>1831.6537940803591</v>
      </c>
      <c r="L909" s="4" t="str">
        <f t="shared" si="142"/>
        <v>SELL</v>
      </c>
      <c r="M909" s="4">
        <f t="shared" si="147"/>
        <v>0</v>
      </c>
      <c r="N909" s="4">
        <f t="shared" si="143"/>
        <v>-1</v>
      </c>
      <c r="O909" s="4">
        <f t="shared" si="148"/>
        <v>1814</v>
      </c>
      <c r="P909" s="4">
        <f t="shared" si="149"/>
        <v>0</v>
      </c>
    </row>
    <row r="910" spans="1:16" x14ac:dyDescent="0.25">
      <c r="A910" s="1">
        <v>42550</v>
      </c>
      <c r="B910">
        <v>1798</v>
      </c>
      <c r="C910">
        <v>1807</v>
      </c>
      <c r="D910">
        <v>1755.55</v>
      </c>
      <c r="E910" s="7">
        <v>1777.45</v>
      </c>
      <c r="F910">
        <v>1060676</v>
      </c>
      <c r="G910" s="8">
        <f t="shared" si="140"/>
        <v>1780</v>
      </c>
      <c r="H910" s="9">
        <f t="shared" si="141"/>
        <v>1888003280</v>
      </c>
      <c r="I910" s="9">
        <f t="shared" si="144"/>
        <v>21770735658.983334</v>
      </c>
      <c r="J910" s="9">
        <f t="shared" si="145"/>
        <v>11905078</v>
      </c>
      <c r="K910" s="21">
        <f t="shared" si="146"/>
        <v>1828.6932398916945</v>
      </c>
      <c r="L910" s="4" t="str">
        <f t="shared" si="142"/>
        <v>SELL</v>
      </c>
      <c r="M910" s="4">
        <f t="shared" si="147"/>
        <v>0</v>
      </c>
      <c r="N910" s="4">
        <f t="shared" si="143"/>
        <v>-1</v>
      </c>
      <c r="O910" s="4">
        <f t="shared" si="148"/>
        <v>1814</v>
      </c>
      <c r="P910" s="4">
        <f t="shared" si="149"/>
        <v>0</v>
      </c>
    </row>
    <row r="911" spans="1:16" x14ac:dyDescent="0.25">
      <c r="A911" s="1">
        <v>42551</v>
      </c>
      <c r="B911">
        <v>1789.8</v>
      </c>
      <c r="C911">
        <v>1789.8</v>
      </c>
      <c r="D911">
        <v>1730</v>
      </c>
      <c r="E911" s="7">
        <v>1736.4</v>
      </c>
      <c r="F911">
        <v>1362422</v>
      </c>
      <c r="G911" s="8">
        <f t="shared" si="140"/>
        <v>1752.0666666666668</v>
      </c>
      <c r="H911" s="9">
        <f t="shared" si="141"/>
        <v>2387054172.1333337</v>
      </c>
      <c r="I911" s="9">
        <f t="shared" si="144"/>
        <v>22461008109.066669</v>
      </c>
      <c r="J911" s="9">
        <f t="shared" si="145"/>
        <v>12344073</v>
      </c>
      <c r="K911" s="21">
        <f t="shared" si="146"/>
        <v>1819.5783603245598</v>
      </c>
      <c r="L911" s="4" t="str">
        <f t="shared" si="142"/>
        <v>SELL</v>
      </c>
      <c r="M911" s="4">
        <f t="shared" si="147"/>
        <v>0</v>
      </c>
      <c r="N911" s="4">
        <f t="shared" si="143"/>
        <v>-1</v>
      </c>
      <c r="O911" s="4">
        <f t="shared" si="148"/>
        <v>1814</v>
      </c>
      <c r="P911" s="4">
        <f t="shared" si="149"/>
        <v>0</v>
      </c>
    </row>
    <row r="912" spans="1:16" x14ac:dyDescent="0.25">
      <c r="A912" s="1">
        <v>42552</v>
      </c>
      <c r="B912">
        <v>1740.1</v>
      </c>
      <c r="C912">
        <v>1743.7</v>
      </c>
      <c r="D912">
        <v>1701.15</v>
      </c>
      <c r="E912" s="7">
        <v>1717.8</v>
      </c>
      <c r="F912">
        <v>1811997</v>
      </c>
      <c r="G912" s="8">
        <f t="shared" si="140"/>
        <v>1720.8833333333334</v>
      </c>
      <c r="H912" s="9">
        <f t="shared" si="141"/>
        <v>3118235437.3500004</v>
      </c>
      <c r="I912" s="9">
        <f t="shared" si="144"/>
        <v>23387116785.350006</v>
      </c>
      <c r="J912" s="9">
        <f t="shared" si="145"/>
        <v>12978478</v>
      </c>
      <c r="K912" s="21">
        <f t="shared" si="146"/>
        <v>1801.9922509673327</v>
      </c>
      <c r="L912" s="4" t="str">
        <f t="shared" si="142"/>
        <v>SELL</v>
      </c>
      <c r="M912" s="4">
        <f t="shared" si="147"/>
        <v>0</v>
      </c>
      <c r="N912" s="4">
        <f t="shared" si="143"/>
        <v>-1</v>
      </c>
      <c r="O912" s="4">
        <f t="shared" si="148"/>
        <v>1814</v>
      </c>
      <c r="P912" s="4">
        <f t="shared" si="149"/>
        <v>0</v>
      </c>
    </row>
    <row r="913" spans="1:16" x14ac:dyDescent="0.25">
      <c r="A913" s="1">
        <v>42555</v>
      </c>
      <c r="B913">
        <v>1705</v>
      </c>
      <c r="C913">
        <v>1797.15</v>
      </c>
      <c r="D913">
        <v>1695.2</v>
      </c>
      <c r="E913" s="7">
        <v>1778.95</v>
      </c>
      <c r="F913">
        <v>2130494</v>
      </c>
      <c r="G913" s="8">
        <f t="shared" si="140"/>
        <v>1757.1000000000001</v>
      </c>
      <c r="H913" s="9">
        <f t="shared" si="141"/>
        <v>3743491007.4000001</v>
      </c>
      <c r="I913" s="9">
        <f t="shared" si="144"/>
        <v>24972587402.25</v>
      </c>
      <c r="J913" s="9">
        <f t="shared" si="145"/>
        <v>13956327</v>
      </c>
      <c r="K913" s="21">
        <f t="shared" si="146"/>
        <v>1789.3380831683007</v>
      </c>
      <c r="L913" s="4" t="str">
        <f t="shared" si="142"/>
        <v>SELL</v>
      </c>
      <c r="M913" s="4">
        <f t="shared" si="147"/>
        <v>0</v>
      </c>
      <c r="N913" s="4">
        <f t="shared" si="143"/>
        <v>-1</v>
      </c>
      <c r="O913" s="4">
        <f t="shared" si="148"/>
        <v>1814</v>
      </c>
      <c r="P913" s="4">
        <f t="shared" si="149"/>
        <v>0</v>
      </c>
    </row>
    <row r="914" spans="1:16" x14ac:dyDescent="0.25">
      <c r="A914" s="1">
        <v>42556</v>
      </c>
      <c r="B914">
        <v>1794</v>
      </c>
      <c r="C914">
        <v>1838</v>
      </c>
      <c r="D914">
        <v>1784.3</v>
      </c>
      <c r="E914" s="7">
        <v>1829.45</v>
      </c>
      <c r="F914">
        <v>2016442</v>
      </c>
      <c r="G914" s="8">
        <f t="shared" si="140"/>
        <v>1817.25</v>
      </c>
      <c r="H914" s="9">
        <f t="shared" si="141"/>
        <v>3664379224.5</v>
      </c>
      <c r="I914" s="9">
        <f t="shared" si="144"/>
        <v>26154418425.25</v>
      </c>
      <c r="J914" s="9">
        <f t="shared" si="145"/>
        <v>14625279</v>
      </c>
      <c r="K914" s="21">
        <f t="shared" si="146"/>
        <v>1788.3021872779316</v>
      </c>
      <c r="L914" s="4" t="str">
        <f t="shared" si="142"/>
        <v>BUY</v>
      </c>
      <c r="M914" s="4" t="str">
        <f t="shared" si="147"/>
        <v>BUY</v>
      </c>
      <c r="N914" s="4">
        <f t="shared" si="143"/>
        <v>1</v>
      </c>
      <c r="O914" s="4">
        <f t="shared" si="148"/>
        <v>1829.45</v>
      </c>
      <c r="P914" s="4">
        <f t="shared" si="149"/>
        <v>-8.5170893054024501E-3</v>
      </c>
    </row>
    <row r="915" spans="1:16" x14ac:dyDescent="0.25">
      <c r="A915" s="1">
        <v>42557</v>
      </c>
      <c r="B915">
        <v>1823.1</v>
      </c>
      <c r="C915">
        <v>1878.6</v>
      </c>
      <c r="D915">
        <v>1814</v>
      </c>
      <c r="E915" s="7">
        <v>1842</v>
      </c>
      <c r="F915">
        <v>1331619</v>
      </c>
      <c r="G915" s="8">
        <f t="shared" si="140"/>
        <v>1844.8666666666668</v>
      </c>
      <c r="H915" s="9">
        <f t="shared" si="141"/>
        <v>2456659505.8000002</v>
      </c>
      <c r="I915" s="9">
        <f t="shared" si="144"/>
        <v>26637642224.883335</v>
      </c>
      <c r="J915" s="9">
        <f t="shared" si="145"/>
        <v>14877584</v>
      </c>
      <c r="K915" s="21">
        <f t="shared" si="146"/>
        <v>1790.4548362747159</v>
      </c>
      <c r="L915" s="4" t="str">
        <f t="shared" si="142"/>
        <v>BUY</v>
      </c>
      <c r="M915" s="4">
        <f t="shared" si="147"/>
        <v>0</v>
      </c>
      <c r="N915" s="4">
        <f t="shared" si="143"/>
        <v>1</v>
      </c>
      <c r="O915" s="4">
        <f t="shared" si="148"/>
        <v>1829.45</v>
      </c>
      <c r="P915" s="4">
        <f t="shared" si="149"/>
        <v>0</v>
      </c>
    </row>
    <row r="916" spans="1:16" x14ac:dyDescent="0.25">
      <c r="A916" s="1">
        <v>42558</v>
      </c>
      <c r="B916">
        <v>1839</v>
      </c>
      <c r="C916">
        <v>1878.85</v>
      </c>
      <c r="D916">
        <v>1830</v>
      </c>
      <c r="E916" s="7">
        <v>1838.8</v>
      </c>
      <c r="F916">
        <v>972642</v>
      </c>
      <c r="G916" s="8">
        <f t="shared" si="140"/>
        <v>1849.2166666666665</v>
      </c>
      <c r="H916" s="9">
        <f t="shared" si="141"/>
        <v>1798625797.0999999</v>
      </c>
      <c r="I916" s="9">
        <f t="shared" si="144"/>
        <v>26544584955.633331</v>
      </c>
      <c r="J916" s="9">
        <f t="shared" si="145"/>
        <v>14811439</v>
      </c>
      <c r="K916" s="21">
        <f t="shared" si="146"/>
        <v>1792.1678613153881</v>
      </c>
      <c r="L916" s="4" t="str">
        <f t="shared" si="142"/>
        <v>BUY</v>
      </c>
      <c r="M916" s="4">
        <f t="shared" si="147"/>
        <v>0</v>
      </c>
      <c r="N916" s="4">
        <f t="shared" si="143"/>
        <v>1</v>
      </c>
      <c r="O916" s="4">
        <f t="shared" si="148"/>
        <v>1829.45</v>
      </c>
      <c r="P916" s="4">
        <f t="shared" si="149"/>
        <v>0</v>
      </c>
    </row>
    <row r="917" spans="1:16" x14ac:dyDescent="0.25">
      <c r="A917" s="1">
        <v>42559</v>
      </c>
      <c r="B917">
        <v>1828</v>
      </c>
      <c r="C917">
        <v>1946.1</v>
      </c>
      <c r="D917">
        <v>1828</v>
      </c>
      <c r="E917" s="7">
        <v>1907.9</v>
      </c>
      <c r="F917">
        <v>2222342</v>
      </c>
      <c r="G917" s="8">
        <f t="shared" si="140"/>
        <v>1894</v>
      </c>
      <c r="H917" s="9">
        <f t="shared" si="141"/>
        <v>4209115748</v>
      </c>
      <c r="I917" s="9">
        <f t="shared" si="144"/>
        <v>28775275156.700001</v>
      </c>
      <c r="J917" s="9">
        <f t="shared" si="145"/>
        <v>15949633</v>
      </c>
      <c r="K917" s="21">
        <f t="shared" si="146"/>
        <v>1804.1339983622195</v>
      </c>
      <c r="L917" s="4" t="str">
        <f t="shared" si="142"/>
        <v>BUY</v>
      </c>
      <c r="M917" s="4">
        <f t="shared" si="147"/>
        <v>0</v>
      </c>
      <c r="N917" s="4">
        <f t="shared" si="143"/>
        <v>1</v>
      </c>
      <c r="O917" s="4">
        <f t="shared" si="148"/>
        <v>1829.45</v>
      </c>
      <c r="P917" s="4">
        <f t="shared" si="149"/>
        <v>0</v>
      </c>
    </row>
    <row r="918" spans="1:16" x14ac:dyDescent="0.25">
      <c r="A918" s="1">
        <v>42562</v>
      </c>
      <c r="B918">
        <v>1901</v>
      </c>
      <c r="C918">
        <v>1970</v>
      </c>
      <c r="D918">
        <v>1878.3</v>
      </c>
      <c r="E918" s="7">
        <v>1947.1</v>
      </c>
      <c r="F918">
        <v>2952591</v>
      </c>
      <c r="G918" s="8">
        <f t="shared" si="140"/>
        <v>1931.8</v>
      </c>
      <c r="H918" s="9">
        <f t="shared" si="141"/>
        <v>5703815293.8000002</v>
      </c>
      <c r="I918" s="9">
        <f t="shared" si="144"/>
        <v>31455772024.166664</v>
      </c>
      <c r="J918" s="9">
        <f t="shared" si="145"/>
        <v>17251190</v>
      </c>
      <c r="K918" s="21">
        <f t="shared" si="146"/>
        <v>1823.3972279110405</v>
      </c>
      <c r="L918" s="4" t="str">
        <f t="shared" si="142"/>
        <v>BUY</v>
      </c>
      <c r="M918" s="4">
        <f t="shared" si="147"/>
        <v>0</v>
      </c>
      <c r="N918" s="4">
        <f t="shared" si="143"/>
        <v>1</v>
      </c>
      <c r="O918" s="4">
        <f t="shared" si="148"/>
        <v>1829.45</v>
      </c>
      <c r="P918" s="4">
        <f t="shared" si="149"/>
        <v>0</v>
      </c>
    </row>
    <row r="919" spans="1:16" x14ac:dyDescent="0.25">
      <c r="A919" s="1">
        <v>42563</v>
      </c>
      <c r="B919">
        <v>1939</v>
      </c>
      <c r="C919">
        <v>2050</v>
      </c>
      <c r="D919">
        <v>1930</v>
      </c>
      <c r="E919" s="7">
        <v>2033.2</v>
      </c>
      <c r="F919">
        <v>2641471</v>
      </c>
      <c r="G919" s="8">
        <f t="shared" si="140"/>
        <v>2004.3999999999999</v>
      </c>
      <c r="H919" s="9">
        <f t="shared" si="141"/>
        <v>5294564472.3999996</v>
      </c>
      <c r="I919" s="9">
        <f t="shared" si="144"/>
        <v>34263943938.48333</v>
      </c>
      <c r="J919" s="9">
        <f t="shared" si="145"/>
        <v>18502696</v>
      </c>
      <c r="K919" s="21">
        <f t="shared" si="146"/>
        <v>1851.8352103111531</v>
      </c>
      <c r="L919" s="4" t="str">
        <f t="shared" si="142"/>
        <v>BUY</v>
      </c>
      <c r="M919" s="4">
        <f t="shared" si="147"/>
        <v>0</v>
      </c>
      <c r="N919" s="4">
        <f t="shared" si="143"/>
        <v>1</v>
      </c>
      <c r="O919" s="4">
        <f t="shared" si="148"/>
        <v>1829.45</v>
      </c>
      <c r="P919" s="4">
        <f t="shared" si="149"/>
        <v>0</v>
      </c>
    </row>
    <row r="920" spans="1:16" x14ac:dyDescent="0.25">
      <c r="A920" s="1">
        <v>42564</v>
      </c>
      <c r="B920">
        <v>2020</v>
      </c>
      <c r="C920">
        <v>2069</v>
      </c>
      <c r="D920">
        <v>2017.5</v>
      </c>
      <c r="E920" s="7">
        <v>2056.85</v>
      </c>
      <c r="F920">
        <v>1077017</v>
      </c>
      <c r="G920" s="8">
        <f t="shared" si="140"/>
        <v>2047.7833333333335</v>
      </c>
      <c r="H920" s="9">
        <f t="shared" si="141"/>
        <v>2205497462.3166671</v>
      </c>
      <c r="I920" s="9">
        <f t="shared" si="144"/>
        <v>34581438120.799995</v>
      </c>
      <c r="J920" s="9">
        <f t="shared" si="145"/>
        <v>18519037</v>
      </c>
      <c r="K920" s="21">
        <f t="shared" si="146"/>
        <v>1867.345376587346</v>
      </c>
      <c r="L920" s="4" t="str">
        <f t="shared" si="142"/>
        <v>BUY</v>
      </c>
      <c r="M920" s="4">
        <f t="shared" si="147"/>
        <v>0</v>
      </c>
      <c r="N920" s="4">
        <f t="shared" si="143"/>
        <v>1</v>
      </c>
      <c r="O920" s="4">
        <f t="shared" si="148"/>
        <v>1829.45</v>
      </c>
      <c r="P920" s="4">
        <f t="shared" si="149"/>
        <v>0</v>
      </c>
    </row>
    <row r="921" spans="1:16" x14ac:dyDescent="0.25">
      <c r="A921" s="1">
        <v>42565</v>
      </c>
      <c r="B921">
        <v>2050.1</v>
      </c>
      <c r="C921">
        <v>2067</v>
      </c>
      <c r="D921">
        <v>1986.15</v>
      </c>
      <c r="E921" s="7">
        <v>2001.1</v>
      </c>
      <c r="F921">
        <v>1177532</v>
      </c>
      <c r="G921" s="8">
        <f t="shared" si="140"/>
        <v>2018.0833333333333</v>
      </c>
      <c r="H921" s="9">
        <f t="shared" si="141"/>
        <v>2376357703.6666665</v>
      </c>
      <c r="I921" s="9">
        <f t="shared" si="144"/>
        <v>34570741652.333328</v>
      </c>
      <c r="J921" s="9">
        <f t="shared" si="145"/>
        <v>18334147</v>
      </c>
      <c r="K921" s="21">
        <f t="shared" si="146"/>
        <v>1885.5931313484793</v>
      </c>
      <c r="L921" s="4" t="str">
        <f t="shared" si="142"/>
        <v>BUY</v>
      </c>
      <c r="M921" s="4">
        <f t="shared" si="147"/>
        <v>0</v>
      </c>
      <c r="N921" s="4">
        <f t="shared" si="143"/>
        <v>1</v>
      </c>
      <c r="O921" s="4">
        <f t="shared" si="148"/>
        <v>1829.45</v>
      </c>
      <c r="P921" s="4">
        <f t="shared" si="149"/>
        <v>0</v>
      </c>
    </row>
    <row r="922" spans="1:16" x14ac:dyDescent="0.25">
      <c r="A922" s="1">
        <v>42566</v>
      </c>
      <c r="B922">
        <v>2000</v>
      </c>
      <c r="C922">
        <v>2078.8000000000002</v>
      </c>
      <c r="D922">
        <v>1993.95</v>
      </c>
      <c r="E922" s="7">
        <v>2069.1</v>
      </c>
      <c r="F922">
        <v>1313258</v>
      </c>
      <c r="G922" s="8">
        <f t="shared" si="140"/>
        <v>2047.2833333333335</v>
      </c>
      <c r="H922" s="9">
        <f t="shared" si="141"/>
        <v>2688611215.7666669</v>
      </c>
      <c r="I922" s="9">
        <f t="shared" si="144"/>
        <v>34141117430.75</v>
      </c>
      <c r="J922" s="9">
        <f t="shared" si="145"/>
        <v>17835408</v>
      </c>
      <c r="K922" s="21">
        <f t="shared" si="146"/>
        <v>1914.2324880232625</v>
      </c>
      <c r="L922" s="4" t="str">
        <f t="shared" si="142"/>
        <v>BUY</v>
      </c>
      <c r="M922" s="4">
        <f t="shared" si="147"/>
        <v>0</v>
      </c>
      <c r="N922" s="4">
        <f t="shared" si="143"/>
        <v>1</v>
      </c>
      <c r="O922" s="4">
        <f t="shared" si="148"/>
        <v>1829.45</v>
      </c>
      <c r="P922" s="4">
        <f t="shared" si="149"/>
        <v>0</v>
      </c>
    </row>
    <row r="923" spans="1:16" x14ac:dyDescent="0.25">
      <c r="A923" s="1">
        <v>42569</v>
      </c>
      <c r="B923">
        <v>2069</v>
      </c>
      <c r="C923">
        <v>2069</v>
      </c>
      <c r="D923">
        <v>1981.05</v>
      </c>
      <c r="E923" s="7">
        <v>1990.75</v>
      </c>
      <c r="F923">
        <v>1963746</v>
      </c>
      <c r="G923" s="8">
        <f t="shared" si="140"/>
        <v>2013.6000000000001</v>
      </c>
      <c r="H923" s="9">
        <f t="shared" si="141"/>
        <v>3954198945.6000004</v>
      </c>
      <c r="I923" s="9">
        <f t="shared" si="144"/>
        <v>34351825368.949997</v>
      </c>
      <c r="J923" s="9">
        <f t="shared" si="145"/>
        <v>17668660</v>
      </c>
      <c r="K923" s="21">
        <f t="shared" si="146"/>
        <v>1944.2235782990899</v>
      </c>
      <c r="L923" s="4" t="str">
        <f t="shared" si="142"/>
        <v>BUY</v>
      </c>
      <c r="M923" s="4">
        <f t="shared" si="147"/>
        <v>0</v>
      </c>
      <c r="N923" s="4">
        <f t="shared" si="143"/>
        <v>1</v>
      </c>
      <c r="O923" s="4">
        <f t="shared" si="148"/>
        <v>1829.45</v>
      </c>
      <c r="P923" s="4">
        <f t="shared" si="149"/>
        <v>0</v>
      </c>
    </row>
    <row r="924" spans="1:16" x14ac:dyDescent="0.25">
      <c r="A924" s="1">
        <v>42570</v>
      </c>
      <c r="B924">
        <v>2009</v>
      </c>
      <c r="C924">
        <v>2025</v>
      </c>
      <c r="D924">
        <v>1975</v>
      </c>
      <c r="E924" s="7">
        <v>1988.8</v>
      </c>
      <c r="F924">
        <v>1379798</v>
      </c>
      <c r="G924" s="8">
        <f t="shared" si="140"/>
        <v>1996.2666666666667</v>
      </c>
      <c r="H924" s="9">
        <f t="shared" si="141"/>
        <v>2754444754.1333332</v>
      </c>
      <c r="I924" s="9">
        <f t="shared" si="144"/>
        <v>33441890898.583328</v>
      </c>
      <c r="J924" s="9">
        <f t="shared" si="145"/>
        <v>17032016</v>
      </c>
      <c r="K924" s="21">
        <f t="shared" si="146"/>
        <v>1963.4722571058721</v>
      </c>
      <c r="L924" s="4" t="str">
        <f t="shared" si="142"/>
        <v>BUY</v>
      </c>
      <c r="M924" s="4">
        <f t="shared" si="147"/>
        <v>0</v>
      </c>
      <c r="N924" s="4">
        <f t="shared" si="143"/>
        <v>1</v>
      </c>
      <c r="O924" s="4">
        <f t="shared" si="148"/>
        <v>1829.45</v>
      </c>
      <c r="P924" s="4">
        <f t="shared" si="149"/>
        <v>0</v>
      </c>
    </row>
    <row r="925" spans="1:16" x14ac:dyDescent="0.25">
      <c r="A925" s="1">
        <v>42571</v>
      </c>
      <c r="B925">
        <v>1986</v>
      </c>
      <c r="C925">
        <v>2016.7</v>
      </c>
      <c r="D925">
        <v>1981</v>
      </c>
      <c r="E925" s="7">
        <v>1987.9</v>
      </c>
      <c r="F925">
        <v>2150486</v>
      </c>
      <c r="G925" s="8">
        <f t="shared" si="140"/>
        <v>1995.2</v>
      </c>
      <c r="H925" s="9">
        <f t="shared" si="141"/>
        <v>4290649667.2000003</v>
      </c>
      <c r="I925" s="9">
        <f t="shared" si="144"/>
        <v>35275881059.98333</v>
      </c>
      <c r="J925" s="9">
        <f t="shared" si="145"/>
        <v>17850883</v>
      </c>
      <c r="K925" s="21">
        <f t="shared" si="146"/>
        <v>1976.1420799174657</v>
      </c>
      <c r="L925" s="4" t="str">
        <f t="shared" si="142"/>
        <v>BUY</v>
      </c>
      <c r="M925" s="4">
        <f t="shared" si="147"/>
        <v>0</v>
      </c>
      <c r="N925" s="4">
        <f t="shared" si="143"/>
        <v>1</v>
      </c>
      <c r="O925" s="4">
        <f t="shared" si="148"/>
        <v>1829.45</v>
      </c>
      <c r="P925" s="4">
        <f t="shared" si="149"/>
        <v>0</v>
      </c>
    </row>
    <row r="926" spans="1:16" x14ac:dyDescent="0.25">
      <c r="A926" s="1">
        <v>42572</v>
      </c>
      <c r="B926">
        <v>2008</v>
      </c>
      <c r="C926">
        <v>2018</v>
      </c>
      <c r="D926">
        <v>1983.5</v>
      </c>
      <c r="E926" s="7">
        <v>1993.8</v>
      </c>
      <c r="F926">
        <v>1504247</v>
      </c>
      <c r="G926" s="8">
        <f t="shared" si="140"/>
        <v>1998.4333333333334</v>
      </c>
      <c r="H926" s="9">
        <f t="shared" si="141"/>
        <v>3006137346.3666668</v>
      </c>
      <c r="I926" s="9">
        <f t="shared" si="144"/>
        <v>36483392609.25</v>
      </c>
      <c r="J926" s="9">
        <f t="shared" si="145"/>
        <v>18382488</v>
      </c>
      <c r="K926" s="21">
        <f t="shared" si="146"/>
        <v>1984.6819760877852</v>
      </c>
      <c r="L926" s="4" t="str">
        <f t="shared" si="142"/>
        <v>BUY</v>
      </c>
      <c r="M926" s="4">
        <f t="shared" si="147"/>
        <v>0</v>
      </c>
      <c r="N926" s="4">
        <f t="shared" si="143"/>
        <v>1</v>
      </c>
      <c r="O926" s="4">
        <f t="shared" si="148"/>
        <v>1829.45</v>
      </c>
      <c r="P926" s="4">
        <f t="shared" si="149"/>
        <v>0</v>
      </c>
    </row>
    <row r="927" spans="1:16" x14ac:dyDescent="0.25">
      <c r="A927" s="1">
        <v>42573</v>
      </c>
      <c r="B927">
        <v>1995</v>
      </c>
      <c r="C927">
        <v>1998.55</v>
      </c>
      <c r="D927">
        <v>1945.8</v>
      </c>
      <c r="E927" s="7">
        <v>1967.9</v>
      </c>
      <c r="F927">
        <v>952784</v>
      </c>
      <c r="G927" s="8">
        <f t="shared" si="140"/>
        <v>1970.75</v>
      </c>
      <c r="H927" s="9">
        <f t="shared" si="141"/>
        <v>1877699068</v>
      </c>
      <c r="I927" s="9">
        <f t="shared" si="144"/>
        <v>34151975929.25</v>
      </c>
      <c r="J927" s="9">
        <f t="shared" si="145"/>
        <v>17112930</v>
      </c>
      <c r="K927" s="21">
        <f t="shared" si="146"/>
        <v>1995.6825586997668</v>
      </c>
      <c r="L927" s="4" t="str">
        <f t="shared" si="142"/>
        <v>SELL</v>
      </c>
      <c r="M927" s="4" t="str">
        <f t="shared" si="147"/>
        <v>SELL</v>
      </c>
      <c r="N927" s="4">
        <f t="shared" si="143"/>
        <v>-1</v>
      </c>
      <c r="O927" s="4">
        <f t="shared" si="148"/>
        <v>1967.9</v>
      </c>
      <c r="P927" s="4">
        <f t="shared" si="149"/>
        <v>7.5678482604061348E-2</v>
      </c>
    </row>
    <row r="928" spans="1:16" x14ac:dyDescent="0.25">
      <c r="A928" s="1">
        <v>42576</v>
      </c>
      <c r="B928">
        <v>1965</v>
      </c>
      <c r="C928">
        <v>1990</v>
      </c>
      <c r="D928">
        <v>1946.55</v>
      </c>
      <c r="E928" s="7">
        <v>1953.75</v>
      </c>
      <c r="F928">
        <v>1048160</v>
      </c>
      <c r="G928" s="8">
        <f t="shared" si="140"/>
        <v>1963.4333333333334</v>
      </c>
      <c r="H928" s="9">
        <f t="shared" si="141"/>
        <v>2057992282.6666667</v>
      </c>
      <c r="I928" s="9">
        <f t="shared" si="144"/>
        <v>30506152918.116665</v>
      </c>
      <c r="J928" s="9">
        <f t="shared" si="145"/>
        <v>15208499</v>
      </c>
      <c r="K928" s="21">
        <f t="shared" si="146"/>
        <v>2005.8621773336517</v>
      </c>
      <c r="L928" s="4" t="str">
        <f t="shared" si="142"/>
        <v>SELL</v>
      </c>
      <c r="M928" s="4">
        <f t="shared" si="147"/>
        <v>0</v>
      </c>
      <c r="N928" s="4">
        <f t="shared" si="143"/>
        <v>-1</v>
      </c>
      <c r="O928" s="4">
        <f t="shared" si="148"/>
        <v>1967.9</v>
      </c>
      <c r="P928" s="4">
        <f t="shared" si="149"/>
        <v>0</v>
      </c>
    </row>
    <row r="929" spans="1:16" x14ac:dyDescent="0.25">
      <c r="A929" s="1">
        <v>42577</v>
      </c>
      <c r="B929">
        <v>1950</v>
      </c>
      <c r="C929">
        <v>1985</v>
      </c>
      <c r="D929">
        <v>1894.05</v>
      </c>
      <c r="E929" s="7">
        <v>1902.55</v>
      </c>
      <c r="F929">
        <v>1230253</v>
      </c>
      <c r="G929" s="8">
        <f t="shared" si="140"/>
        <v>1927.2</v>
      </c>
      <c r="H929" s="9">
        <f t="shared" si="141"/>
        <v>2370943581.5999999</v>
      </c>
      <c r="I929" s="9">
        <f t="shared" si="144"/>
        <v>27582532027.316669</v>
      </c>
      <c r="J929" s="9">
        <f t="shared" si="145"/>
        <v>13797281</v>
      </c>
      <c r="K929" s="21">
        <f t="shared" si="146"/>
        <v>1999.1280910576997</v>
      </c>
      <c r="L929" s="4" t="str">
        <f t="shared" si="142"/>
        <v>SELL</v>
      </c>
      <c r="M929" s="4">
        <f t="shared" si="147"/>
        <v>0</v>
      </c>
      <c r="N929" s="4">
        <f t="shared" si="143"/>
        <v>-1</v>
      </c>
      <c r="O929" s="4">
        <f t="shared" si="148"/>
        <v>1967.9</v>
      </c>
      <c r="P929" s="4">
        <f t="shared" si="149"/>
        <v>0</v>
      </c>
    </row>
    <row r="930" spans="1:16" x14ac:dyDescent="0.25">
      <c r="A930" s="1">
        <v>42578</v>
      </c>
      <c r="B930">
        <v>1900</v>
      </c>
      <c r="C930">
        <v>1952.55</v>
      </c>
      <c r="D930">
        <v>1897.1</v>
      </c>
      <c r="E930" s="7">
        <v>1947.45</v>
      </c>
      <c r="F930">
        <v>1663908</v>
      </c>
      <c r="G930" s="8">
        <f t="shared" si="140"/>
        <v>1932.3666666666666</v>
      </c>
      <c r="H930" s="9">
        <f t="shared" si="141"/>
        <v>3215280355.5999999</v>
      </c>
      <c r="I930" s="9">
        <f t="shared" si="144"/>
        <v>28592314920.599998</v>
      </c>
      <c r="J930" s="9">
        <f t="shared" si="145"/>
        <v>14384172</v>
      </c>
      <c r="K930" s="21">
        <f t="shared" si="146"/>
        <v>1987.7623071108992</v>
      </c>
      <c r="L930" s="4" t="str">
        <f t="shared" si="142"/>
        <v>SELL</v>
      </c>
      <c r="M930" s="4">
        <f t="shared" si="147"/>
        <v>0</v>
      </c>
      <c r="N930" s="4">
        <f t="shared" si="143"/>
        <v>-1</v>
      </c>
      <c r="O930" s="4">
        <f t="shared" si="148"/>
        <v>1967.9</v>
      </c>
      <c r="P930" s="4">
        <f t="shared" si="149"/>
        <v>0</v>
      </c>
    </row>
    <row r="931" spans="1:16" x14ac:dyDescent="0.25">
      <c r="A931" s="1">
        <v>42579</v>
      </c>
      <c r="B931">
        <v>1942.05</v>
      </c>
      <c r="C931">
        <v>1964.8</v>
      </c>
      <c r="D931">
        <v>1937.9</v>
      </c>
      <c r="E931" s="7">
        <v>1954.5</v>
      </c>
      <c r="F931">
        <v>1054909</v>
      </c>
      <c r="G931" s="8">
        <f t="shared" si="140"/>
        <v>1952.3999999999999</v>
      </c>
      <c r="H931" s="9">
        <f t="shared" si="141"/>
        <v>2059604331.5999999</v>
      </c>
      <c r="I931" s="9">
        <f t="shared" si="144"/>
        <v>28275561548.533329</v>
      </c>
      <c r="J931" s="9">
        <f t="shared" si="145"/>
        <v>14261549</v>
      </c>
      <c r="K931" s="21">
        <f t="shared" si="146"/>
        <v>1982.643087965643</v>
      </c>
      <c r="L931" s="4" t="str">
        <f t="shared" si="142"/>
        <v>SELL</v>
      </c>
      <c r="M931" s="4">
        <f t="shared" si="147"/>
        <v>0</v>
      </c>
      <c r="N931" s="4">
        <f t="shared" si="143"/>
        <v>-1</v>
      </c>
      <c r="O931" s="4">
        <f t="shared" si="148"/>
        <v>1967.9</v>
      </c>
      <c r="P931" s="4">
        <f t="shared" si="149"/>
        <v>0</v>
      </c>
    </row>
    <row r="932" spans="1:16" x14ac:dyDescent="0.25">
      <c r="A932" s="1">
        <v>42580</v>
      </c>
      <c r="B932">
        <v>1948</v>
      </c>
      <c r="C932">
        <v>1990</v>
      </c>
      <c r="D932">
        <v>1926.5</v>
      </c>
      <c r="E932" s="7">
        <v>1966.3</v>
      </c>
      <c r="F932">
        <v>1953620</v>
      </c>
      <c r="G932" s="8">
        <f t="shared" si="140"/>
        <v>1960.9333333333334</v>
      </c>
      <c r="H932" s="9">
        <f t="shared" si="141"/>
        <v>3830918578.666667</v>
      </c>
      <c r="I932" s="9">
        <f t="shared" si="144"/>
        <v>29417868911.433331</v>
      </c>
      <c r="J932" s="9">
        <f t="shared" si="145"/>
        <v>14901911</v>
      </c>
      <c r="K932" s="21">
        <f t="shared" si="146"/>
        <v>1974.1004299001202</v>
      </c>
      <c r="L932" s="4" t="str">
        <f t="shared" si="142"/>
        <v>SELL</v>
      </c>
      <c r="M932" s="4">
        <f t="shared" si="147"/>
        <v>0</v>
      </c>
      <c r="N932" s="4">
        <f t="shared" si="143"/>
        <v>-1</v>
      </c>
      <c r="O932" s="4">
        <f t="shared" si="148"/>
        <v>1967.9</v>
      </c>
      <c r="P932" s="4">
        <f t="shared" si="149"/>
        <v>0</v>
      </c>
    </row>
    <row r="933" spans="1:16" x14ac:dyDescent="0.25">
      <c r="A933" s="1">
        <v>42583</v>
      </c>
      <c r="B933">
        <v>1950</v>
      </c>
      <c r="C933">
        <v>1989.9</v>
      </c>
      <c r="D933">
        <v>1941</v>
      </c>
      <c r="E933" s="7">
        <v>1950.3</v>
      </c>
      <c r="F933">
        <v>1795929</v>
      </c>
      <c r="G933" s="8">
        <f t="shared" si="140"/>
        <v>1960.3999999999999</v>
      </c>
      <c r="H933" s="9">
        <f t="shared" si="141"/>
        <v>3520739211.5999999</v>
      </c>
      <c r="I933" s="9">
        <f t="shared" si="144"/>
        <v>28984409177.433331</v>
      </c>
      <c r="J933" s="9">
        <f t="shared" si="145"/>
        <v>14734094</v>
      </c>
      <c r="K933" s="21">
        <f t="shared" si="146"/>
        <v>1967.1660284937323</v>
      </c>
      <c r="L933" s="4" t="str">
        <f t="shared" si="142"/>
        <v>SELL</v>
      </c>
      <c r="M933" s="4">
        <f t="shared" si="147"/>
        <v>0</v>
      </c>
      <c r="N933" s="4">
        <f t="shared" si="143"/>
        <v>-1</v>
      </c>
      <c r="O933" s="4">
        <f t="shared" si="148"/>
        <v>1967.9</v>
      </c>
      <c r="P933" s="4">
        <f t="shared" si="149"/>
        <v>0</v>
      </c>
    </row>
    <row r="934" spans="1:16" x14ac:dyDescent="0.25">
      <c r="A934" s="1">
        <v>42584</v>
      </c>
      <c r="B934">
        <v>1950</v>
      </c>
      <c r="C934">
        <v>1977.2</v>
      </c>
      <c r="D934">
        <v>1940</v>
      </c>
      <c r="E934" s="7">
        <v>1955.1</v>
      </c>
      <c r="F934">
        <v>1494379</v>
      </c>
      <c r="G934" s="8">
        <f t="shared" si="140"/>
        <v>1957.4333333333332</v>
      </c>
      <c r="H934" s="9">
        <f t="shared" si="141"/>
        <v>2925147267.2333331</v>
      </c>
      <c r="I934" s="9">
        <f t="shared" si="144"/>
        <v>29155111690.533333</v>
      </c>
      <c r="J934" s="9">
        <f t="shared" si="145"/>
        <v>14848675</v>
      </c>
      <c r="K934" s="21">
        <f t="shared" si="146"/>
        <v>1963.4823774197584</v>
      </c>
      <c r="L934" s="4" t="str">
        <f t="shared" si="142"/>
        <v>SELL</v>
      </c>
      <c r="M934" s="4">
        <f t="shared" si="147"/>
        <v>0</v>
      </c>
      <c r="N934" s="4">
        <f t="shared" si="143"/>
        <v>-1</v>
      </c>
      <c r="O934" s="4">
        <f t="shared" si="148"/>
        <v>1967.9</v>
      </c>
      <c r="P934" s="4">
        <f t="shared" si="149"/>
        <v>0</v>
      </c>
    </row>
    <row r="935" spans="1:16" x14ac:dyDescent="0.25">
      <c r="A935" s="1">
        <v>42585</v>
      </c>
      <c r="B935">
        <v>1955</v>
      </c>
      <c r="C935">
        <v>1977.9</v>
      </c>
      <c r="D935">
        <v>1926</v>
      </c>
      <c r="E935" s="7">
        <v>1939.5</v>
      </c>
      <c r="F935">
        <v>2470150</v>
      </c>
      <c r="G935" s="8">
        <f t="shared" si="140"/>
        <v>1947.8</v>
      </c>
      <c r="H935" s="9">
        <f t="shared" si="141"/>
        <v>4811358170</v>
      </c>
      <c r="I935" s="9">
        <f t="shared" si="144"/>
        <v>29675820193.333332</v>
      </c>
      <c r="J935" s="9">
        <f t="shared" si="145"/>
        <v>15168339</v>
      </c>
      <c r="K935" s="21">
        <f t="shared" si="146"/>
        <v>1956.4317617989243</v>
      </c>
      <c r="L935" s="4" t="str">
        <f t="shared" si="142"/>
        <v>SELL</v>
      </c>
      <c r="M935" s="4">
        <f t="shared" si="147"/>
        <v>0</v>
      </c>
      <c r="N935" s="4">
        <f t="shared" si="143"/>
        <v>-1</v>
      </c>
      <c r="O935" s="4">
        <f t="shared" si="148"/>
        <v>1967.9</v>
      </c>
      <c r="P935" s="4">
        <f t="shared" si="149"/>
        <v>0</v>
      </c>
    </row>
    <row r="936" spans="1:16" x14ac:dyDescent="0.25">
      <c r="A936" s="1">
        <v>42586</v>
      </c>
      <c r="B936">
        <v>1941.5</v>
      </c>
      <c r="C936">
        <v>1970.95</v>
      </c>
      <c r="D936">
        <v>1920.2</v>
      </c>
      <c r="E936" s="7">
        <v>1959.05</v>
      </c>
      <c r="F936">
        <v>2166929</v>
      </c>
      <c r="G936" s="8">
        <f t="shared" si="140"/>
        <v>1950.0666666666666</v>
      </c>
      <c r="H936" s="9">
        <f t="shared" si="141"/>
        <v>4225656011.9333334</v>
      </c>
      <c r="I936" s="9">
        <f t="shared" si="144"/>
        <v>30895338858.900002</v>
      </c>
      <c r="J936" s="9">
        <f t="shared" si="145"/>
        <v>15831021</v>
      </c>
      <c r="K936" s="21">
        <f t="shared" si="146"/>
        <v>1951.5695708381666</v>
      </c>
      <c r="L936" s="4" t="str">
        <f t="shared" si="142"/>
        <v>BUY</v>
      </c>
      <c r="M936" s="4" t="str">
        <f t="shared" si="147"/>
        <v>BUY</v>
      </c>
      <c r="N936" s="4">
        <f t="shared" si="143"/>
        <v>1</v>
      </c>
      <c r="O936" s="4">
        <f t="shared" si="148"/>
        <v>1959.05</v>
      </c>
      <c r="P936" s="4">
        <f t="shared" si="149"/>
        <v>4.4971797347426882E-3</v>
      </c>
    </row>
    <row r="937" spans="1:16" x14ac:dyDescent="0.25">
      <c r="A937" s="1">
        <v>42587</v>
      </c>
      <c r="B937">
        <v>1954.8</v>
      </c>
      <c r="C937">
        <v>1974.1</v>
      </c>
      <c r="D937">
        <v>1935.1</v>
      </c>
      <c r="E937" s="7">
        <v>1942.9</v>
      </c>
      <c r="F937">
        <v>2459852</v>
      </c>
      <c r="G937" s="8">
        <f t="shared" si="140"/>
        <v>1950.7</v>
      </c>
      <c r="H937" s="9">
        <f t="shared" si="141"/>
        <v>4798433296.4000006</v>
      </c>
      <c r="I937" s="9">
        <f t="shared" si="144"/>
        <v>33816073087.300003</v>
      </c>
      <c r="J937" s="9">
        <f t="shared" si="145"/>
        <v>17338089</v>
      </c>
      <c r="K937" s="21">
        <f t="shared" si="146"/>
        <v>1950.3921733992715</v>
      </c>
      <c r="L937" s="4" t="str">
        <f t="shared" si="142"/>
        <v>SELL</v>
      </c>
      <c r="M937" s="4" t="str">
        <f t="shared" si="147"/>
        <v>SELL</v>
      </c>
      <c r="N937" s="4">
        <f t="shared" si="143"/>
        <v>-1</v>
      </c>
      <c r="O937" s="4">
        <f t="shared" si="148"/>
        <v>1942.9</v>
      </c>
      <c r="P937" s="4">
        <f t="shared" si="149"/>
        <v>-8.2437916336999383E-3</v>
      </c>
    </row>
    <row r="938" spans="1:16" x14ac:dyDescent="0.25">
      <c r="A938" s="1">
        <v>42590</v>
      </c>
      <c r="B938">
        <v>1943.1</v>
      </c>
      <c r="C938">
        <v>1961.95</v>
      </c>
      <c r="D938">
        <v>1937.45</v>
      </c>
      <c r="E938" s="7">
        <v>1948.1</v>
      </c>
      <c r="F938">
        <v>892333</v>
      </c>
      <c r="G938" s="8">
        <f t="shared" si="140"/>
        <v>1949.1666666666667</v>
      </c>
      <c r="H938" s="9">
        <f t="shared" si="141"/>
        <v>1739305739.1666667</v>
      </c>
      <c r="I938" s="9">
        <f t="shared" si="144"/>
        <v>33497386543.800003</v>
      </c>
      <c r="J938" s="9">
        <f t="shared" si="145"/>
        <v>17182262</v>
      </c>
      <c r="K938" s="21">
        <f t="shared" si="146"/>
        <v>1949.5329860410698</v>
      </c>
      <c r="L938" s="4" t="str">
        <f t="shared" si="142"/>
        <v>SELL</v>
      </c>
      <c r="M938" s="4">
        <f t="shared" si="147"/>
        <v>0</v>
      </c>
      <c r="N938" s="4">
        <f t="shared" si="143"/>
        <v>-1</v>
      </c>
      <c r="O938" s="4">
        <f t="shared" si="148"/>
        <v>1942.9</v>
      </c>
      <c r="P938" s="4">
        <f t="shared" si="149"/>
        <v>0</v>
      </c>
    </row>
    <row r="939" spans="1:16" x14ac:dyDescent="0.25">
      <c r="A939" s="1">
        <v>42591</v>
      </c>
      <c r="B939">
        <v>1954</v>
      </c>
      <c r="C939">
        <v>1961.85</v>
      </c>
      <c r="D939">
        <v>1920</v>
      </c>
      <c r="E939" s="7">
        <v>1927.8</v>
      </c>
      <c r="F939">
        <v>993675</v>
      </c>
      <c r="G939" s="8">
        <f t="shared" si="140"/>
        <v>1936.55</v>
      </c>
      <c r="H939" s="9">
        <f t="shared" si="141"/>
        <v>1924301321.25</v>
      </c>
      <c r="I939" s="9">
        <f t="shared" si="144"/>
        <v>33050744283.450005</v>
      </c>
      <c r="J939" s="9">
        <f t="shared" si="145"/>
        <v>16945684</v>
      </c>
      <c r="K939" s="21">
        <f t="shared" si="146"/>
        <v>1950.3930489586614</v>
      </c>
      <c r="L939" s="4" t="str">
        <f t="shared" si="142"/>
        <v>SELL</v>
      </c>
      <c r="M939" s="4">
        <f t="shared" si="147"/>
        <v>0</v>
      </c>
      <c r="N939" s="4">
        <f t="shared" si="143"/>
        <v>-1</v>
      </c>
      <c r="O939" s="4">
        <f t="shared" si="148"/>
        <v>1942.9</v>
      </c>
      <c r="P939" s="4">
        <f t="shared" si="149"/>
        <v>0</v>
      </c>
    </row>
    <row r="940" spans="1:16" x14ac:dyDescent="0.25">
      <c r="A940" s="1">
        <v>42592</v>
      </c>
      <c r="B940">
        <v>1932</v>
      </c>
      <c r="C940">
        <v>1954.85</v>
      </c>
      <c r="D940">
        <v>1916.7</v>
      </c>
      <c r="E940" s="7">
        <v>1949.05</v>
      </c>
      <c r="F940">
        <v>795997</v>
      </c>
      <c r="G940" s="8">
        <f t="shared" si="140"/>
        <v>1940.2</v>
      </c>
      <c r="H940" s="9">
        <f t="shared" si="141"/>
        <v>1544393379.4000001</v>
      </c>
      <c r="I940" s="9">
        <f t="shared" si="144"/>
        <v>31379857307.250004</v>
      </c>
      <c r="J940" s="9">
        <f t="shared" si="145"/>
        <v>16077773</v>
      </c>
      <c r="K940" s="21">
        <f t="shared" si="146"/>
        <v>1951.7539716010422</v>
      </c>
      <c r="L940" s="4" t="str">
        <f t="shared" si="142"/>
        <v>SELL</v>
      </c>
      <c r="M940" s="4">
        <f t="shared" si="147"/>
        <v>0</v>
      </c>
      <c r="N940" s="4">
        <f t="shared" si="143"/>
        <v>-1</v>
      </c>
      <c r="O940" s="4">
        <f t="shared" si="148"/>
        <v>1942.9</v>
      </c>
      <c r="P940" s="4">
        <f t="shared" si="149"/>
        <v>0</v>
      </c>
    </row>
    <row r="941" spans="1:16" x14ac:dyDescent="0.25">
      <c r="A941" s="1">
        <v>42593</v>
      </c>
      <c r="B941">
        <v>1971.8</v>
      </c>
      <c r="C941">
        <v>2036.9</v>
      </c>
      <c r="D941">
        <v>1960.4</v>
      </c>
      <c r="E941" s="7">
        <v>2024.6</v>
      </c>
      <c r="F941">
        <v>2336177</v>
      </c>
      <c r="G941" s="8">
        <f t="shared" si="140"/>
        <v>2007.3</v>
      </c>
      <c r="H941" s="9">
        <f t="shared" si="141"/>
        <v>4689408092.0999994</v>
      </c>
      <c r="I941" s="9">
        <f t="shared" si="144"/>
        <v>34009661067.750004</v>
      </c>
      <c r="J941" s="9">
        <f t="shared" si="145"/>
        <v>17359041</v>
      </c>
      <c r="K941" s="21">
        <f t="shared" si="146"/>
        <v>1959.1900881938122</v>
      </c>
      <c r="L941" s="4" t="str">
        <f t="shared" si="142"/>
        <v>BUY</v>
      </c>
      <c r="M941" s="4" t="str">
        <f t="shared" si="147"/>
        <v>BUY</v>
      </c>
      <c r="N941" s="4">
        <f t="shared" si="143"/>
        <v>1</v>
      </c>
      <c r="O941" s="4">
        <f t="shared" si="148"/>
        <v>2024.6</v>
      </c>
      <c r="P941" s="4">
        <f t="shared" si="149"/>
        <v>-4.2050543002727786E-2</v>
      </c>
    </row>
    <row r="942" spans="1:16" x14ac:dyDescent="0.25">
      <c r="A942" s="1">
        <v>42594</v>
      </c>
      <c r="B942">
        <v>2032</v>
      </c>
      <c r="C942">
        <v>2069</v>
      </c>
      <c r="D942">
        <v>2026.95</v>
      </c>
      <c r="E942" s="7">
        <v>2033.6</v>
      </c>
      <c r="F942">
        <v>967016</v>
      </c>
      <c r="G942" s="8">
        <f t="shared" si="140"/>
        <v>2043.1833333333332</v>
      </c>
      <c r="H942" s="9">
        <f t="shared" si="141"/>
        <v>1975790974.2666664</v>
      </c>
      <c r="I942" s="9">
        <f t="shared" si="144"/>
        <v>32154533463.350002</v>
      </c>
      <c r="J942" s="9">
        <f t="shared" si="145"/>
        <v>16372437</v>
      </c>
      <c r="K942" s="21">
        <f t="shared" si="146"/>
        <v>1963.9430259130027</v>
      </c>
      <c r="L942" s="4" t="str">
        <f t="shared" si="142"/>
        <v>BUY</v>
      </c>
      <c r="M942" s="4">
        <f t="shared" si="147"/>
        <v>0</v>
      </c>
      <c r="N942" s="4">
        <f t="shared" si="143"/>
        <v>1</v>
      </c>
      <c r="O942" s="4">
        <f t="shared" si="148"/>
        <v>2024.6</v>
      </c>
      <c r="P942" s="4">
        <f t="shared" si="149"/>
        <v>0</v>
      </c>
    </row>
    <row r="943" spans="1:16" x14ac:dyDescent="0.25">
      <c r="A943" s="1">
        <v>42597</v>
      </c>
      <c r="B943">
        <v>2035</v>
      </c>
      <c r="C943">
        <v>2097.6999999999998</v>
      </c>
      <c r="D943">
        <v>2025.3</v>
      </c>
      <c r="E943" s="7">
        <v>2089.75</v>
      </c>
      <c r="F943">
        <v>996939</v>
      </c>
      <c r="G943" s="8">
        <f t="shared" si="140"/>
        <v>2070.9166666666665</v>
      </c>
      <c r="H943" s="9">
        <f t="shared" si="141"/>
        <v>2064577590.7499998</v>
      </c>
      <c r="I943" s="9">
        <f t="shared" si="144"/>
        <v>30698371842.500004</v>
      </c>
      <c r="J943" s="9">
        <f t="shared" si="145"/>
        <v>15573447</v>
      </c>
      <c r="K943" s="21">
        <f t="shared" si="146"/>
        <v>1971.1995579719764</v>
      </c>
      <c r="L943" s="4" t="str">
        <f t="shared" si="142"/>
        <v>BUY</v>
      </c>
      <c r="M943" s="4">
        <f t="shared" si="147"/>
        <v>0</v>
      </c>
      <c r="N943" s="4">
        <f t="shared" si="143"/>
        <v>1</v>
      </c>
      <c r="O943" s="4">
        <f t="shared" si="148"/>
        <v>2024.6</v>
      </c>
      <c r="P943" s="4">
        <f t="shared" si="149"/>
        <v>0</v>
      </c>
    </row>
    <row r="944" spans="1:16" x14ac:dyDescent="0.25">
      <c r="A944" s="1">
        <v>42598</v>
      </c>
      <c r="B944">
        <v>2083</v>
      </c>
      <c r="C944">
        <v>2098</v>
      </c>
      <c r="D944">
        <v>2056.5500000000002</v>
      </c>
      <c r="E944" s="7">
        <v>2061.4499999999998</v>
      </c>
      <c r="F944">
        <v>914053</v>
      </c>
      <c r="G944" s="8">
        <f t="shared" si="140"/>
        <v>2072</v>
      </c>
      <c r="H944" s="9">
        <f t="shared" si="141"/>
        <v>1893917816</v>
      </c>
      <c r="I944" s="9">
        <f t="shared" si="144"/>
        <v>29667142391.266666</v>
      </c>
      <c r="J944" s="9">
        <f t="shared" si="145"/>
        <v>14993121</v>
      </c>
      <c r="K944" s="21">
        <f t="shared" si="146"/>
        <v>1978.7169323362805</v>
      </c>
      <c r="L944" s="4" t="str">
        <f t="shared" si="142"/>
        <v>BUY</v>
      </c>
      <c r="M944" s="4">
        <f t="shared" si="147"/>
        <v>0</v>
      </c>
      <c r="N944" s="4">
        <f t="shared" si="143"/>
        <v>1</v>
      </c>
      <c r="O944" s="4">
        <f t="shared" si="148"/>
        <v>2024.6</v>
      </c>
      <c r="P944" s="4">
        <f t="shared" si="149"/>
        <v>0</v>
      </c>
    </row>
    <row r="945" spans="1:16" x14ac:dyDescent="0.25">
      <c r="A945" s="1">
        <v>42599</v>
      </c>
      <c r="B945">
        <v>2055.5</v>
      </c>
      <c r="C945">
        <v>2097.65</v>
      </c>
      <c r="D945">
        <v>2045.1</v>
      </c>
      <c r="E945" s="7">
        <v>2090.85</v>
      </c>
      <c r="F945">
        <v>887929</v>
      </c>
      <c r="G945" s="8">
        <f t="shared" si="140"/>
        <v>2077.8666666666668</v>
      </c>
      <c r="H945" s="9">
        <f t="shared" si="141"/>
        <v>1844998071.4666667</v>
      </c>
      <c r="I945" s="9">
        <f t="shared" si="144"/>
        <v>26700782292.733334</v>
      </c>
      <c r="J945" s="9">
        <f t="shared" si="145"/>
        <v>13410900</v>
      </c>
      <c r="K945" s="21">
        <f t="shared" si="146"/>
        <v>1990.9761680970951</v>
      </c>
      <c r="L945" s="4" t="str">
        <f t="shared" si="142"/>
        <v>BUY</v>
      </c>
      <c r="M945" s="4">
        <f t="shared" si="147"/>
        <v>0</v>
      </c>
      <c r="N945" s="4">
        <f t="shared" si="143"/>
        <v>1</v>
      </c>
      <c r="O945" s="4">
        <f t="shared" si="148"/>
        <v>2024.6</v>
      </c>
      <c r="P945" s="4">
        <f t="shared" si="149"/>
        <v>0</v>
      </c>
    </row>
    <row r="946" spans="1:16" x14ac:dyDescent="0.25">
      <c r="A946" s="1">
        <v>42600</v>
      </c>
      <c r="B946">
        <v>2088</v>
      </c>
      <c r="C946">
        <v>2098</v>
      </c>
      <c r="D946">
        <v>2067.25</v>
      </c>
      <c r="E946" s="7">
        <v>2080</v>
      </c>
      <c r="F946">
        <v>582160</v>
      </c>
      <c r="G946" s="8">
        <f t="shared" si="140"/>
        <v>2081.75</v>
      </c>
      <c r="H946" s="9">
        <f t="shared" si="141"/>
        <v>1211911580</v>
      </c>
      <c r="I946" s="9">
        <f t="shared" si="144"/>
        <v>23687037860.799999</v>
      </c>
      <c r="J946" s="9">
        <f t="shared" si="145"/>
        <v>11826131</v>
      </c>
      <c r="K946" s="21">
        <f t="shared" si="146"/>
        <v>2002.9405949249167</v>
      </c>
      <c r="L946" s="4" t="str">
        <f t="shared" si="142"/>
        <v>BUY</v>
      </c>
      <c r="M946" s="4">
        <f t="shared" si="147"/>
        <v>0</v>
      </c>
      <c r="N946" s="4">
        <f t="shared" si="143"/>
        <v>1</v>
      </c>
      <c r="O946" s="4">
        <f t="shared" si="148"/>
        <v>2024.6</v>
      </c>
      <c r="P946" s="4">
        <f t="shared" si="149"/>
        <v>0</v>
      </c>
    </row>
    <row r="947" spans="1:16" x14ac:dyDescent="0.25">
      <c r="A947" s="1">
        <v>42601</v>
      </c>
      <c r="B947">
        <v>2103</v>
      </c>
      <c r="C947">
        <v>2138</v>
      </c>
      <c r="D947">
        <v>2082.4</v>
      </c>
      <c r="E947" s="7">
        <v>2122.0500000000002</v>
      </c>
      <c r="F947">
        <v>1142224</v>
      </c>
      <c r="G947" s="8">
        <f t="shared" si="140"/>
        <v>2114.15</v>
      </c>
      <c r="H947" s="9">
        <f t="shared" si="141"/>
        <v>2414832869.5999999</v>
      </c>
      <c r="I947" s="9">
        <f t="shared" si="144"/>
        <v>21303437434</v>
      </c>
      <c r="J947" s="9">
        <f t="shared" si="145"/>
        <v>10508503</v>
      </c>
      <c r="K947" s="21">
        <f t="shared" si="146"/>
        <v>2027.2571111222978</v>
      </c>
      <c r="L947" s="4" t="str">
        <f t="shared" si="142"/>
        <v>BUY</v>
      </c>
      <c r="M947" s="4">
        <f t="shared" si="147"/>
        <v>0</v>
      </c>
      <c r="N947" s="4">
        <f t="shared" si="143"/>
        <v>1</v>
      </c>
      <c r="O947" s="4">
        <f t="shared" si="148"/>
        <v>2024.6</v>
      </c>
      <c r="P947" s="4">
        <f t="shared" si="149"/>
        <v>0</v>
      </c>
    </row>
    <row r="948" spans="1:16" x14ac:dyDescent="0.25">
      <c r="A948" s="1">
        <v>42604</v>
      </c>
      <c r="B948">
        <v>2127.5</v>
      </c>
      <c r="C948">
        <v>2225</v>
      </c>
      <c r="D948">
        <v>2125</v>
      </c>
      <c r="E948" s="7">
        <v>2212.75</v>
      </c>
      <c r="F948">
        <v>2187230</v>
      </c>
      <c r="G948" s="8">
        <f t="shared" si="140"/>
        <v>2187.5833333333335</v>
      </c>
      <c r="H948" s="9">
        <f t="shared" si="141"/>
        <v>4784747894.166667</v>
      </c>
      <c r="I948" s="9">
        <f t="shared" si="144"/>
        <v>24348879589</v>
      </c>
      <c r="J948" s="9">
        <f t="shared" si="145"/>
        <v>11803400</v>
      </c>
      <c r="K948" s="21">
        <f t="shared" si="146"/>
        <v>2062.8699856820917</v>
      </c>
      <c r="L948" s="4" t="str">
        <f t="shared" si="142"/>
        <v>BUY</v>
      </c>
      <c r="M948" s="4">
        <f t="shared" si="147"/>
        <v>0</v>
      </c>
      <c r="N948" s="4">
        <f t="shared" si="143"/>
        <v>1</v>
      </c>
      <c r="O948" s="4">
        <f t="shared" si="148"/>
        <v>2024.6</v>
      </c>
      <c r="P948" s="4">
        <f t="shared" si="149"/>
        <v>0</v>
      </c>
    </row>
    <row r="949" spans="1:16" x14ac:dyDescent="0.25">
      <c r="A949" s="1">
        <v>42605</v>
      </c>
      <c r="B949">
        <v>2235</v>
      </c>
      <c r="C949">
        <v>2258.85</v>
      </c>
      <c r="D949">
        <v>2201</v>
      </c>
      <c r="E949" s="7">
        <v>2215.4</v>
      </c>
      <c r="F949">
        <v>2332546</v>
      </c>
      <c r="G949" s="8">
        <f t="shared" si="140"/>
        <v>2225.0833333333335</v>
      </c>
      <c r="H949" s="9">
        <f t="shared" si="141"/>
        <v>5190109228.833334</v>
      </c>
      <c r="I949" s="9">
        <f t="shared" si="144"/>
        <v>27614687496.583336</v>
      </c>
      <c r="J949" s="9">
        <f t="shared" si="145"/>
        <v>13142271</v>
      </c>
      <c r="K949" s="21">
        <f t="shared" si="146"/>
        <v>2101.2112363672409</v>
      </c>
      <c r="L949" s="4" t="str">
        <f t="shared" si="142"/>
        <v>BUY</v>
      </c>
      <c r="M949" s="4">
        <f t="shared" si="147"/>
        <v>0</v>
      </c>
      <c r="N949" s="4">
        <f t="shared" si="143"/>
        <v>1</v>
      </c>
      <c r="O949" s="4">
        <f t="shared" si="148"/>
        <v>2024.6</v>
      </c>
      <c r="P949" s="4">
        <f t="shared" si="149"/>
        <v>0</v>
      </c>
    </row>
    <row r="950" spans="1:16" x14ac:dyDescent="0.25">
      <c r="A950" s="1">
        <v>42606</v>
      </c>
      <c r="B950">
        <v>2230</v>
      </c>
      <c r="C950">
        <v>2230</v>
      </c>
      <c r="D950">
        <v>2095.6999999999998</v>
      </c>
      <c r="E950" s="7">
        <v>2108.4499999999998</v>
      </c>
      <c r="F950">
        <v>3343607</v>
      </c>
      <c r="G950" s="8">
        <f t="shared" si="140"/>
        <v>2144.7166666666667</v>
      </c>
      <c r="H950" s="9">
        <f t="shared" si="141"/>
        <v>7171089659.6833334</v>
      </c>
      <c r="I950" s="9">
        <f t="shared" si="144"/>
        <v>33241383776.866669</v>
      </c>
      <c r="J950" s="9">
        <f t="shared" si="145"/>
        <v>15689881</v>
      </c>
      <c r="K950" s="21">
        <f t="shared" si="146"/>
        <v>2118.6511087538947</v>
      </c>
      <c r="L950" s="4" t="str">
        <f t="shared" si="142"/>
        <v>SELL</v>
      </c>
      <c r="M950" s="4" t="str">
        <f t="shared" si="147"/>
        <v>SELL</v>
      </c>
      <c r="N950" s="4">
        <f t="shared" si="143"/>
        <v>-1</v>
      </c>
      <c r="O950" s="4">
        <f t="shared" si="148"/>
        <v>2108.4499999999998</v>
      </c>
      <c r="P950" s="4">
        <f t="shared" si="149"/>
        <v>4.141558826434847E-2</v>
      </c>
    </row>
    <row r="951" spans="1:16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 s="7">
        <v>2120.65</v>
      </c>
      <c r="F951">
        <v>2673083</v>
      </c>
      <c r="G951" s="8">
        <f t="shared" si="140"/>
        <v>2105.3333333333335</v>
      </c>
      <c r="H951" s="9">
        <f t="shared" si="141"/>
        <v>5627730742.666667</v>
      </c>
      <c r="I951" s="9">
        <f t="shared" si="144"/>
        <v>34179706427.433338</v>
      </c>
      <c r="J951" s="9">
        <f t="shared" si="145"/>
        <v>16026787</v>
      </c>
      <c r="K951" s="21">
        <f t="shared" si="146"/>
        <v>2132.6611770302643</v>
      </c>
      <c r="L951" s="4" t="str">
        <f t="shared" si="142"/>
        <v>SELL</v>
      </c>
      <c r="M951" s="4">
        <f t="shared" si="147"/>
        <v>0</v>
      </c>
      <c r="N951" s="4">
        <f t="shared" si="143"/>
        <v>-1</v>
      </c>
      <c r="O951" s="4">
        <f t="shared" si="148"/>
        <v>2108.4499999999998</v>
      </c>
      <c r="P951" s="4">
        <f t="shared" si="149"/>
        <v>0</v>
      </c>
    </row>
    <row r="952" spans="1:16" x14ac:dyDescent="0.25">
      <c r="A952" s="1">
        <v>42608</v>
      </c>
      <c r="B952">
        <v>2125</v>
      </c>
      <c r="C952">
        <v>2127.9499999999998</v>
      </c>
      <c r="D952">
        <v>2050</v>
      </c>
      <c r="E952" s="7">
        <v>2071.65</v>
      </c>
      <c r="F952">
        <v>1842686</v>
      </c>
      <c r="G952" s="8">
        <f t="shared" si="140"/>
        <v>2083.2000000000003</v>
      </c>
      <c r="H952" s="9">
        <f t="shared" si="141"/>
        <v>3838683475.2000003</v>
      </c>
      <c r="I952" s="9">
        <f t="shared" si="144"/>
        <v>36042598928.366669</v>
      </c>
      <c r="J952" s="9">
        <f t="shared" si="145"/>
        <v>16902457</v>
      </c>
      <c r="K952" s="21">
        <f t="shared" si="146"/>
        <v>2132.3881450115014</v>
      </c>
      <c r="L952" s="4" t="str">
        <f t="shared" si="142"/>
        <v>SELL</v>
      </c>
      <c r="M952" s="4">
        <f t="shared" si="147"/>
        <v>0</v>
      </c>
      <c r="N952" s="4">
        <f t="shared" si="143"/>
        <v>-1</v>
      </c>
      <c r="O952" s="4">
        <f t="shared" si="148"/>
        <v>2108.4499999999998</v>
      </c>
      <c r="P952" s="4">
        <f t="shared" si="149"/>
        <v>0</v>
      </c>
    </row>
    <row r="953" spans="1:16" x14ac:dyDescent="0.25">
      <c r="A953" s="1">
        <v>42611</v>
      </c>
      <c r="B953">
        <v>2088</v>
      </c>
      <c r="C953">
        <v>2107.65</v>
      </c>
      <c r="D953">
        <v>2076.85</v>
      </c>
      <c r="E953" s="7">
        <v>2089.35</v>
      </c>
      <c r="F953">
        <v>1022307</v>
      </c>
      <c r="G953" s="8">
        <f t="shared" si="140"/>
        <v>2091.2833333333333</v>
      </c>
      <c r="H953" s="9">
        <f t="shared" si="141"/>
        <v>2137933590.6499999</v>
      </c>
      <c r="I953" s="9">
        <f t="shared" si="144"/>
        <v>36115954928.26667</v>
      </c>
      <c r="J953" s="9">
        <f t="shared" si="145"/>
        <v>16927825</v>
      </c>
      <c r="K953" s="21">
        <f t="shared" si="146"/>
        <v>2133.5260098841209</v>
      </c>
      <c r="L953" s="4" t="str">
        <f t="shared" si="142"/>
        <v>SELL</v>
      </c>
      <c r="M953" s="4">
        <f t="shared" si="147"/>
        <v>0</v>
      </c>
      <c r="N953" s="4">
        <f t="shared" si="143"/>
        <v>-1</v>
      </c>
      <c r="O953" s="4">
        <f t="shared" si="148"/>
        <v>2108.4499999999998</v>
      </c>
      <c r="P953" s="4">
        <f t="shared" si="149"/>
        <v>0</v>
      </c>
    </row>
    <row r="954" spans="1:16" x14ac:dyDescent="0.25">
      <c r="A954" s="1">
        <v>42612</v>
      </c>
      <c r="B954">
        <v>2088.5</v>
      </c>
      <c r="C954">
        <v>2103</v>
      </c>
      <c r="D954">
        <v>2046.15</v>
      </c>
      <c r="E954" s="7">
        <v>2061.15</v>
      </c>
      <c r="F954">
        <v>1227748</v>
      </c>
      <c r="G954" s="8">
        <f t="shared" si="140"/>
        <v>2070.1</v>
      </c>
      <c r="H954" s="9">
        <f t="shared" si="141"/>
        <v>2541561134.7999997</v>
      </c>
      <c r="I954" s="9">
        <f t="shared" si="144"/>
        <v>36763598247.066673</v>
      </c>
      <c r="J954" s="9">
        <f t="shared" si="145"/>
        <v>17241520</v>
      </c>
      <c r="K954" s="21">
        <f t="shared" si="146"/>
        <v>2132.2712989960673</v>
      </c>
      <c r="L954" s="4" t="str">
        <f t="shared" si="142"/>
        <v>SELL</v>
      </c>
      <c r="M954" s="4">
        <f t="shared" si="147"/>
        <v>0</v>
      </c>
      <c r="N954" s="4">
        <f t="shared" si="143"/>
        <v>-1</v>
      </c>
      <c r="O954" s="4">
        <f t="shared" si="148"/>
        <v>2108.4499999999998</v>
      </c>
      <c r="P954" s="4">
        <f t="shared" si="149"/>
        <v>0</v>
      </c>
    </row>
    <row r="955" spans="1:16" x14ac:dyDescent="0.25">
      <c r="A955" s="1">
        <v>42613</v>
      </c>
      <c r="B955">
        <v>2042</v>
      </c>
      <c r="C955">
        <v>2082.35</v>
      </c>
      <c r="D955">
        <v>2001.85</v>
      </c>
      <c r="E955" s="7">
        <v>2008.7</v>
      </c>
      <c r="F955">
        <v>1808879</v>
      </c>
      <c r="G955" s="8">
        <f t="shared" si="140"/>
        <v>2030.9666666666665</v>
      </c>
      <c r="H955" s="9">
        <f t="shared" si="141"/>
        <v>3673772953.0333328</v>
      </c>
      <c r="I955" s="9">
        <f t="shared" si="144"/>
        <v>38592373128.633339</v>
      </c>
      <c r="J955" s="9">
        <f t="shared" si="145"/>
        <v>18162470</v>
      </c>
      <c r="K955" s="21">
        <f t="shared" si="146"/>
        <v>2124.8416723404548</v>
      </c>
      <c r="L955" s="4" t="str">
        <f t="shared" si="142"/>
        <v>SELL</v>
      </c>
      <c r="M955" s="4">
        <f t="shared" si="147"/>
        <v>0</v>
      </c>
      <c r="N955" s="4">
        <f t="shared" si="143"/>
        <v>-1</v>
      </c>
      <c r="O955" s="4">
        <f t="shared" si="148"/>
        <v>2108.4499999999998</v>
      </c>
      <c r="P955" s="4">
        <f t="shared" si="149"/>
        <v>0</v>
      </c>
    </row>
    <row r="956" spans="1:16" x14ac:dyDescent="0.25">
      <c r="A956" s="1">
        <v>42614</v>
      </c>
      <c r="B956">
        <v>1995</v>
      </c>
      <c r="C956">
        <v>2072</v>
      </c>
      <c r="D956">
        <v>1995</v>
      </c>
      <c r="E956" s="7">
        <v>2067.75</v>
      </c>
      <c r="F956">
        <v>1263701</v>
      </c>
      <c r="G956" s="8">
        <f t="shared" si="140"/>
        <v>2044.9166666666667</v>
      </c>
      <c r="H956" s="9">
        <f t="shared" si="141"/>
        <v>2584163236.5833335</v>
      </c>
      <c r="I956" s="9">
        <f t="shared" si="144"/>
        <v>39964624785.216667</v>
      </c>
      <c r="J956" s="9">
        <f t="shared" si="145"/>
        <v>18844011</v>
      </c>
      <c r="K956" s="21">
        <f t="shared" si="146"/>
        <v>2120.8130681528824</v>
      </c>
      <c r="L956" s="4" t="str">
        <f t="shared" si="142"/>
        <v>SELL</v>
      </c>
      <c r="M956" s="4">
        <f t="shared" si="147"/>
        <v>0</v>
      </c>
      <c r="N956" s="4">
        <f t="shared" si="143"/>
        <v>-1</v>
      </c>
      <c r="O956" s="4">
        <f t="shared" si="148"/>
        <v>2108.4499999999998</v>
      </c>
      <c r="P956" s="4">
        <f t="shared" si="149"/>
        <v>0</v>
      </c>
    </row>
    <row r="957" spans="1:16" x14ac:dyDescent="0.25">
      <c r="A957" s="1">
        <v>42615</v>
      </c>
      <c r="B957">
        <v>2068</v>
      </c>
      <c r="C957">
        <v>2089.8000000000002</v>
      </c>
      <c r="D957">
        <v>2052.5500000000002</v>
      </c>
      <c r="E957" s="7">
        <v>2063.9499999999998</v>
      </c>
      <c r="F957">
        <v>901971</v>
      </c>
      <c r="G957" s="8">
        <f t="shared" si="140"/>
        <v>2068.7666666666669</v>
      </c>
      <c r="H957" s="9">
        <f t="shared" si="141"/>
        <v>1865967539.1000001</v>
      </c>
      <c r="I957" s="9">
        <f t="shared" si="144"/>
        <v>39415759454.716675</v>
      </c>
      <c r="J957" s="9">
        <f t="shared" si="145"/>
        <v>18603758</v>
      </c>
      <c r="K957" s="21">
        <f t="shared" si="146"/>
        <v>2118.6987841229002</v>
      </c>
      <c r="L957" s="4" t="str">
        <f t="shared" si="142"/>
        <v>SELL</v>
      </c>
      <c r="M957" s="4">
        <f t="shared" si="147"/>
        <v>0</v>
      </c>
      <c r="N957" s="4">
        <f t="shared" si="143"/>
        <v>-1</v>
      </c>
      <c r="O957" s="4">
        <f t="shared" si="148"/>
        <v>2108.4499999999998</v>
      </c>
      <c r="P957" s="4">
        <f t="shared" si="149"/>
        <v>0</v>
      </c>
    </row>
    <row r="958" spans="1:16" x14ac:dyDescent="0.25">
      <c r="A958" s="1">
        <v>42618</v>
      </c>
      <c r="B958">
        <v>2065</v>
      </c>
      <c r="C958">
        <v>2085.8000000000002</v>
      </c>
      <c r="D958">
        <v>2047.9</v>
      </c>
      <c r="E958" s="7">
        <v>2069.8000000000002</v>
      </c>
      <c r="F958">
        <v>914538</v>
      </c>
      <c r="G958" s="8">
        <f t="shared" si="140"/>
        <v>2067.8333333333335</v>
      </c>
      <c r="H958" s="9">
        <f t="shared" si="141"/>
        <v>1891112161.0000002</v>
      </c>
      <c r="I958" s="9">
        <f t="shared" si="144"/>
        <v>36522123721.550003</v>
      </c>
      <c r="J958" s="9">
        <f t="shared" si="145"/>
        <v>17331066</v>
      </c>
      <c r="K958" s="21">
        <f t="shared" si="146"/>
        <v>2107.3212531502681</v>
      </c>
      <c r="L958" s="4" t="str">
        <f t="shared" si="142"/>
        <v>SELL</v>
      </c>
      <c r="M958" s="4">
        <f t="shared" si="147"/>
        <v>0</v>
      </c>
      <c r="N958" s="4">
        <f t="shared" si="143"/>
        <v>-1</v>
      </c>
      <c r="O958" s="4">
        <f t="shared" si="148"/>
        <v>2108.4499999999998</v>
      </c>
      <c r="P958" s="4">
        <f t="shared" si="149"/>
        <v>0</v>
      </c>
    </row>
    <row r="959" spans="1:16" x14ac:dyDescent="0.25">
      <c r="A959" s="1">
        <v>42619</v>
      </c>
      <c r="B959">
        <v>2070.25</v>
      </c>
      <c r="C959">
        <v>2100</v>
      </c>
      <c r="D959">
        <v>2070.25</v>
      </c>
      <c r="E959" s="7">
        <v>2091.9499999999998</v>
      </c>
      <c r="F959">
        <v>1057437</v>
      </c>
      <c r="G959" s="8">
        <f t="shared" si="140"/>
        <v>2087.4</v>
      </c>
      <c r="H959" s="9">
        <f t="shared" si="141"/>
        <v>2207293993.8000002</v>
      </c>
      <c r="I959" s="9">
        <f t="shared" si="144"/>
        <v>33539308486.516663</v>
      </c>
      <c r="J959" s="9">
        <f t="shared" si="145"/>
        <v>16055957</v>
      </c>
      <c r="K959" s="21">
        <f t="shared" si="146"/>
        <v>2088.9012399894109</v>
      </c>
      <c r="L959" s="4" t="str">
        <f t="shared" si="142"/>
        <v>BUY</v>
      </c>
      <c r="M959" s="4" t="str">
        <f t="shared" si="147"/>
        <v>BUY</v>
      </c>
      <c r="N959" s="4">
        <f t="shared" si="143"/>
        <v>1</v>
      </c>
      <c r="O959" s="4">
        <f t="shared" si="148"/>
        <v>2091.9499999999998</v>
      </c>
      <c r="P959" s="4">
        <f t="shared" si="149"/>
        <v>7.8256539163840746E-3</v>
      </c>
    </row>
    <row r="960" spans="1:16" x14ac:dyDescent="0.25">
      <c r="A960" s="1">
        <v>42620</v>
      </c>
      <c r="B960">
        <v>2089</v>
      </c>
      <c r="C960">
        <v>2129</v>
      </c>
      <c r="D960">
        <v>2079.4</v>
      </c>
      <c r="E960" s="7">
        <v>2112.0500000000002</v>
      </c>
      <c r="F960">
        <v>1761538</v>
      </c>
      <c r="G960" s="8">
        <f t="shared" si="140"/>
        <v>2106.8166666666666</v>
      </c>
      <c r="H960" s="9">
        <f t="shared" si="141"/>
        <v>3711237617.3666668</v>
      </c>
      <c r="I960" s="9">
        <f t="shared" si="144"/>
        <v>30079456444.199997</v>
      </c>
      <c r="J960" s="9">
        <f t="shared" si="145"/>
        <v>14473888</v>
      </c>
      <c r="K960" s="21">
        <f t="shared" si="146"/>
        <v>2078.1877298069458</v>
      </c>
      <c r="L960" s="4" t="str">
        <f t="shared" si="142"/>
        <v>BUY</v>
      </c>
      <c r="M960" s="4">
        <f t="shared" si="147"/>
        <v>0</v>
      </c>
      <c r="N960" s="4">
        <f t="shared" si="143"/>
        <v>1</v>
      </c>
      <c r="O960" s="4">
        <f t="shared" si="148"/>
        <v>2091.9499999999998</v>
      </c>
      <c r="P960" s="4">
        <f t="shared" si="149"/>
        <v>0</v>
      </c>
    </row>
    <row r="961" spans="1:16" x14ac:dyDescent="0.25">
      <c r="A961" s="1">
        <v>42621</v>
      </c>
      <c r="B961">
        <v>2110</v>
      </c>
      <c r="C961">
        <v>2141.9499999999998</v>
      </c>
      <c r="D961">
        <v>2091.1</v>
      </c>
      <c r="E961" s="7">
        <v>2097.6</v>
      </c>
      <c r="F961">
        <v>673240</v>
      </c>
      <c r="G961" s="8">
        <f t="shared" si="140"/>
        <v>2110.2166666666667</v>
      </c>
      <c r="H961" s="9">
        <f t="shared" si="141"/>
        <v>1420682268.6666667</v>
      </c>
      <c r="I961" s="9">
        <f t="shared" si="144"/>
        <v>25872407970.200001</v>
      </c>
      <c r="J961" s="9">
        <f t="shared" si="145"/>
        <v>12474045</v>
      </c>
      <c r="K961" s="21">
        <f t="shared" si="146"/>
        <v>2074.0992973971156</v>
      </c>
      <c r="L961" s="4" t="str">
        <f t="shared" si="142"/>
        <v>BUY</v>
      </c>
      <c r="M961" s="4">
        <f t="shared" si="147"/>
        <v>0</v>
      </c>
      <c r="N961" s="4">
        <f t="shared" si="143"/>
        <v>1</v>
      </c>
      <c r="O961" s="4">
        <f t="shared" si="148"/>
        <v>2091.9499999999998</v>
      </c>
      <c r="P961" s="4">
        <f t="shared" si="149"/>
        <v>0</v>
      </c>
    </row>
    <row r="962" spans="1:16" x14ac:dyDescent="0.25">
      <c r="A962" s="1">
        <v>42622</v>
      </c>
      <c r="B962">
        <v>2100</v>
      </c>
      <c r="C962">
        <v>2109.4</v>
      </c>
      <c r="D962">
        <v>2095.1999999999998</v>
      </c>
      <c r="E962" s="7">
        <v>2099</v>
      </c>
      <c r="F962">
        <v>65452</v>
      </c>
      <c r="G962" s="8">
        <f t="shared" ref="G962:G1025" si="150">AVERAGE(C962:E962)</f>
        <v>2101.2000000000003</v>
      </c>
      <c r="H962" s="9">
        <f t="shared" si="141"/>
        <v>137527742.40000001</v>
      </c>
      <c r="I962" s="9">
        <f t="shared" si="144"/>
        <v>22171252237.400005</v>
      </c>
      <c r="J962" s="9">
        <f t="shared" si="145"/>
        <v>10696811</v>
      </c>
      <c r="K962" s="21">
        <f t="shared" si="146"/>
        <v>2072.6973896612744</v>
      </c>
      <c r="L962" s="4" t="str">
        <f t="shared" si="142"/>
        <v>BUY</v>
      </c>
      <c r="M962" s="4">
        <f t="shared" si="147"/>
        <v>0</v>
      </c>
      <c r="N962" s="4">
        <f t="shared" si="143"/>
        <v>1</v>
      </c>
      <c r="O962" s="4">
        <f t="shared" si="148"/>
        <v>2091.9499999999998</v>
      </c>
      <c r="P962" s="4">
        <f t="shared" si="149"/>
        <v>0</v>
      </c>
    </row>
    <row r="963" spans="1:16" x14ac:dyDescent="0.25">
      <c r="A963" s="1">
        <v>42625</v>
      </c>
      <c r="B963">
        <v>2100</v>
      </c>
      <c r="C963">
        <v>2105</v>
      </c>
      <c r="D963">
        <v>2031.7</v>
      </c>
      <c r="E963" s="7">
        <v>2042</v>
      </c>
      <c r="F963">
        <v>1130643</v>
      </c>
      <c r="G963" s="8">
        <f t="shared" si="150"/>
        <v>2059.5666666666666</v>
      </c>
      <c r="H963" s="9">
        <f t="shared" ref="H963:H1026" si="151">G963*F963</f>
        <v>2328634634.6999998</v>
      </c>
      <c r="I963" s="9">
        <f t="shared" si="144"/>
        <v>22361953281.450005</v>
      </c>
      <c r="J963" s="9">
        <f t="shared" si="145"/>
        <v>10805147</v>
      </c>
      <c r="K963" s="21">
        <f t="shared" si="146"/>
        <v>2069.5649287742226</v>
      </c>
      <c r="L963" s="4" t="str">
        <f t="shared" si="142"/>
        <v>SELL</v>
      </c>
      <c r="M963" s="4" t="str">
        <f t="shared" si="147"/>
        <v>SELL</v>
      </c>
      <c r="N963" s="4">
        <f t="shared" si="143"/>
        <v>-1</v>
      </c>
      <c r="O963" s="4">
        <f t="shared" si="148"/>
        <v>2042</v>
      </c>
      <c r="P963" s="4">
        <f t="shared" si="149"/>
        <v>-2.3877243719974101E-2</v>
      </c>
    </row>
    <row r="964" spans="1:16" x14ac:dyDescent="0.25">
      <c r="A964" s="1">
        <v>42626</v>
      </c>
      <c r="B964">
        <v>2063</v>
      </c>
      <c r="C964">
        <v>2103.5500000000002</v>
      </c>
      <c r="D964">
        <v>2059.0500000000002</v>
      </c>
      <c r="E964" s="7">
        <v>2091.1</v>
      </c>
      <c r="F964">
        <v>833875</v>
      </c>
      <c r="G964" s="8">
        <f t="shared" si="150"/>
        <v>2084.5666666666671</v>
      </c>
      <c r="H964" s="9">
        <f t="shared" si="151"/>
        <v>1738268029.166667</v>
      </c>
      <c r="I964" s="9">
        <f t="shared" si="144"/>
        <v>21558660175.816669</v>
      </c>
      <c r="J964" s="9">
        <f t="shared" si="145"/>
        <v>10411274</v>
      </c>
      <c r="K964" s="21">
        <f t="shared" si="146"/>
        <v>2070.7033717311319</v>
      </c>
      <c r="L964" s="4" t="str">
        <f t="shared" si="142"/>
        <v>BUY</v>
      </c>
      <c r="M964" s="4" t="str">
        <f t="shared" si="147"/>
        <v>BUY</v>
      </c>
      <c r="N964" s="4">
        <f t="shared" si="143"/>
        <v>1</v>
      </c>
      <c r="O964" s="4">
        <f t="shared" si="148"/>
        <v>2091.1</v>
      </c>
      <c r="P964" s="4">
        <f t="shared" si="149"/>
        <v>-2.4045053868756078E-2</v>
      </c>
    </row>
    <row r="965" spans="1:16" x14ac:dyDescent="0.25">
      <c r="A965" s="1">
        <v>42627</v>
      </c>
      <c r="B965">
        <v>2100</v>
      </c>
      <c r="C965">
        <v>2148.15</v>
      </c>
      <c r="D965">
        <v>2080.3000000000002</v>
      </c>
      <c r="E965" s="7">
        <v>2121.9499999999998</v>
      </c>
      <c r="F965">
        <v>978474</v>
      </c>
      <c r="G965" s="8">
        <f t="shared" si="150"/>
        <v>2116.8000000000002</v>
      </c>
      <c r="H965" s="9">
        <f t="shared" si="151"/>
        <v>2071233763.2000003</v>
      </c>
      <c r="I965" s="9">
        <f t="shared" si="144"/>
        <v>19956120985.983334</v>
      </c>
      <c r="J965" s="9">
        <f t="shared" si="145"/>
        <v>9580869</v>
      </c>
      <c r="K965" s="21">
        <f t="shared" si="146"/>
        <v>2082.9134586834798</v>
      </c>
      <c r="L965" s="4" t="str">
        <f t="shared" si="142"/>
        <v>BUY</v>
      </c>
      <c r="M965" s="4">
        <f t="shared" si="147"/>
        <v>0</v>
      </c>
      <c r="N965" s="4">
        <f t="shared" si="143"/>
        <v>1</v>
      </c>
      <c r="O965" s="4">
        <f t="shared" si="148"/>
        <v>2091.1</v>
      </c>
      <c r="P965" s="4">
        <f t="shared" si="149"/>
        <v>0</v>
      </c>
    </row>
    <row r="966" spans="1:16" x14ac:dyDescent="0.25">
      <c r="A966" s="1">
        <v>42628</v>
      </c>
      <c r="B966">
        <v>2130</v>
      </c>
      <c r="C966">
        <v>2131.75</v>
      </c>
      <c r="D966">
        <v>2071.1999999999998</v>
      </c>
      <c r="E966" s="7">
        <v>2090.85</v>
      </c>
      <c r="F966">
        <v>804673</v>
      </c>
      <c r="G966" s="8">
        <f t="shared" si="150"/>
        <v>2097.9333333333329</v>
      </c>
      <c r="H966" s="9">
        <f t="shared" si="151"/>
        <v>1688150309.133333</v>
      </c>
      <c r="I966" s="9">
        <f t="shared" si="144"/>
        <v>19060108058.533333</v>
      </c>
      <c r="J966" s="9">
        <f t="shared" si="145"/>
        <v>9121841</v>
      </c>
      <c r="K966" s="21">
        <f t="shared" si="146"/>
        <v>2089.5023338527094</v>
      </c>
      <c r="L966" s="4" t="str">
        <f t="shared" si="142"/>
        <v>BUY</v>
      </c>
      <c r="M966" s="4">
        <f t="shared" si="147"/>
        <v>0</v>
      </c>
      <c r="N966" s="4">
        <f t="shared" si="143"/>
        <v>1</v>
      </c>
      <c r="O966" s="4">
        <f t="shared" si="148"/>
        <v>2091.1</v>
      </c>
      <c r="P966" s="4">
        <f t="shared" si="149"/>
        <v>0</v>
      </c>
    </row>
    <row r="967" spans="1:16" x14ac:dyDescent="0.25">
      <c r="A967" s="1">
        <v>42629</v>
      </c>
      <c r="B967">
        <v>2090</v>
      </c>
      <c r="C967">
        <v>2140</v>
      </c>
      <c r="D967">
        <v>2050</v>
      </c>
      <c r="E967" s="7">
        <v>2094.65</v>
      </c>
      <c r="F967">
        <v>980569</v>
      </c>
      <c r="G967" s="8">
        <f t="shared" si="150"/>
        <v>2094.8833333333332</v>
      </c>
      <c r="H967" s="9">
        <f t="shared" si="151"/>
        <v>2054177655.2833333</v>
      </c>
      <c r="I967" s="9">
        <f t="shared" si="144"/>
        <v>19248318174.716667</v>
      </c>
      <c r="J967" s="9">
        <f t="shared" si="145"/>
        <v>9200439</v>
      </c>
      <c r="K967" s="21">
        <f t="shared" si="146"/>
        <v>2092.1086672838837</v>
      </c>
      <c r="L967" s="4" t="str">
        <f t="shared" si="142"/>
        <v>BUY</v>
      </c>
      <c r="M967" s="4">
        <f t="shared" si="147"/>
        <v>0</v>
      </c>
      <c r="N967" s="4">
        <f t="shared" si="143"/>
        <v>1</v>
      </c>
      <c r="O967" s="4">
        <f t="shared" si="148"/>
        <v>2091.1</v>
      </c>
      <c r="P967" s="4">
        <f t="shared" si="149"/>
        <v>0</v>
      </c>
    </row>
    <row r="968" spans="1:16" x14ac:dyDescent="0.25">
      <c r="A968" s="1">
        <v>42632</v>
      </c>
      <c r="B968">
        <v>2096.85</v>
      </c>
      <c r="C968">
        <v>2121.6999999999998</v>
      </c>
      <c r="D968">
        <v>2079</v>
      </c>
      <c r="E968" s="7">
        <v>2087.15</v>
      </c>
      <c r="F968">
        <v>500341</v>
      </c>
      <c r="G968" s="8">
        <f t="shared" si="150"/>
        <v>2095.9500000000003</v>
      </c>
      <c r="H968" s="9">
        <f t="shared" si="151"/>
        <v>1048689718.9500002</v>
      </c>
      <c r="I968" s="9">
        <f t="shared" si="144"/>
        <v>18405895732.666672</v>
      </c>
      <c r="J968" s="9">
        <f t="shared" si="145"/>
        <v>8786242</v>
      </c>
      <c r="K968" s="21">
        <f t="shared" si="146"/>
        <v>2094.8541745909879</v>
      </c>
      <c r="L968" s="4" t="str">
        <f t="shared" si="142"/>
        <v>SELL</v>
      </c>
      <c r="M968" s="4" t="str">
        <f t="shared" si="147"/>
        <v>SELL</v>
      </c>
      <c r="N968" s="4">
        <f t="shared" si="143"/>
        <v>-1</v>
      </c>
      <c r="O968" s="4">
        <f t="shared" si="148"/>
        <v>2087.15</v>
      </c>
      <c r="P968" s="4">
        <f t="shared" si="149"/>
        <v>-1.8889579647074833E-3</v>
      </c>
    </row>
    <row r="969" spans="1:16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 s="7">
        <v>2049</v>
      </c>
      <c r="F969">
        <v>604169</v>
      </c>
      <c r="G969" s="8">
        <f t="shared" si="150"/>
        <v>2066.2833333333333</v>
      </c>
      <c r="H969" s="9">
        <f t="shared" si="151"/>
        <v>1248384335.2166667</v>
      </c>
      <c r="I969" s="9">
        <f t="shared" si="144"/>
        <v>17446986074.083332</v>
      </c>
      <c r="J969" s="9">
        <f t="shared" si="145"/>
        <v>8332974</v>
      </c>
      <c r="K969" s="21">
        <f t="shared" si="146"/>
        <v>2093.7286104676832</v>
      </c>
      <c r="L969" s="4" t="str">
        <f t="shared" si="142"/>
        <v>SELL</v>
      </c>
      <c r="M969" s="4">
        <f t="shared" si="147"/>
        <v>0</v>
      </c>
      <c r="N969" s="4">
        <f t="shared" si="143"/>
        <v>-1</v>
      </c>
      <c r="O969" s="4">
        <f t="shared" si="148"/>
        <v>2087.15</v>
      </c>
      <c r="P969" s="4">
        <f t="shared" si="149"/>
        <v>0</v>
      </c>
    </row>
    <row r="970" spans="1:16" x14ac:dyDescent="0.25">
      <c r="A970" s="1">
        <v>42634</v>
      </c>
      <c r="B970">
        <v>2072</v>
      </c>
      <c r="C970">
        <v>2072</v>
      </c>
      <c r="D970">
        <v>2021.85</v>
      </c>
      <c r="E970" s="7">
        <v>2026.2</v>
      </c>
      <c r="F970">
        <v>1064852</v>
      </c>
      <c r="G970" s="8">
        <f t="shared" si="150"/>
        <v>2040.0166666666667</v>
      </c>
      <c r="H970" s="9">
        <f t="shared" si="151"/>
        <v>2172315827.5333333</v>
      </c>
      <c r="I970" s="9">
        <f t="shared" si="144"/>
        <v>15908064284.25</v>
      </c>
      <c r="J970" s="9">
        <f t="shared" si="145"/>
        <v>7636288</v>
      </c>
      <c r="K970" s="21">
        <f t="shared" si="146"/>
        <v>2083.2195281594932</v>
      </c>
      <c r="L970" s="4" t="str">
        <f t="shared" si="142"/>
        <v>SELL</v>
      </c>
      <c r="M970" s="4">
        <f t="shared" si="147"/>
        <v>0</v>
      </c>
      <c r="N970" s="4">
        <f t="shared" si="143"/>
        <v>-1</v>
      </c>
      <c r="O970" s="4">
        <f t="shared" si="148"/>
        <v>2087.15</v>
      </c>
      <c r="P970" s="4">
        <f t="shared" si="149"/>
        <v>0</v>
      </c>
    </row>
    <row r="971" spans="1:16" x14ac:dyDescent="0.25">
      <c r="A971" s="1">
        <v>42635</v>
      </c>
      <c r="B971">
        <v>2046</v>
      </c>
      <c r="C971">
        <v>2059.9</v>
      </c>
      <c r="D971">
        <v>2032.25</v>
      </c>
      <c r="E971" s="7">
        <v>2044</v>
      </c>
      <c r="F971">
        <v>1415801</v>
      </c>
      <c r="G971" s="8">
        <f t="shared" si="150"/>
        <v>2045.3833333333332</v>
      </c>
      <c r="H971" s="9">
        <f t="shared" si="151"/>
        <v>2895855768.7166667</v>
      </c>
      <c r="I971" s="9">
        <f t="shared" si="144"/>
        <v>17383237784.299999</v>
      </c>
      <c r="J971" s="9">
        <f t="shared" si="145"/>
        <v>8378849</v>
      </c>
      <c r="K971" s="21">
        <f t="shared" si="146"/>
        <v>2074.6570065053088</v>
      </c>
      <c r="L971" s="4" t="str">
        <f t="shared" ref="L971:L1034" si="152">IF(E971&gt;K971,"BUY",IF(E971&lt;K971,"SELL",0))</f>
        <v>SELL</v>
      </c>
      <c r="M971" s="4">
        <f t="shared" si="147"/>
        <v>0</v>
      </c>
      <c r="N971" s="4">
        <f t="shared" ref="N971:N1034" si="153">IF(M971="BUY",1,IF(M971="SELL",-1,N970))</f>
        <v>-1</v>
      </c>
      <c r="O971" s="4">
        <f t="shared" si="148"/>
        <v>2087.15</v>
      </c>
      <c r="P971" s="4">
        <f t="shared" si="149"/>
        <v>0</v>
      </c>
    </row>
    <row r="972" spans="1:16" x14ac:dyDescent="0.25">
      <c r="A972" s="1">
        <v>42636</v>
      </c>
      <c r="B972">
        <v>2049.9499999999998</v>
      </c>
      <c r="C972">
        <v>2055</v>
      </c>
      <c r="D972">
        <v>2021.2</v>
      </c>
      <c r="E972" s="7">
        <v>2029.9</v>
      </c>
      <c r="F972">
        <v>1038932</v>
      </c>
      <c r="G972" s="8">
        <f t="shared" si="150"/>
        <v>2035.3666666666668</v>
      </c>
      <c r="H972" s="9">
        <f t="shared" si="151"/>
        <v>2114607561.7333333</v>
      </c>
      <c r="I972" s="9">
        <f t="shared" ref="I972:I1035" si="154">SUM(H963:H972)</f>
        <v>19360317603.633335</v>
      </c>
      <c r="J972" s="9">
        <f t="shared" ref="J972:J1035" si="155">SUM(F963:F972)</f>
        <v>9352329</v>
      </c>
      <c r="K972" s="21">
        <f t="shared" ref="K972:K1035" si="156">I972/J972</f>
        <v>2070.1065588724837</v>
      </c>
      <c r="L972" s="4" t="str">
        <f t="shared" si="152"/>
        <v>SELL</v>
      </c>
      <c r="M972" s="4">
        <f t="shared" ref="M972:M1035" si="157">IF(L972&lt;&gt;L971,L972,0)</f>
        <v>0</v>
      </c>
      <c r="N972" s="4">
        <f t="shared" si="153"/>
        <v>-1</v>
      </c>
      <c r="O972" s="4">
        <f t="shared" ref="O972:O1035" si="158">IF(M972&lt;&gt;0,E972,O971)</f>
        <v>2087.15</v>
      </c>
      <c r="P972" s="4">
        <f t="shared" ref="P972:P1035" si="159">IF(M972="BUY",(O971-O972)/O971,IF(M972="SELL",(O972-O971)/O971,0))</f>
        <v>0</v>
      </c>
    </row>
    <row r="973" spans="1:16" x14ac:dyDescent="0.25">
      <c r="A973" s="1">
        <v>42639</v>
      </c>
      <c r="B973">
        <v>2046.85</v>
      </c>
      <c r="C973">
        <v>2049.9</v>
      </c>
      <c r="D973">
        <v>2017</v>
      </c>
      <c r="E973" s="7">
        <v>2023.6</v>
      </c>
      <c r="F973">
        <v>829348</v>
      </c>
      <c r="G973" s="8">
        <f t="shared" si="150"/>
        <v>2030.1666666666667</v>
      </c>
      <c r="H973" s="9">
        <f t="shared" si="151"/>
        <v>1683714664.6666667</v>
      </c>
      <c r="I973" s="9">
        <f t="shared" si="154"/>
        <v>18715397633.600002</v>
      </c>
      <c r="J973" s="9">
        <f t="shared" si="155"/>
        <v>9051034</v>
      </c>
      <c r="K973" s="21">
        <f t="shared" si="156"/>
        <v>2067.7634879727557</v>
      </c>
      <c r="L973" s="4" t="str">
        <f t="shared" si="152"/>
        <v>SELL</v>
      </c>
      <c r="M973" s="4">
        <f t="shared" si="157"/>
        <v>0</v>
      </c>
      <c r="N973" s="4">
        <f t="shared" si="153"/>
        <v>-1</v>
      </c>
      <c r="O973" s="4">
        <f t="shared" si="158"/>
        <v>2087.15</v>
      </c>
      <c r="P973" s="4">
        <f t="shared" si="159"/>
        <v>0</v>
      </c>
    </row>
    <row r="974" spans="1:16" x14ac:dyDescent="0.25">
      <c r="A974" s="1">
        <v>42640</v>
      </c>
      <c r="B974">
        <v>2023.2</v>
      </c>
      <c r="C974">
        <v>2034.7</v>
      </c>
      <c r="D974">
        <v>1980</v>
      </c>
      <c r="E974" s="7">
        <v>1986.6</v>
      </c>
      <c r="F974">
        <v>1151441</v>
      </c>
      <c r="G974" s="8">
        <f t="shared" si="150"/>
        <v>2000.4333333333332</v>
      </c>
      <c r="H974" s="9">
        <f t="shared" si="151"/>
        <v>2303380957.7666664</v>
      </c>
      <c r="I974" s="9">
        <f t="shared" si="154"/>
        <v>19280510562.199997</v>
      </c>
      <c r="J974" s="9">
        <f t="shared" si="155"/>
        <v>9368600</v>
      </c>
      <c r="K974" s="21">
        <f t="shared" si="156"/>
        <v>2057.9927163290135</v>
      </c>
      <c r="L974" s="4" t="str">
        <f t="shared" si="152"/>
        <v>SELL</v>
      </c>
      <c r="M974" s="4">
        <f t="shared" si="157"/>
        <v>0</v>
      </c>
      <c r="N974" s="4">
        <f t="shared" si="153"/>
        <v>-1</v>
      </c>
      <c r="O974" s="4">
        <f t="shared" si="158"/>
        <v>2087.15</v>
      </c>
      <c r="P974" s="4">
        <f t="shared" si="159"/>
        <v>0</v>
      </c>
    </row>
    <row r="975" spans="1:16" x14ac:dyDescent="0.25">
      <c r="A975" s="1">
        <v>42641</v>
      </c>
      <c r="B975">
        <v>1991</v>
      </c>
      <c r="C975">
        <v>2011</v>
      </c>
      <c r="D975">
        <v>1985.1</v>
      </c>
      <c r="E975" s="7">
        <v>2000.85</v>
      </c>
      <c r="F975">
        <v>747247</v>
      </c>
      <c r="G975" s="8">
        <f t="shared" si="150"/>
        <v>1998.9833333333333</v>
      </c>
      <c r="H975" s="9">
        <f t="shared" si="151"/>
        <v>1493734298.8833334</v>
      </c>
      <c r="I975" s="9">
        <f t="shared" si="154"/>
        <v>18703011097.883335</v>
      </c>
      <c r="J975" s="9">
        <f t="shared" si="155"/>
        <v>9137373</v>
      </c>
      <c r="K975" s="21">
        <f t="shared" si="156"/>
        <v>2046.86960879055</v>
      </c>
      <c r="L975" s="4" t="str">
        <f t="shared" si="152"/>
        <v>SELL</v>
      </c>
      <c r="M975" s="4">
        <f t="shared" si="157"/>
        <v>0</v>
      </c>
      <c r="N975" s="4">
        <f t="shared" si="153"/>
        <v>-1</v>
      </c>
      <c r="O975" s="4">
        <f t="shared" si="158"/>
        <v>2087.15</v>
      </c>
      <c r="P975" s="4">
        <f t="shared" si="159"/>
        <v>0</v>
      </c>
    </row>
    <row r="976" spans="1:16" x14ac:dyDescent="0.25">
      <c r="A976" s="1">
        <v>42642</v>
      </c>
      <c r="B976">
        <v>2008</v>
      </c>
      <c r="C976">
        <v>2026.85</v>
      </c>
      <c r="D976">
        <v>1993.1</v>
      </c>
      <c r="E976" s="7">
        <v>2013.25</v>
      </c>
      <c r="F976">
        <v>975499</v>
      </c>
      <c r="G976" s="8">
        <f t="shared" si="150"/>
        <v>2011.0666666666666</v>
      </c>
      <c r="H976" s="9">
        <f t="shared" si="151"/>
        <v>1961793522.2666667</v>
      </c>
      <c r="I976" s="9">
        <f t="shared" si="154"/>
        <v>18976654311.016666</v>
      </c>
      <c r="J976" s="9">
        <f t="shared" si="155"/>
        <v>9308199</v>
      </c>
      <c r="K976" s="21">
        <f t="shared" si="156"/>
        <v>2038.7031165767585</v>
      </c>
      <c r="L976" s="4" t="str">
        <f t="shared" si="152"/>
        <v>SELL</v>
      </c>
      <c r="M976" s="4">
        <f t="shared" si="157"/>
        <v>0</v>
      </c>
      <c r="N976" s="4">
        <f t="shared" si="153"/>
        <v>-1</v>
      </c>
      <c r="O976" s="4">
        <f t="shared" si="158"/>
        <v>2087.15</v>
      </c>
      <c r="P976" s="4">
        <f t="shared" si="159"/>
        <v>0</v>
      </c>
    </row>
    <row r="977" spans="1:16" x14ac:dyDescent="0.25">
      <c r="A977" s="1">
        <v>42643</v>
      </c>
      <c r="B977">
        <v>2003.1</v>
      </c>
      <c r="C977">
        <v>2016.45</v>
      </c>
      <c r="D977">
        <v>1987</v>
      </c>
      <c r="E977" s="7">
        <v>1993.7</v>
      </c>
      <c r="F977">
        <v>1023706</v>
      </c>
      <c r="G977" s="8">
        <f t="shared" si="150"/>
        <v>1999.05</v>
      </c>
      <c r="H977" s="9">
        <f t="shared" si="151"/>
        <v>2046439479.3</v>
      </c>
      <c r="I977" s="9">
        <f t="shared" si="154"/>
        <v>18968916135.033333</v>
      </c>
      <c r="J977" s="9">
        <f t="shared" si="155"/>
        <v>9351336</v>
      </c>
      <c r="K977" s="21">
        <f t="shared" si="156"/>
        <v>2028.4712403696469</v>
      </c>
      <c r="L977" s="4" t="str">
        <f t="shared" si="152"/>
        <v>SELL</v>
      </c>
      <c r="M977" s="4">
        <f t="shared" si="157"/>
        <v>0</v>
      </c>
      <c r="N977" s="4">
        <f t="shared" si="153"/>
        <v>-1</v>
      </c>
      <c r="O977" s="4">
        <f t="shared" si="158"/>
        <v>2087.15</v>
      </c>
      <c r="P977" s="4">
        <f t="shared" si="159"/>
        <v>0</v>
      </c>
    </row>
    <row r="978" spans="1:16" x14ac:dyDescent="0.25">
      <c r="A978" s="1">
        <v>42646</v>
      </c>
      <c r="B978">
        <v>2009</v>
      </c>
      <c r="C978">
        <v>2013.7</v>
      </c>
      <c r="D978">
        <v>1975</v>
      </c>
      <c r="E978" s="7">
        <v>1986.45</v>
      </c>
      <c r="F978">
        <v>1060489</v>
      </c>
      <c r="G978" s="8">
        <f t="shared" si="150"/>
        <v>1991.7166666666665</v>
      </c>
      <c r="H978" s="9">
        <f t="shared" si="151"/>
        <v>2112193616.1166666</v>
      </c>
      <c r="I978" s="9">
        <f t="shared" si="154"/>
        <v>20032420032.199997</v>
      </c>
      <c r="J978" s="9">
        <f t="shared" si="155"/>
        <v>9911484</v>
      </c>
      <c r="K978" s="21">
        <f t="shared" si="156"/>
        <v>2021.1322575105803</v>
      </c>
      <c r="L978" s="4" t="str">
        <f t="shared" si="152"/>
        <v>SELL</v>
      </c>
      <c r="M978" s="4">
        <f t="shared" si="157"/>
        <v>0</v>
      </c>
      <c r="N978" s="4">
        <f t="shared" si="153"/>
        <v>-1</v>
      </c>
      <c r="O978" s="4">
        <f t="shared" si="158"/>
        <v>2087.15</v>
      </c>
      <c r="P978" s="4">
        <f t="shared" si="159"/>
        <v>0</v>
      </c>
    </row>
    <row r="979" spans="1:16" x14ac:dyDescent="0.25">
      <c r="A979" s="1">
        <v>42647</v>
      </c>
      <c r="B979">
        <v>1993.1</v>
      </c>
      <c r="C979">
        <v>1996.55</v>
      </c>
      <c r="D979">
        <v>1970</v>
      </c>
      <c r="E979" s="7">
        <v>1984.6</v>
      </c>
      <c r="F979">
        <v>1402861</v>
      </c>
      <c r="G979" s="8">
        <f t="shared" si="150"/>
        <v>1983.7166666666665</v>
      </c>
      <c r="H979" s="9">
        <f t="shared" si="151"/>
        <v>2782878746.7166662</v>
      </c>
      <c r="I979" s="9">
        <f t="shared" si="154"/>
        <v>21566914443.699997</v>
      </c>
      <c r="J979" s="9">
        <f t="shared" si="155"/>
        <v>10710176</v>
      </c>
      <c r="K979" s="21">
        <f t="shared" si="156"/>
        <v>2013.6844103869066</v>
      </c>
      <c r="L979" s="4" t="str">
        <f t="shared" si="152"/>
        <v>SELL</v>
      </c>
      <c r="M979" s="4">
        <f t="shared" si="157"/>
        <v>0</v>
      </c>
      <c r="N979" s="4">
        <f t="shared" si="153"/>
        <v>-1</v>
      </c>
      <c r="O979" s="4">
        <f t="shared" si="158"/>
        <v>2087.15</v>
      </c>
      <c r="P979" s="4">
        <f t="shared" si="159"/>
        <v>0</v>
      </c>
    </row>
    <row r="980" spans="1:16" x14ac:dyDescent="0.25">
      <c r="A980" s="1">
        <v>42648</v>
      </c>
      <c r="B980">
        <v>1992</v>
      </c>
      <c r="C980">
        <v>2014.7</v>
      </c>
      <c r="D980">
        <v>1981.8</v>
      </c>
      <c r="E980" s="7">
        <v>2004.35</v>
      </c>
      <c r="F980">
        <v>962406</v>
      </c>
      <c r="G980" s="8">
        <f t="shared" si="150"/>
        <v>2000.2833333333335</v>
      </c>
      <c r="H980" s="9">
        <f t="shared" si="151"/>
        <v>1925084681.7000003</v>
      </c>
      <c r="I980" s="9">
        <f t="shared" si="154"/>
        <v>21319683297.866665</v>
      </c>
      <c r="J980" s="9">
        <f t="shared" si="155"/>
        <v>10607730</v>
      </c>
      <c r="K980" s="21">
        <f t="shared" si="156"/>
        <v>2009.8252215946923</v>
      </c>
      <c r="L980" s="4" t="str">
        <f t="shared" si="152"/>
        <v>SELL</v>
      </c>
      <c r="M980" s="4">
        <f t="shared" si="157"/>
        <v>0</v>
      </c>
      <c r="N980" s="4">
        <f t="shared" si="153"/>
        <v>-1</v>
      </c>
      <c r="O980" s="4">
        <f t="shared" si="158"/>
        <v>2087.15</v>
      </c>
      <c r="P980" s="4">
        <f t="shared" si="159"/>
        <v>0</v>
      </c>
    </row>
    <row r="981" spans="1:16" x14ac:dyDescent="0.25">
      <c r="A981" s="1">
        <v>42649</v>
      </c>
      <c r="B981">
        <v>1995</v>
      </c>
      <c r="C981">
        <v>2021</v>
      </c>
      <c r="D981">
        <v>1995</v>
      </c>
      <c r="E981" s="7">
        <v>2013.9</v>
      </c>
      <c r="F981">
        <v>626630</v>
      </c>
      <c r="G981" s="8">
        <f t="shared" si="150"/>
        <v>2009.9666666666665</v>
      </c>
      <c r="H981" s="9">
        <f t="shared" si="151"/>
        <v>1259505412.3333333</v>
      </c>
      <c r="I981" s="9">
        <f t="shared" si="154"/>
        <v>19683332941.48333</v>
      </c>
      <c r="J981" s="9">
        <f t="shared" si="155"/>
        <v>9818559</v>
      </c>
      <c r="K981" s="21">
        <f t="shared" si="156"/>
        <v>2004.7068965500264</v>
      </c>
      <c r="L981" s="4" t="str">
        <f t="shared" si="152"/>
        <v>BUY</v>
      </c>
      <c r="M981" s="4" t="str">
        <f t="shared" si="157"/>
        <v>BUY</v>
      </c>
      <c r="N981" s="4">
        <f t="shared" si="153"/>
        <v>1</v>
      </c>
      <c r="O981" s="4">
        <f t="shared" si="158"/>
        <v>2013.9</v>
      </c>
      <c r="P981" s="4">
        <f t="shared" si="159"/>
        <v>3.5095704669046303E-2</v>
      </c>
    </row>
    <row r="982" spans="1:16" x14ac:dyDescent="0.25">
      <c r="A982" s="1">
        <v>42650</v>
      </c>
      <c r="B982">
        <v>2016.05</v>
      </c>
      <c r="C982">
        <v>2042</v>
      </c>
      <c r="D982">
        <v>2015.05</v>
      </c>
      <c r="E982" s="7">
        <v>2020.8</v>
      </c>
      <c r="F982">
        <v>724592</v>
      </c>
      <c r="G982" s="8">
        <f t="shared" si="150"/>
        <v>2025.95</v>
      </c>
      <c r="H982" s="9">
        <f t="shared" si="151"/>
        <v>1467987162.4000001</v>
      </c>
      <c r="I982" s="9">
        <f t="shared" si="154"/>
        <v>19036712542.150002</v>
      </c>
      <c r="J982" s="9">
        <f t="shared" si="155"/>
        <v>9504219</v>
      </c>
      <c r="K982" s="21">
        <f t="shared" si="156"/>
        <v>2002.9749464053807</v>
      </c>
      <c r="L982" s="4" t="str">
        <f t="shared" si="152"/>
        <v>BUY</v>
      </c>
      <c r="M982" s="4">
        <f t="shared" si="157"/>
        <v>0</v>
      </c>
      <c r="N982" s="4">
        <f t="shared" si="153"/>
        <v>1</v>
      </c>
      <c r="O982" s="4">
        <f t="shared" si="158"/>
        <v>2013.9</v>
      </c>
      <c r="P982" s="4">
        <f t="shared" si="159"/>
        <v>0</v>
      </c>
    </row>
    <row r="983" spans="1:16" x14ac:dyDescent="0.25">
      <c r="A983" s="1">
        <v>42653</v>
      </c>
      <c r="B983">
        <v>2019.9</v>
      </c>
      <c r="C983">
        <v>2031.6</v>
      </c>
      <c r="D983">
        <v>1993.65</v>
      </c>
      <c r="E983" s="7">
        <v>2000.05</v>
      </c>
      <c r="F983">
        <v>759518</v>
      </c>
      <c r="G983" s="8">
        <f t="shared" si="150"/>
        <v>2008.4333333333334</v>
      </c>
      <c r="H983" s="9">
        <f t="shared" si="151"/>
        <v>1525441268.4666667</v>
      </c>
      <c r="I983" s="9">
        <f t="shared" si="154"/>
        <v>18878439145.950001</v>
      </c>
      <c r="J983" s="9">
        <f t="shared" si="155"/>
        <v>9434389</v>
      </c>
      <c r="K983" s="21">
        <f t="shared" si="156"/>
        <v>2001.0240351494942</v>
      </c>
      <c r="L983" s="4" t="str">
        <f t="shared" si="152"/>
        <v>SELL</v>
      </c>
      <c r="M983" s="4" t="str">
        <f t="shared" si="157"/>
        <v>SELL</v>
      </c>
      <c r="N983" s="4">
        <f t="shared" si="153"/>
        <v>-1</v>
      </c>
      <c r="O983" s="4">
        <f t="shared" si="158"/>
        <v>2000.05</v>
      </c>
      <c r="P983" s="4">
        <f t="shared" si="159"/>
        <v>-6.8772034361190403E-3</v>
      </c>
    </row>
    <row r="984" spans="1:16" x14ac:dyDescent="0.25">
      <c r="A984" s="1">
        <v>42654</v>
      </c>
      <c r="B984">
        <v>2016</v>
      </c>
      <c r="C984">
        <v>2033.55</v>
      </c>
      <c r="D984">
        <v>1983.05</v>
      </c>
      <c r="E984" s="7">
        <v>1987.15</v>
      </c>
      <c r="F984">
        <v>698595</v>
      </c>
      <c r="G984" s="8">
        <f t="shared" si="150"/>
        <v>2001.25</v>
      </c>
      <c r="H984" s="9">
        <f t="shared" si="151"/>
        <v>1398063243.75</v>
      </c>
      <c r="I984" s="9">
        <f t="shared" si="154"/>
        <v>17973121431.933334</v>
      </c>
      <c r="J984" s="9">
        <f t="shared" si="155"/>
        <v>8981543</v>
      </c>
      <c r="K984" s="21">
        <f t="shared" si="156"/>
        <v>2001.1173394074196</v>
      </c>
      <c r="L984" s="4" t="str">
        <f t="shared" si="152"/>
        <v>SELL</v>
      </c>
      <c r="M984" s="4">
        <f t="shared" si="157"/>
        <v>0</v>
      </c>
      <c r="N984" s="4">
        <f t="shared" si="153"/>
        <v>-1</v>
      </c>
      <c r="O984" s="4">
        <f t="shared" si="158"/>
        <v>2000.05</v>
      </c>
      <c r="P984" s="4">
        <f t="shared" si="159"/>
        <v>0</v>
      </c>
    </row>
    <row r="985" spans="1:16" x14ac:dyDescent="0.25">
      <c r="A985" s="1">
        <v>42655</v>
      </c>
      <c r="B985">
        <v>1991</v>
      </c>
      <c r="C985">
        <v>2010</v>
      </c>
      <c r="D985">
        <v>1991</v>
      </c>
      <c r="E985" s="7">
        <v>2000.3</v>
      </c>
      <c r="F985">
        <v>723481</v>
      </c>
      <c r="G985" s="8">
        <f t="shared" si="150"/>
        <v>2000.4333333333334</v>
      </c>
      <c r="H985" s="9">
        <f t="shared" si="151"/>
        <v>1447275508.4333334</v>
      </c>
      <c r="I985" s="9">
        <f t="shared" si="154"/>
        <v>17926662641.483334</v>
      </c>
      <c r="J985" s="9">
        <f t="shared" si="155"/>
        <v>8957777</v>
      </c>
      <c r="K985" s="21">
        <f t="shared" si="156"/>
        <v>2001.2401114119423</v>
      </c>
      <c r="L985" s="4" t="str">
        <f t="shared" si="152"/>
        <v>SELL</v>
      </c>
      <c r="M985" s="4">
        <f t="shared" si="157"/>
        <v>0</v>
      </c>
      <c r="N985" s="4">
        <f t="shared" si="153"/>
        <v>-1</v>
      </c>
      <c r="O985" s="4">
        <f t="shared" si="158"/>
        <v>2000.05</v>
      </c>
      <c r="P985" s="4">
        <f t="shared" si="159"/>
        <v>0</v>
      </c>
    </row>
    <row r="986" spans="1:16" x14ac:dyDescent="0.25">
      <c r="A986" s="1">
        <v>42656</v>
      </c>
      <c r="B986">
        <v>2029</v>
      </c>
      <c r="C986">
        <v>2029.95</v>
      </c>
      <c r="D986">
        <v>2000</v>
      </c>
      <c r="E986" s="7">
        <v>2004.85</v>
      </c>
      <c r="F986">
        <v>913170</v>
      </c>
      <c r="G986" s="8">
        <f t="shared" si="150"/>
        <v>2011.5999999999997</v>
      </c>
      <c r="H986" s="9">
        <f t="shared" si="151"/>
        <v>1836932771.9999998</v>
      </c>
      <c r="I986" s="9">
        <f t="shared" si="154"/>
        <v>17801801891.216667</v>
      </c>
      <c r="J986" s="9">
        <f t="shared" si="155"/>
        <v>8895448</v>
      </c>
      <c r="K986" s="21">
        <f t="shared" si="156"/>
        <v>2001.226008090505</v>
      </c>
      <c r="L986" s="4" t="str">
        <f t="shared" si="152"/>
        <v>BUY</v>
      </c>
      <c r="M986" s="4" t="str">
        <f t="shared" si="157"/>
        <v>BUY</v>
      </c>
      <c r="N986" s="4">
        <f t="shared" si="153"/>
        <v>1</v>
      </c>
      <c r="O986" s="4">
        <f t="shared" si="158"/>
        <v>2004.85</v>
      </c>
      <c r="P986" s="4">
        <f t="shared" si="159"/>
        <v>-2.3999400014999396E-3</v>
      </c>
    </row>
    <row r="987" spans="1:16" x14ac:dyDescent="0.25">
      <c r="A987" s="1">
        <v>42657</v>
      </c>
      <c r="B987">
        <v>2000</v>
      </c>
      <c r="C987">
        <v>2089</v>
      </c>
      <c r="D987">
        <v>2000</v>
      </c>
      <c r="E987" s="7">
        <v>2082.75</v>
      </c>
      <c r="F987">
        <v>1826667</v>
      </c>
      <c r="G987" s="8">
        <f t="shared" si="150"/>
        <v>2057.25</v>
      </c>
      <c r="H987" s="9">
        <f t="shared" si="151"/>
        <v>3757910685.75</v>
      </c>
      <c r="I987" s="9">
        <f t="shared" si="154"/>
        <v>19513273097.666668</v>
      </c>
      <c r="J987" s="9">
        <f t="shared" si="155"/>
        <v>9698409</v>
      </c>
      <c r="K987" s="21">
        <f t="shared" si="156"/>
        <v>2012.0076496739484</v>
      </c>
      <c r="L987" s="4" t="str">
        <f t="shared" si="152"/>
        <v>BUY</v>
      </c>
      <c r="M987" s="4">
        <f t="shared" si="157"/>
        <v>0</v>
      </c>
      <c r="N987" s="4">
        <f t="shared" si="153"/>
        <v>1</v>
      </c>
      <c r="O987" s="4">
        <f t="shared" si="158"/>
        <v>2004.85</v>
      </c>
      <c r="P987" s="4">
        <f t="shared" si="159"/>
        <v>0</v>
      </c>
    </row>
    <row r="988" spans="1:16" x14ac:dyDescent="0.25">
      <c r="A988" s="1">
        <v>42660</v>
      </c>
      <c r="B988">
        <v>2079</v>
      </c>
      <c r="C988">
        <v>2086.85</v>
      </c>
      <c r="D988">
        <v>2043</v>
      </c>
      <c r="E988" s="7">
        <v>2058.0500000000002</v>
      </c>
      <c r="F988">
        <v>778031</v>
      </c>
      <c r="G988" s="8">
        <f t="shared" si="150"/>
        <v>2062.6333333333337</v>
      </c>
      <c r="H988" s="9">
        <f t="shared" si="151"/>
        <v>1604792674.9666669</v>
      </c>
      <c r="I988" s="9">
        <f t="shared" si="154"/>
        <v>19005872156.516666</v>
      </c>
      <c r="J988" s="9">
        <f t="shared" si="155"/>
        <v>9415951</v>
      </c>
      <c r="K988" s="21">
        <f t="shared" si="156"/>
        <v>2018.476111071167</v>
      </c>
      <c r="L988" s="4" t="str">
        <f t="shared" si="152"/>
        <v>BUY</v>
      </c>
      <c r="M988" s="4">
        <f t="shared" si="157"/>
        <v>0</v>
      </c>
      <c r="N988" s="4">
        <f t="shared" si="153"/>
        <v>1</v>
      </c>
      <c r="O988" s="4">
        <f t="shared" si="158"/>
        <v>2004.85</v>
      </c>
      <c r="P988" s="4">
        <f t="shared" si="159"/>
        <v>0</v>
      </c>
    </row>
    <row r="989" spans="1:16" x14ac:dyDescent="0.25">
      <c r="A989" s="1">
        <v>42661</v>
      </c>
      <c r="B989">
        <v>2045</v>
      </c>
      <c r="C989">
        <v>2064</v>
      </c>
      <c r="D989">
        <v>2025.1</v>
      </c>
      <c r="E989" s="7">
        <v>2028.9</v>
      </c>
      <c r="F989">
        <v>827982</v>
      </c>
      <c r="G989" s="8">
        <f t="shared" si="150"/>
        <v>2039.3333333333333</v>
      </c>
      <c r="H989" s="9">
        <f t="shared" si="151"/>
        <v>1688531292</v>
      </c>
      <c r="I989" s="9">
        <f t="shared" si="154"/>
        <v>17911524701.800003</v>
      </c>
      <c r="J989" s="9">
        <f t="shared" si="155"/>
        <v>8841072</v>
      </c>
      <c r="K989" s="21">
        <f t="shared" si="156"/>
        <v>2025.9448969310513</v>
      </c>
      <c r="L989" s="4" t="str">
        <f t="shared" si="152"/>
        <v>BUY</v>
      </c>
      <c r="M989" s="4">
        <f t="shared" si="157"/>
        <v>0</v>
      </c>
      <c r="N989" s="4">
        <f t="shared" si="153"/>
        <v>1</v>
      </c>
      <c r="O989" s="4">
        <f t="shared" si="158"/>
        <v>2004.85</v>
      </c>
      <c r="P989" s="4">
        <f t="shared" si="159"/>
        <v>0</v>
      </c>
    </row>
    <row r="990" spans="1:16" x14ac:dyDescent="0.25">
      <c r="A990" s="1">
        <v>42662</v>
      </c>
      <c r="B990">
        <v>2037.95</v>
      </c>
      <c r="C990">
        <v>2045</v>
      </c>
      <c r="D990">
        <v>1995</v>
      </c>
      <c r="E990" s="7">
        <v>2001.8</v>
      </c>
      <c r="F990">
        <v>1731675</v>
      </c>
      <c r="G990" s="8">
        <f t="shared" si="150"/>
        <v>2013.9333333333334</v>
      </c>
      <c r="H990" s="9">
        <f t="shared" si="151"/>
        <v>3487478005</v>
      </c>
      <c r="I990" s="9">
        <f t="shared" si="154"/>
        <v>19473918025.099998</v>
      </c>
      <c r="J990" s="9">
        <f t="shared" si="155"/>
        <v>9610341</v>
      </c>
      <c r="K990" s="21">
        <f t="shared" si="156"/>
        <v>2026.3503683272006</v>
      </c>
      <c r="L990" s="4" t="str">
        <f t="shared" si="152"/>
        <v>SELL</v>
      </c>
      <c r="M990" s="4" t="str">
        <f t="shared" si="157"/>
        <v>SELL</v>
      </c>
      <c r="N990" s="4">
        <f t="shared" si="153"/>
        <v>-1</v>
      </c>
      <c r="O990" s="4">
        <f t="shared" si="158"/>
        <v>2001.8</v>
      </c>
      <c r="P990" s="4">
        <f t="shared" si="159"/>
        <v>-1.5213108212584257E-3</v>
      </c>
    </row>
    <row r="991" spans="1:16" x14ac:dyDescent="0.25">
      <c r="A991" s="1">
        <v>42663</v>
      </c>
      <c r="B991">
        <v>2013.7</v>
      </c>
      <c r="C991">
        <v>2039.8</v>
      </c>
      <c r="D991">
        <v>2005.15</v>
      </c>
      <c r="E991" s="7">
        <v>2019.15</v>
      </c>
      <c r="F991">
        <v>1429250</v>
      </c>
      <c r="G991" s="8">
        <f t="shared" si="150"/>
        <v>2021.3666666666668</v>
      </c>
      <c r="H991" s="9">
        <f t="shared" si="151"/>
        <v>2889038308.3333335</v>
      </c>
      <c r="I991" s="9">
        <f t="shared" si="154"/>
        <v>21103450921.099998</v>
      </c>
      <c r="J991" s="9">
        <f t="shared" si="155"/>
        <v>10412961</v>
      </c>
      <c r="K991" s="21">
        <f t="shared" si="156"/>
        <v>2026.6522578064009</v>
      </c>
      <c r="L991" s="4" t="str">
        <f t="shared" si="152"/>
        <v>SELL</v>
      </c>
      <c r="M991" s="4">
        <f t="shared" si="157"/>
        <v>0</v>
      </c>
      <c r="N991" s="4">
        <f t="shared" si="153"/>
        <v>-1</v>
      </c>
      <c r="O991" s="4">
        <f t="shared" si="158"/>
        <v>2001.8</v>
      </c>
      <c r="P991" s="4">
        <f t="shared" si="159"/>
        <v>0</v>
      </c>
    </row>
    <row r="992" spans="1:16" x14ac:dyDescent="0.25">
      <c r="A992" s="1">
        <v>42664</v>
      </c>
      <c r="B992">
        <v>2031.6</v>
      </c>
      <c r="C992">
        <v>2065.85</v>
      </c>
      <c r="D992">
        <v>2030</v>
      </c>
      <c r="E992" s="7">
        <v>2045.35</v>
      </c>
      <c r="F992">
        <v>1497737</v>
      </c>
      <c r="G992" s="8">
        <f t="shared" si="150"/>
        <v>2047.0666666666666</v>
      </c>
      <c r="H992" s="9">
        <f t="shared" si="151"/>
        <v>3065967488.1333332</v>
      </c>
      <c r="I992" s="9">
        <f t="shared" si="154"/>
        <v>22701431246.833336</v>
      </c>
      <c r="J992" s="9">
        <f t="shared" si="155"/>
        <v>11186106</v>
      </c>
      <c r="K992" s="21">
        <f t="shared" si="156"/>
        <v>2029.4310859233174</v>
      </c>
      <c r="L992" s="4" t="str">
        <f t="shared" si="152"/>
        <v>BUY</v>
      </c>
      <c r="M992" s="4" t="str">
        <f t="shared" si="157"/>
        <v>BUY</v>
      </c>
      <c r="N992" s="4">
        <f t="shared" si="153"/>
        <v>1</v>
      </c>
      <c r="O992" s="4">
        <f t="shared" si="158"/>
        <v>2045.35</v>
      </c>
      <c r="P992" s="4">
        <f t="shared" si="159"/>
        <v>-2.1755420121890277E-2</v>
      </c>
    </row>
    <row r="993" spans="1:16" x14ac:dyDescent="0.25">
      <c r="A993" s="1">
        <v>42667</v>
      </c>
      <c r="B993">
        <v>2040</v>
      </c>
      <c r="C993">
        <v>2071</v>
      </c>
      <c r="D993">
        <v>2038</v>
      </c>
      <c r="E993" s="7">
        <v>2055.8000000000002</v>
      </c>
      <c r="F993">
        <v>793995</v>
      </c>
      <c r="G993" s="8">
        <f t="shared" si="150"/>
        <v>2054.9333333333334</v>
      </c>
      <c r="H993" s="9">
        <f t="shared" si="151"/>
        <v>1631606792</v>
      </c>
      <c r="I993" s="9">
        <f t="shared" si="154"/>
        <v>22807596770.366669</v>
      </c>
      <c r="J993" s="9">
        <f t="shared" si="155"/>
        <v>11220583</v>
      </c>
      <c r="K993" s="21">
        <f t="shared" si="156"/>
        <v>2032.6570170522039</v>
      </c>
      <c r="L993" s="4" t="str">
        <f t="shared" si="152"/>
        <v>BUY</v>
      </c>
      <c r="M993" s="4">
        <f t="shared" si="157"/>
        <v>0</v>
      </c>
      <c r="N993" s="4">
        <f t="shared" si="153"/>
        <v>1</v>
      </c>
      <c r="O993" s="4">
        <f t="shared" si="158"/>
        <v>2045.35</v>
      </c>
      <c r="P993" s="4">
        <f t="shared" si="159"/>
        <v>0</v>
      </c>
    </row>
    <row r="994" spans="1:16" x14ac:dyDescent="0.25">
      <c r="A994" s="1">
        <v>42668</v>
      </c>
      <c r="B994">
        <v>2075.9499999999998</v>
      </c>
      <c r="C994">
        <v>2110</v>
      </c>
      <c r="D994">
        <v>2062.65</v>
      </c>
      <c r="E994" s="7">
        <v>2081.5</v>
      </c>
      <c r="F994">
        <v>1080993</v>
      </c>
      <c r="G994" s="8">
        <f t="shared" si="150"/>
        <v>2084.7166666666667</v>
      </c>
      <c r="H994" s="9">
        <f t="shared" si="151"/>
        <v>2253564123.6500001</v>
      </c>
      <c r="I994" s="9">
        <f t="shared" si="154"/>
        <v>23663097650.26667</v>
      </c>
      <c r="J994" s="9">
        <f t="shared" si="155"/>
        <v>11602981</v>
      </c>
      <c r="K994" s="21">
        <f t="shared" si="156"/>
        <v>2039.3981210748057</v>
      </c>
      <c r="L994" s="4" t="str">
        <f t="shared" si="152"/>
        <v>BUY</v>
      </c>
      <c r="M994" s="4">
        <f t="shared" si="157"/>
        <v>0</v>
      </c>
      <c r="N994" s="4">
        <f t="shared" si="153"/>
        <v>1</v>
      </c>
      <c r="O994" s="4">
        <f t="shared" si="158"/>
        <v>2045.35</v>
      </c>
      <c r="P994" s="4">
        <f t="shared" si="159"/>
        <v>0</v>
      </c>
    </row>
    <row r="995" spans="1:16" x14ac:dyDescent="0.25">
      <c r="A995" s="1">
        <v>42669</v>
      </c>
      <c r="B995">
        <v>2088.1</v>
      </c>
      <c r="C995">
        <v>2130</v>
      </c>
      <c r="D995">
        <v>2085.85</v>
      </c>
      <c r="E995" s="7">
        <v>2120.5500000000002</v>
      </c>
      <c r="F995">
        <v>982906</v>
      </c>
      <c r="G995" s="8">
        <f t="shared" si="150"/>
        <v>2112.1333333333337</v>
      </c>
      <c r="H995" s="9">
        <f t="shared" si="151"/>
        <v>2076028526.1333337</v>
      </c>
      <c r="I995" s="9">
        <f t="shared" si="154"/>
        <v>24291850667.966671</v>
      </c>
      <c r="J995" s="9">
        <f t="shared" si="155"/>
        <v>11862406</v>
      </c>
      <c r="K995" s="21">
        <f t="shared" si="156"/>
        <v>2047.8013202352602</v>
      </c>
      <c r="L995" s="4" t="str">
        <f t="shared" si="152"/>
        <v>BUY</v>
      </c>
      <c r="M995" s="4">
        <f t="shared" si="157"/>
        <v>0</v>
      </c>
      <c r="N995" s="4">
        <f t="shared" si="153"/>
        <v>1</v>
      </c>
      <c r="O995" s="4">
        <f t="shared" si="158"/>
        <v>2045.35</v>
      </c>
      <c r="P995" s="4">
        <f t="shared" si="159"/>
        <v>0</v>
      </c>
    </row>
    <row r="996" spans="1:16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 s="7">
        <v>2109.0500000000002</v>
      </c>
      <c r="F996">
        <v>660612</v>
      </c>
      <c r="G996" s="8">
        <f t="shared" si="150"/>
        <v>2116.8166666666666</v>
      </c>
      <c r="H996" s="9">
        <f t="shared" si="151"/>
        <v>1398394491.8</v>
      </c>
      <c r="I996" s="9">
        <f t="shared" si="154"/>
        <v>23853312387.76667</v>
      </c>
      <c r="J996" s="9">
        <f t="shared" si="155"/>
        <v>11609848</v>
      </c>
      <c r="K996" s="21">
        <f t="shared" si="156"/>
        <v>2054.5757694473409</v>
      </c>
      <c r="L996" s="4" t="str">
        <f t="shared" si="152"/>
        <v>BUY</v>
      </c>
      <c r="M996" s="4">
        <f t="shared" si="157"/>
        <v>0</v>
      </c>
      <c r="N996" s="4">
        <f t="shared" si="153"/>
        <v>1</v>
      </c>
      <c r="O996" s="4">
        <f t="shared" si="158"/>
        <v>2045.35</v>
      </c>
      <c r="P996" s="4">
        <f t="shared" si="159"/>
        <v>0</v>
      </c>
    </row>
    <row r="997" spans="1:16" x14ac:dyDescent="0.25">
      <c r="A997" s="1">
        <v>42671</v>
      </c>
      <c r="B997">
        <v>2119.8000000000002</v>
      </c>
      <c r="C997">
        <v>2129</v>
      </c>
      <c r="D997">
        <v>2104.25</v>
      </c>
      <c r="E997" s="7">
        <v>2110.6999999999998</v>
      </c>
      <c r="F997">
        <v>435078</v>
      </c>
      <c r="G997" s="8">
        <f t="shared" si="150"/>
        <v>2114.65</v>
      </c>
      <c r="H997" s="9">
        <f t="shared" si="151"/>
        <v>920037692.70000005</v>
      </c>
      <c r="I997" s="9">
        <f t="shared" si="154"/>
        <v>21015439394.716667</v>
      </c>
      <c r="J997" s="9">
        <f t="shared" si="155"/>
        <v>10218259</v>
      </c>
      <c r="K997" s="21">
        <f t="shared" si="156"/>
        <v>2056.6555804385725</v>
      </c>
      <c r="L997" s="4" t="str">
        <f t="shared" si="152"/>
        <v>BUY</v>
      </c>
      <c r="M997" s="4">
        <f t="shared" si="157"/>
        <v>0</v>
      </c>
      <c r="N997" s="4">
        <f t="shared" si="153"/>
        <v>1</v>
      </c>
      <c r="O997" s="4">
        <f t="shared" si="158"/>
        <v>2045.35</v>
      </c>
      <c r="P997" s="4">
        <f t="shared" si="159"/>
        <v>0</v>
      </c>
    </row>
    <row r="998" spans="1:16" x14ac:dyDescent="0.25">
      <c r="A998" s="1">
        <v>42674</v>
      </c>
      <c r="B998">
        <v>2115</v>
      </c>
      <c r="C998">
        <v>2117</v>
      </c>
      <c r="D998">
        <v>2091.4499999999998</v>
      </c>
      <c r="E998" s="7">
        <v>2100.3000000000002</v>
      </c>
      <c r="F998">
        <v>1148597</v>
      </c>
      <c r="G998" s="8">
        <f t="shared" si="150"/>
        <v>2102.9166666666665</v>
      </c>
      <c r="H998" s="9">
        <f t="shared" si="151"/>
        <v>2415403774.583333</v>
      </c>
      <c r="I998" s="9">
        <f t="shared" si="154"/>
        <v>21826050494.333332</v>
      </c>
      <c r="J998" s="9">
        <f t="shared" si="155"/>
        <v>10588825</v>
      </c>
      <c r="K998" s="21">
        <f t="shared" si="156"/>
        <v>2061.2344140481432</v>
      </c>
      <c r="L998" s="4" t="str">
        <f t="shared" si="152"/>
        <v>BUY</v>
      </c>
      <c r="M998" s="4">
        <f t="shared" si="157"/>
        <v>0</v>
      </c>
      <c r="N998" s="4">
        <f t="shared" si="153"/>
        <v>1</v>
      </c>
      <c r="O998" s="4">
        <f t="shared" si="158"/>
        <v>2045.35</v>
      </c>
      <c r="P998" s="4">
        <f t="shared" si="159"/>
        <v>0</v>
      </c>
    </row>
    <row r="999" spans="1:16" x14ac:dyDescent="0.25">
      <c r="A999" s="1">
        <v>42675</v>
      </c>
      <c r="B999">
        <v>2107</v>
      </c>
      <c r="C999">
        <v>2169.9</v>
      </c>
      <c r="D999">
        <v>2105</v>
      </c>
      <c r="E999" s="7">
        <v>2160.65</v>
      </c>
      <c r="F999">
        <v>1239973</v>
      </c>
      <c r="G999" s="8">
        <f t="shared" si="150"/>
        <v>2145.1833333333329</v>
      </c>
      <c r="H999" s="9">
        <f t="shared" si="151"/>
        <v>2659969413.3833327</v>
      </c>
      <c r="I999" s="9">
        <f t="shared" si="154"/>
        <v>22797488615.716663</v>
      </c>
      <c r="J999" s="9">
        <f t="shared" si="155"/>
        <v>11000816</v>
      </c>
      <c r="K999" s="21">
        <f t="shared" si="156"/>
        <v>2072.3452347277389</v>
      </c>
      <c r="L999" s="4" t="str">
        <f t="shared" si="152"/>
        <v>BUY</v>
      </c>
      <c r="M999" s="4">
        <f t="shared" si="157"/>
        <v>0</v>
      </c>
      <c r="N999" s="4">
        <f t="shared" si="153"/>
        <v>1</v>
      </c>
      <c r="O999" s="4">
        <f t="shared" si="158"/>
        <v>2045.35</v>
      </c>
      <c r="P999" s="4">
        <f t="shared" si="159"/>
        <v>0</v>
      </c>
    </row>
    <row r="1000" spans="1:16" x14ac:dyDescent="0.25">
      <c r="A1000" s="1">
        <v>42676</v>
      </c>
      <c r="B1000">
        <v>2170</v>
      </c>
      <c r="C1000">
        <v>2175.25</v>
      </c>
      <c r="D1000">
        <v>2146.6999999999998</v>
      </c>
      <c r="E1000" s="7">
        <v>2156.0500000000002</v>
      </c>
      <c r="F1000">
        <v>834388</v>
      </c>
      <c r="G1000" s="8">
        <f t="shared" si="150"/>
        <v>2159.3333333333335</v>
      </c>
      <c r="H1000" s="9">
        <f t="shared" si="151"/>
        <v>1801721821.3333335</v>
      </c>
      <c r="I1000" s="9">
        <f t="shared" si="154"/>
        <v>21111732432.049995</v>
      </c>
      <c r="J1000" s="9">
        <f t="shared" si="155"/>
        <v>10103529</v>
      </c>
      <c r="K1000" s="21">
        <f t="shared" si="156"/>
        <v>2089.5404399838903</v>
      </c>
      <c r="L1000" s="4" t="str">
        <f t="shared" si="152"/>
        <v>BUY</v>
      </c>
      <c r="M1000" s="4">
        <f t="shared" si="157"/>
        <v>0</v>
      </c>
      <c r="N1000" s="4">
        <f t="shared" si="153"/>
        <v>1</v>
      </c>
      <c r="O1000" s="4">
        <f t="shared" si="158"/>
        <v>2045.35</v>
      </c>
      <c r="P1000" s="4">
        <f t="shared" si="159"/>
        <v>0</v>
      </c>
    </row>
    <row r="1001" spans="1:16" x14ac:dyDescent="0.25">
      <c r="A1001" s="1">
        <v>42677</v>
      </c>
      <c r="B1001">
        <v>2160.1</v>
      </c>
      <c r="C1001">
        <v>2184.9499999999998</v>
      </c>
      <c r="D1001">
        <v>2150.9</v>
      </c>
      <c r="E1001" s="7">
        <v>2172.0500000000002</v>
      </c>
      <c r="F1001">
        <v>622888</v>
      </c>
      <c r="G1001" s="8">
        <f t="shared" si="150"/>
        <v>2169.3000000000002</v>
      </c>
      <c r="H1001" s="9">
        <f t="shared" si="151"/>
        <v>1351230938.4000001</v>
      </c>
      <c r="I1001" s="9">
        <f t="shared" si="154"/>
        <v>19573925062.116669</v>
      </c>
      <c r="J1001" s="9">
        <f t="shared" si="155"/>
        <v>9297167</v>
      </c>
      <c r="K1001" s="21">
        <f t="shared" si="156"/>
        <v>2105.364468780293</v>
      </c>
      <c r="L1001" s="4" t="str">
        <f t="shared" si="152"/>
        <v>BUY</v>
      </c>
      <c r="M1001" s="4">
        <f t="shared" si="157"/>
        <v>0</v>
      </c>
      <c r="N1001" s="4">
        <f t="shared" si="153"/>
        <v>1</v>
      </c>
      <c r="O1001" s="4">
        <f t="shared" si="158"/>
        <v>2045.35</v>
      </c>
      <c r="P1001" s="4">
        <f t="shared" si="159"/>
        <v>0</v>
      </c>
    </row>
    <row r="1002" spans="1:16" x14ac:dyDescent="0.25">
      <c r="A1002" s="1">
        <v>42678</v>
      </c>
      <c r="B1002">
        <v>2180.1</v>
      </c>
      <c r="C1002">
        <v>2184.5</v>
      </c>
      <c r="D1002">
        <v>2151.1</v>
      </c>
      <c r="E1002" s="7">
        <v>2153.3000000000002</v>
      </c>
      <c r="F1002">
        <v>264976</v>
      </c>
      <c r="G1002" s="8">
        <f t="shared" si="150"/>
        <v>2162.9666666666667</v>
      </c>
      <c r="H1002" s="9">
        <f t="shared" si="151"/>
        <v>573134255.4666667</v>
      </c>
      <c r="I1002" s="9">
        <f t="shared" si="154"/>
        <v>17081091829.450001</v>
      </c>
      <c r="J1002" s="9">
        <f t="shared" si="155"/>
        <v>8064406</v>
      </c>
      <c r="K1002" s="21">
        <f t="shared" si="156"/>
        <v>2118.0843114111567</v>
      </c>
      <c r="L1002" s="4" t="str">
        <f t="shared" si="152"/>
        <v>BUY</v>
      </c>
      <c r="M1002" s="4">
        <f t="shared" si="157"/>
        <v>0</v>
      </c>
      <c r="N1002" s="4">
        <f t="shared" si="153"/>
        <v>1</v>
      </c>
      <c r="O1002" s="4">
        <f t="shared" si="158"/>
        <v>2045.35</v>
      </c>
      <c r="P1002" s="4">
        <f t="shared" si="159"/>
        <v>0</v>
      </c>
    </row>
    <row r="1003" spans="1:16" x14ac:dyDescent="0.25">
      <c r="A1003" s="1">
        <v>42681</v>
      </c>
      <c r="B1003">
        <v>2166</v>
      </c>
      <c r="C1003">
        <v>2189</v>
      </c>
      <c r="D1003">
        <v>2156.15</v>
      </c>
      <c r="E1003" s="7">
        <v>2167</v>
      </c>
      <c r="F1003">
        <v>863474</v>
      </c>
      <c r="G1003" s="8">
        <f t="shared" si="150"/>
        <v>2170.7166666666667</v>
      </c>
      <c r="H1003" s="9">
        <f t="shared" si="151"/>
        <v>1874357403.0333333</v>
      </c>
      <c r="I1003" s="9">
        <f t="shared" si="154"/>
        <v>17323842440.483334</v>
      </c>
      <c r="J1003" s="9">
        <f t="shared" si="155"/>
        <v>8133885</v>
      </c>
      <c r="K1003" s="21">
        <f t="shared" si="156"/>
        <v>2129.8361656801558</v>
      </c>
      <c r="L1003" s="4" t="str">
        <f t="shared" si="152"/>
        <v>BUY</v>
      </c>
      <c r="M1003" s="4">
        <f t="shared" si="157"/>
        <v>0</v>
      </c>
      <c r="N1003" s="4">
        <f t="shared" si="153"/>
        <v>1</v>
      </c>
      <c r="O1003" s="4">
        <f t="shared" si="158"/>
        <v>2045.35</v>
      </c>
      <c r="P1003" s="4">
        <f t="shared" si="159"/>
        <v>0</v>
      </c>
    </row>
    <row r="1004" spans="1:16" x14ac:dyDescent="0.25">
      <c r="A1004" s="1">
        <v>42682</v>
      </c>
      <c r="B1004">
        <v>2164.6999999999998</v>
      </c>
      <c r="C1004">
        <v>2229.1</v>
      </c>
      <c r="D1004">
        <v>2147.25</v>
      </c>
      <c r="E1004" s="7">
        <v>2222.1999999999998</v>
      </c>
      <c r="F1004">
        <v>1309087</v>
      </c>
      <c r="G1004" s="8">
        <f t="shared" si="150"/>
        <v>2199.5166666666669</v>
      </c>
      <c r="H1004" s="9">
        <f t="shared" si="151"/>
        <v>2879358674.6166668</v>
      </c>
      <c r="I1004" s="9">
        <f t="shared" si="154"/>
        <v>17949636991.449997</v>
      </c>
      <c r="J1004" s="9">
        <f t="shared" si="155"/>
        <v>8361979</v>
      </c>
      <c r="K1004" s="21">
        <f t="shared" si="156"/>
        <v>2146.5776213322224</v>
      </c>
      <c r="L1004" s="4" t="str">
        <f t="shared" si="152"/>
        <v>BUY</v>
      </c>
      <c r="M1004" s="4">
        <f t="shared" si="157"/>
        <v>0</v>
      </c>
      <c r="N1004" s="4">
        <f t="shared" si="153"/>
        <v>1</v>
      </c>
      <c r="O1004" s="4">
        <f t="shared" si="158"/>
        <v>2045.35</v>
      </c>
      <c r="P1004" s="4">
        <f t="shared" si="159"/>
        <v>0</v>
      </c>
    </row>
    <row r="1005" spans="1:16" x14ac:dyDescent="0.25">
      <c r="A1005" s="1">
        <v>42683</v>
      </c>
      <c r="B1005">
        <v>2229</v>
      </c>
      <c r="C1005">
        <v>2244</v>
      </c>
      <c r="D1005">
        <v>2197</v>
      </c>
      <c r="E1005" s="7">
        <v>2239.6</v>
      </c>
      <c r="F1005">
        <v>1155905</v>
      </c>
      <c r="G1005" s="8">
        <f t="shared" si="150"/>
        <v>2226.8666666666668</v>
      </c>
      <c r="H1005" s="9">
        <f t="shared" si="151"/>
        <v>2574046314.3333335</v>
      </c>
      <c r="I1005" s="9">
        <f t="shared" si="154"/>
        <v>18447654779.649998</v>
      </c>
      <c r="J1005" s="9">
        <f t="shared" si="155"/>
        <v>8534978</v>
      </c>
      <c r="K1005" s="21">
        <f t="shared" si="156"/>
        <v>2161.4179649496459</v>
      </c>
      <c r="L1005" s="4" t="str">
        <f t="shared" si="152"/>
        <v>BUY</v>
      </c>
      <c r="M1005" s="4">
        <f t="shared" si="157"/>
        <v>0</v>
      </c>
      <c r="N1005" s="4">
        <f t="shared" si="153"/>
        <v>1</v>
      </c>
      <c r="O1005" s="4">
        <f t="shared" si="158"/>
        <v>2045.35</v>
      </c>
      <c r="P1005" s="4">
        <f t="shared" si="159"/>
        <v>0</v>
      </c>
    </row>
    <row r="1006" spans="1:16" x14ac:dyDescent="0.25">
      <c r="A1006" s="1">
        <v>42684</v>
      </c>
      <c r="B1006">
        <v>2240</v>
      </c>
      <c r="C1006">
        <v>2256.4499999999998</v>
      </c>
      <c r="D1006">
        <v>2199</v>
      </c>
      <c r="E1006" s="7">
        <v>2206.15</v>
      </c>
      <c r="F1006">
        <v>1448743</v>
      </c>
      <c r="G1006" s="8">
        <f t="shared" si="150"/>
        <v>2220.5333333333333</v>
      </c>
      <c r="H1006" s="9">
        <f t="shared" si="151"/>
        <v>3216982122.9333334</v>
      </c>
      <c r="I1006" s="9">
        <f t="shared" si="154"/>
        <v>20266242410.783333</v>
      </c>
      <c r="J1006" s="9">
        <f t="shared" si="155"/>
        <v>9323109</v>
      </c>
      <c r="K1006" s="21">
        <f t="shared" si="156"/>
        <v>2173.7643967032168</v>
      </c>
      <c r="L1006" s="4" t="str">
        <f t="shared" si="152"/>
        <v>BUY</v>
      </c>
      <c r="M1006" s="4">
        <f t="shared" si="157"/>
        <v>0</v>
      </c>
      <c r="N1006" s="4">
        <f t="shared" si="153"/>
        <v>1</v>
      </c>
      <c r="O1006" s="4">
        <f t="shared" si="158"/>
        <v>2045.35</v>
      </c>
      <c r="P1006" s="4">
        <f t="shared" si="159"/>
        <v>0</v>
      </c>
    </row>
    <row r="1007" spans="1:16" x14ac:dyDescent="0.25">
      <c r="A1007" s="1">
        <v>42685</v>
      </c>
      <c r="B1007">
        <v>2212</v>
      </c>
      <c r="C1007">
        <v>2244</v>
      </c>
      <c r="D1007">
        <v>2210</v>
      </c>
      <c r="E1007" s="7">
        <v>2232.65</v>
      </c>
      <c r="F1007">
        <v>1275010</v>
      </c>
      <c r="G1007" s="8">
        <f t="shared" si="150"/>
        <v>2228.8833333333332</v>
      </c>
      <c r="H1007" s="9">
        <f t="shared" si="151"/>
        <v>2841848538.833333</v>
      </c>
      <c r="I1007" s="9">
        <f t="shared" si="154"/>
        <v>22188053256.916664</v>
      </c>
      <c r="J1007" s="9">
        <f t="shared" si="155"/>
        <v>10163041</v>
      </c>
      <c r="K1007" s="21">
        <f t="shared" si="156"/>
        <v>2183.2100507039836</v>
      </c>
      <c r="L1007" s="4" t="str">
        <f t="shared" si="152"/>
        <v>BUY</v>
      </c>
      <c r="M1007" s="4">
        <f t="shared" si="157"/>
        <v>0</v>
      </c>
      <c r="N1007" s="4">
        <f t="shared" si="153"/>
        <v>1</v>
      </c>
      <c r="O1007" s="4">
        <f t="shared" si="158"/>
        <v>2045.35</v>
      </c>
      <c r="P1007" s="4">
        <f t="shared" si="159"/>
        <v>0</v>
      </c>
    </row>
    <row r="1008" spans="1:16" x14ac:dyDescent="0.25">
      <c r="A1008" s="1">
        <v>42688</v>
      </c>
      <c r="B1008">
        <v>2228.75</v>
      </c>
      <c r="C1008">
        <v>2255.5</v>
      </c>
      <c r="D1008">
        <v>2222.1</v>
      </c>
      <c r="E1008" s="7">
        <v>2241.9499999999998</v>
      </c>
      <c r="F1008">
        <v>1291103</v>
      </c>
      <c r="G1008" s="8">
        <f t="shared" si="150"/>
        <v>2239.85</v>
      </c>
      <c r="H1008" s="9">
        <f t="shared" si="151"/>
        <v>2891877054.5499997</v>
      </c>
      <c r="I1008" s="9">
        <f t="shared" si="154"/>
        <v>22664526536.883331</v>
      </c>
      <c r="J1008" s="9">
        <f t="shared" si="155"/>
        <v>10305547</v>
      </c>
      <c r="K1008" s="21">
        <f t="shared" si="156"/>
        <v>2199.2550746586603</v>
      </c>
      <c r="L1008" s="4" t="str">
        <f t="shared" si="152"/>
        <v>BUY</v>
      </c>
      <c r="M1008" s="4">
        <f t="shared" si="157"/>
        <v>0</v>
      </c>
      <c r="N1008" s="4">
        <f t="shared" si="153"/>
        <v>1</v>
      </c>
      <c r="O1008" s="4">
        <f t="shared" si="158"/>
        <v>2045.35</v>
      </c>
      <c r="P1008" s="4">
        <f t="shared" si="159"/>
        <v>0</v>
      </c>
    </row>
    <row r="1009" spans="1:16" x14ac:dyDescent="0.25">
      <c r="A1009" s="1">
        <v>42689</v>
      </c>
      <c r="B1009">
        <v>2260</v>
      </c>
      <c r="C1009">
        <v>2309.8000000000002</v>
      </c>
      <c r="D1009">
        <v>2235</v>
      </c>
      <c r="E1009" s="7">
        <v>2280.9</v>
      </c>
      <c r="F1009">
        <v>1684667</v>
      </c>
      <c r="G1009" s="8">
        <f t="shared" si="150"/>
        <v>2275.2333333333336</v>
      </c>
      <c r="H1009" s="9">
        <f t="shared" si="151"/>
        <v>3833010513.9666672</v>
      </c>
      <c r="I1009" s="9">
        <f t="shared" si="154"/>
        <v>23837567637.466667</v>
      </c>
      <c r="J1009" s="9">
        <f t="shared" si="155"/>
        <v>10750241</v>
      </c>
      <c r="K1009" s="21">
        <f t="shared" si="156"/>
        <v>2217.39844134347</v>
      </c>
      <c r="L1009" s="4" t="str">
        <f t="shared" si="152"/>
        <v>BUY</v>
      </c>
      <c r="M1009" s="4">
        <f t="shared" si="157"/>
        <v>0</v>
      </c>
      <c r="N1009" s="4">
        <f t="shared" si="153"/>
        <v>1</v>
      </c>
      <c r="O1009" s="4">
        <f t="shared" si="158"/>
        <v>2045.35</v>
      </c>
      <c r="P1009" s="4">
        <f t="shared" si="159"/>
        <v>0</v>
      </c>
    </row>
    <row r="1010" spans="1:16" x14ac:dyDescent="0.25">
      <c r="A1010" s="1">
        <v>42690</v>
      </c>
      <c r="B1010">
        <v>2285</v>
      </c>
      <c r="C1010">
        <v>2384</v>
      </c>
      <c r="D1010">
        <v>2285</v>
      </c>
      <c r="E1010" s="7">
        <v>2368.75</v>
      </c>
      <c r="F1010">
        <v>1907158</v>
      </c>
      <c r="G1010" s="8">
        <f t="shared" si="150"/>
        <v>2345.9166666666665</v>
      </c>
      <c r="H1010" s="9">
        <f t="shared" si="151"/>
        <v>4474033738.166666</v>
      </c>
      <c r="I1010" s="9">
        <f t="shared" si="154"/>
        <v>26509879554.299995</v>
      </c>
      <c r="J1010" s="9">
        <f t="shared" si="155"/>
        <v>11823011</v>
      </c>
      <c r="K1010" s="21">
        <f t="shared" si="156"/>
        <v>2242.2274287235286</v>
      </c>
      <c r="L1010" s="4" t="str">
        <f t="shared" si="152"/>
        <v>BUY</v>
      </c>
      <c r="M1010" s="4">
        <f t="shared" si="157"/>
        <v>0</v>
      </c>
      <c r="N1010" s="4">
        <f t="shared" si="153"/>
        <v>1</v>
      </c>
      <c r="O1010" s="4">
        <f t="shared" si="158"/>
        <v>2045.35</v>
      </c>
      <c r="P1010" s="4">
        <f t="shared" si="159"/>
        <v>0</v>
      </c>
    </row>
    <row r="1011" spans="1:16" x14ac:dyDescent="0.25">
      <c r="A1011" s="1">
        <v>42691</v>
      </c>
      <c r="B1011">
        <v>2372</v>
      </c>
      <c r="C1011">
        <v>2384.8000000000002</v>
      </c>
      <c r="D1011">
        <v>2320</v>
      </c>
      <c r="E1011" s="7">
        <v>2326.75</v>
      </c>
      <c r="F1011">
        <v>1487482</v>
      </c>
      <c r="G1011" s="8">
        <f t="shared" si="150"/>
        <v>2343.85</v>
      </c>
      <c r="H1011" s="9">
        <f t="shared" si="151"/>
        <v>3486434685.6999998</v>
      </c>
      <c r="I1011" s="9">
        <f t="shared" si="154"/>
        <v>28645083301.600002</v>
      </c>
      <c r="J1011" s="9">
        <f t="shared" si="155"/>
        <v>12687605</v>
      </c>
      <c r="K1011" s="21">
        <f t="shared" si="156"/>
        <v>2257.7218711963369</v>
      </c>
      <c r="L1011" s="4" t="str">
        <f t="shared" si="152"/>
        <v>BUY</v>
      </c>
      <c r="M1011" s="4">
        <f t="shared" si="157"/>
        <v>0</v>
      </c>
      <c r="N1011" s="4">
        <f t="shared" si="153"/>
        <v>1</v>
      </c>
      <c r="O1011" s="4">
        <f t="shared" si="158"/>
        <v>2045.35</v>
      </c>
      <c r="P1011" s="4">
        <f t="shared" si="159"/>
        <v>0</v>
      </c>
    </row>
    <row r="1012" spans="1:16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 s="7">
        <v>2353.6</v>
      </c>
      <c r="F1012">
        <v>1524427</v>
      </c>
      <c r="G1012" s="8">
        <f t="shared" si="150"/>
        <v>2352.9333333333329</v>
      </c>
      <c r="H1012" s="9">
        <f t="shared" si="151"/>
        <v>3586875102.5333328</v>
      </c>
      <c r="I1012" s="9">
        <f t="shared" si="154"/>
        <v>31658824148.666668</v>
      </c>
      <c r="J1012" s="9">
        <f t="shared" si="155"/>
        <v>13947056</v>
      </c>
      <c r="K1012" s="21">
        <f t="shared" si="156"/>
        <v>2269.9288042341459</v>
      </c>
      <c r="L1012" s="4" t="str">
        <f t="shared" si="152"/>
        <v>BUY</v>
      </c>
      <c r="M1012" s="4">
        <f t="shared" si="157"/>
        <v>0</v>
      </c>
      <c r="N1012" s="4">
        <f t="shared" si="153"/>
        <v>1</v>
      </c>
      <c r="O1012" s="4">
        <f t="shared" si="158"/>
        <v>2045.35</v>
      </c>
      <c r="P1012" s="4">
        <f t="shared" si="159"/>
        <v>0</v>
      </c>
    </row>
    <row r="1013" spans="1:16" x14ac:dyDescent="0.25">
      <c r="A1013" s="1">
        <v>42695</v>
      </c>
      <c r="B1013">
        <v>2380</v>
      </c>
      <c r="C1013">
        <v>2380.1</v>
      </c>
      <c r="D1013">
        <v>2325</v>
      </c>
      <c r="E1013" s="7">
        <v>2350.3000000000002</v>
      </c>
      <c r="F1013">
        <v>1498981</v>
      </c>
      <c r="G1013" s="8">
        <f t="shared" si="150"/>
        <v>2351.8000000000002</v>
      </c>
      <c r="H1013" s="9">
        <f t="shared" si="151"/>
        <v>3525303515.8000002</v>
      </c>
      <c r="I1013" s="9">
        <f t="shared" si="154"/>
        <v>33309770261.433334</v>
      </c>
      <c r="J1013" s="9">
        <f t="shared" si="155"/>
        <v>14582563</v>
      </c>
      <c r="K1013" s="21">
        <f t="shared" si="156"/>
        <v>2284.2191911965911</v>
      </c>
      <c r="L1013" s="4" t="str">
        <f t="shared" si="152"/>
        <v>BUY</v>
      </c>
      <c r="M1013" s="4">
        <f t="shared" si="157"/>
        <v>0</v>
      </c>
      <c r="N1013" s="4">
        <f t="shared" si="153"/>
        <v>1</v>
      </c>
      <c r="O1013" s="4">
        <f t="shared" si="158"/>
        <v>2045.35</v>
      </c>
      <c r="P1013" s="4">
        <f t="shared" si="159"/>
        <v>0</v>
      </c>
    </row>
    <row r="1014" spans="1:16" x14ac:dyDescent="0.25">
      <c r="A1014" s="1">
        <v>42696</v>
      </c>
      <c r="B1014">
        <v>2298</v>
      </c>
      <c r="C1014">
        <v>2298</v>
      </c>
      <c r="D1014">
        <v>2206.0500000000002</v>
      </c>
      <c r="E1014" s="7">
        <v>2213.0500000000002</v>
      </c>
      <c r="F1014">
        <v>3782378</v>
      </c>
      <c r="G1014" s="8">
        <f t="shared" si="150"/>
        <v>2239.0333333333333</v>
      </c>
      <c r="H1014" s="9">
        <f t="shared" si="151"/>
        <v>8468870421.2666664</v>
      </c>
      <c r="I1014" s="9">
        <f t="shared" si="154"/>
        <v>38899282008.083328</v>
      </c>
      <c r="J1014" s="9">
        <f t="shared" si="155"/>
        <v>17055854</v>
      </c>
      <c r="K1014" s="21">
        <f t="shared" si="156"/>
        <v>2280.69975318054</v>
      </c>
      <c r="L1014" s="4" t="str">
        <f t="shared" si="152"/>
        <v>SELL</v>
      </c>
      <c r="M1014" s="4" t="str">
        <f t="shared" si="157"/>
        <v>SELL</v>
      </c>
      <c r="N1014" s="4">
        <f t="shared" si="153"/>
        <v>-1</v>
      </c>
      <c r="O1014" s="4">
        <f t="shared" si="158"/>
        <v>2213.0500000000002</v>
      </c>
      <c r="P1014" s="4">
        <f t="shared" si="159"/>
        <v>8.1990857310484902E-2</v>
      </c>
    </row>
    <row r="1015" spans="1:16" x14ac:dyDescent="0.25">
      <c r="A1015" s="1">
        <v>42697</v>
      </c>
      <c r="B1015">
        <v>2218.9499999999998</v>
      </c>
      <c r="C1015">
        <v>2350</v>
      </c>
      <c r="D1015">
        <v>2215.5</v>
      </c>
      <c r="E1015" s="7">
        <v>2338.1999999999998</v>
      </c>
      <c r="F1015">
        <v>3005279</v>
      </c>
      <c r="G1015" s="8">
        <f t="shared" si="150"/>
        <v>2301.2333333333331</v>
      </c>
      <c r="H1015" s="9">
        <f t="shared" si="151"/>
        <v>6915848210.7666664</v>
      </c>
      <c r="I1015" s="9">
        <f t="shared" si="154"/>
        <v>43241083904.516663</v>
      </c>
      <c r="J1015" s="9">
        <f t="shared" si="155"/>
        <v>18905228</v>
      </c>
      <c r="K1015" s="21">
        <f t="shared" si="156"/>
        <v>2287.2553509810441</v>
      </c>
      <c r="L1015" s="4" t="str">
        <f t="shared" si="152"/>
        <v>BUY</v>
      </c>
      <c r="M1015" s="4" t="str">
        <f t="shared" si="157"/>
        <v>BUY</v>
      </c>
      <c r="N1015" s="4">
        <f t="shared" si="153"/>
        <v>1</v>
      </c>
      <c r="O1015" s="4">
        <f t="shared" si="158"/>
        <v>2338.1999999999998</v>
      </c>
      <c r="P1015" s="4">
        <f t="shared" si="159"/>
        <v>-5.6550913897110151E-2</v>
      </c>
    </row>
    <row r="1016" spans="1:16" x14ac:dyDescent="0.25">
      <c r="A1016" s="1">
        <v>42698</v>
      </c>
      <c r="B1016">
        <v>2334</v>
      </c>
      <c r="C1016">
        <v>2339.25</v>
      </c>
      <c r="D1016">
        <v>2275.1</v>
      </c>
      <c r="E1016" s="7">
        <v>2280.3000000000002</v>
      </c>
      <c r="F1016">
        <v>1566141</v>
      </c>
      <c r="G1016" s="8">
        <f t="shared" si="150"/>
        <v>2298.2166666666667</v>
      </c>
      <c r="H1016" s="9">
        <f t="shared" si="151"/>
        <v>3599331348.5500002</v>
      </c>
      <c r="I1016" s="9">
        <f t="shared" si="154"/>
        <v>43623433130.133331</v>
      </c>
      <c r="J1016" s="9">
        <f t="shared" si="155"/>
        <v>19022626</v>
      </c>
      <c r="K1016" s="21">
        <f t="shared" si="156"/>
        <v>2293.2392788531579</v>
      </c>
      <c r="L1016" s="4" t="str">
        <f t="shared" si="152"/>
        <v>SELL</v>
      </c>
      <c r="M1016" s="4" t="str">
        <f t="shared" si="157"/>
        <v>SELL</v>
      </c>
      <c r="N1016" s="4">
        <f t="shared" si="153"/>
        <v>-1</v>
      </c>
      <c r="O1016" s="4">
        <f t="shared" si="158"/>
        <v>2280.3000000000002</v>
      </c>
      <c r="P1016" s="4">
        <f t="shared" si="159"/>
        <v>-2.476263792661006E-2</v>
      </c>
    </row>
    <row r="1017" spans="1:16" x14ac:dyDescent="0.25">
      <c r="A1017" s="1">
        <v>42699</v>
      </c>
      <c r="B1017">
        <v>2287.1</v>
      </c>
      <c r="C1017">
        <v>2296.85</v>
      </c>
      <c r="D1017">
        <v>2264.1</v>
      </c>
      <c r="E1017" s="7">
        <v>2274.0500000000002</v>
      </c>
      <c r="F1017">
        <v>1192015</v>
      </c>
      <c r="G1017" s="8">
        <f t="shared" si="150"/>
        <v>2278.3333333333335</v>
      </c>
      <c r="H1017" s="9">
        <f t="shared" si="151"/>
        <v>2715807508.3333335</v>
      </c>
      <c r="I1017" s="9">
        <f t="shared" si="154"/>
        <v>43497392099.633339</v>
      </c>
      <c r="J1017" s="9">
        <f t="shared" si="155"/>
        <v>18939631</v>
      </c>
      <c r="K1017" s="21">
        <f t="shared" si="156"/>
        <v>2296.6335563577422</v>
      </c>
      <c r="L1017" s="4" t="str">
        <f t="shared" si="152"/>
        <v>SELL</v>
      </c>
      <c r="M1017" s="4">
        <f t="shared" si="157"/>
        <v>0</v>
      </c>
      <c r="N1017" s="4">
        <f t="shared" si="153"/>
        <v>-1</v>
      </c>
      <c r="O1017" s="4">
        <f t="shared" si="158"/>
        <v>2280.3000000000002</v>
      </c>
      <c r="P1017" s="4">
        <f t="shared" si="159"/>
        <v>0</v>
      </c>
    </row>
    <row r="1018" spans="1:16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 s="7">
        <v>2252.4499999999998</v>
      </c>
      <c r="F1018">
        <v>1145381</v>
      </c>
      <c r="G1018" s="8">
        <f t="shared" si="150"/>
        <v>2255.4833333333331</v>
      </c>
      <c r="H1018" s="9">
        <f t="shared" si="151"/>
        <v>2583387755.8166666</v>
      </c>
      <c r="I1018" s="9">
        <f t="shared" si="154"/>
        <v>43188902800.900002</v>
      </c>
      <c r="J1018" s="9">
        <f t="shared" si="155"/>
        <v>18793909</v>
      </c>
      <c r="K1018" s="21">
        <f t="shared" si="156"/>
        <v>2298.0266000489842</v>
      </c>
      <c r="L1018" s="4" t="str">
        <f t="shared" si="152"/>
        <v>SELL</v>
      </c>
      <c r="M1018" s="4">
        <f t="shared" si="157"/>
        <v>0</v>
      </c>
      <c r="N1018" s="4">
        <f t="shared" si="153"/>
        <v>-1</v>
      </c>
      <c r="O1018" s="4">
        <f t="shared" si="158"/>
        <v>2280.3000000000002</v>
      </c>
      <c r="P1018" s="4">
        <f t="shared" si="159"/>
        <v>0</v>
      </c>
    </row>
    <row r="1019" spans="1:16" x14ac:dyDescent="0.25">
      <c r="A1019" s="1">
        <v>42703</v>
      </c>
      <c r="B1019">
        <v>2244</v>
      </c>
      <c r="C1019">
        <v>2283.25</v>
      </c>
      <c r="D1019">
        <v>2235</v>
      </c>
      <c r="E1019" s="7">
        <v>2248.6999999999998</v>
      </c>
      <c r="F1019">
        <v>925133</v>
      </c>
      <c r="G1019" s="8">
        <f t="shared" si="150"/>
        <v>2255.65</v>
      </c>
      <c r="H1019" s="9">
        <f t="shared" si="151"/>
        <v>2086776251.45</v>
      </c>
      <c r="I1019" s="9">
        <f t="shared" si="154"/>
        <v>41442668538.383324</v>
      </c>
      <c r="J1019" s="9">
        <f t="shared" si="155"/>
        <v>18034375</v>
      </c>
      <c r="K1019" s="21">
        <f t="shared" si="156"/>
        <v>2297.9819671257433</v>
      </c>
      <c r="L1019" s="4" t="str">
        <f t="shared" si="152"/>
        <v>SELL</v>
      </c>
      <c r="M1019" s="4">
        <f t="shared" si="157"/>
        <v>0</v>
      </c>
      <c r="N1019" s="4">
        <f t="shared" si="153"/>
        <v>-1</v>
      </c>
      <c r="O1019" s="4">
        <f t="shared" si="158"/>
        <v>2280.3000000000002</v>
      </c>
      <c r="P1019" s="4">
        <f t="shared" si="159"/>
        <v>0</v>
      </c>
    </row>
    <row r="1020" spans="1:16" x14ac:dyDescent="0.25">
      <c r="A1020" s="1">
        <v>42704</v>
      </c>
      <c r="B1020">
        <v>2226</v>
      </c>
      <c r="C1020">
        <v>2259.5</v>
      </c>
      <c r="D1020">
        <v>2220.1</v>
      </c>
      <c r="E1020" s="7">
        <v>2229.6</v>
      </c>
      <c r="F1020">
        <v>1266474</v>
      </c>
      <c r="G1020" s="8">
        <f t="shared" si="150"/>
        <v>2236.4</v>
      </c>
      <c r="H1020" s="9">
        <f t="shared" si="151"/>
        <v>2832342453.5999999</v>
      </c>
      <c r="I1020" s="9">
        <f t="shared" si="154"/>
        <v>39800977253.816658</v>
      </c>
      <c r="J1020" s="9">
        <f t="shared" si="155"/>
        <v>17393691</v>
      </c>
      <c r="K1020" s="21">
        <f t="shared" si="156"/>
        <v>2288.2421709007399</v>
      </c>
      <c r="L1020" s="4" t="str">
        <f t="shared" si="152"/>
        <v>SELL</v>
      </c>
      <c r="M1020" s="4">
        <f t="shared" si="157"/>
        <v>0</v>
      </c>
      <c r="N1020" s="4">
        <f t="shared" si="153"/>
        <v>-1</v>
      </c>
      <c r="O1020" s="4">
        <f t="shared" si="158"/>
        <v>2280.3000000000002</v>
      </c>
      <c r="P1020" s="4">
        <f t="shared" si="159"/>
        <v>0</v>
      </c>
    </row>
    <row r="1021" spans="1:16" x14ac:dyDescent="0.25">
      <c r="A1021" s="1">
        <v>42705</v>
      </c>
      <c r="B1021">
        <v>2232</v>
      </c>
      <c r="C1021">
        <v>2247.85</v>
      </c>
      <c r="D1021">
        <v>2196.1</v>
      </c>
      <c r="E1021" s="7">
        <v>2212.35</v>
      </c>
      <c r="F1021">
        <v>1426083</v>
      </c>
      <c r="G1021" s="8">
        <f t="shared" si="150"/>
        <v>2218.7666666666664</v>
      </c>
      <c r="H1021" s="9">
        <f t="shared" si="151"/>
        <v>3164145424.2999997</v>
      </c>
      <c r="I1021" s="9">
        <f t="shared" si="154"/>
        <v>39478687992.416664</v>
      </c>
      <c r="J1021" s="9">
        <f t="shared" si="155"/>
        <v>17332292</v>
      </c>
      <c r="K1021" s="21">
        <f t="shared" si="156"/>
        <v>2277.7534553662413</v>
      </c>
      <c r="L1021" s="4" t="str">
        <f t="shared" si="152"/>
        <v>SELL</v>
      </c>
      <c r="M1021" s="4">
        <f t="shared" si="157"/>
        <v>0</v>
      </c>
      <c r="N1021" s="4">
        <f t="shared" si="153"/>
        <v>-1</v>
      </c>
      <c r="O1021" s="4">
        <f t="shared" si="158"/>
        <v>2280.3000000000002</v>
      </c>
      <c r="P1021" s="4">
        <f t="shared" si="159"/>
        <v>0</v>
      </c>
    </row>
    <row r="1022" spans="1:16" x14ac:dyDescent="0.25">
      <c r="A1022" s="1">
        <v>42706</v>
      </c>
      <c r="B1022">
        <v>2240</v>
      </c>
      <c r="C1022">
        <v>2240</v>
      </c>
      <c r="D1022">
        <v>2205</v>
      </c>
      <c r="E1022" s="7">
        <v>2209.8000000000002</v>
      </c>
      <c r="F1022">
        <v>849038</v>
      </c>
      <c r="G1022" s="8">
        <f t="shared" si="150"/>
        <v>2218.2666666666669</v>
      </c>
      <c r="H1022" s="9">
        <f t="shared" si="151"/>
        <v>1883392694.1333334</v>
      </c>
      <c r="I1022" s="9">
        <f t="shared" si="154"/>
        <v>37775205584.016663</v>
      </c>
      <c r="J1022" s="9">
        <f t="shared" si="155"/>
        <v>16656903</v>
      </c>
      <c r="K1022" s="21">
        <f t="shared" si="156"/>
        <v>2267.8408815862508</v>
      </c>
      <c r="L1022" s="4" t="str">
        <f t="shared" si="152"/>
        <v>SELL</v>
      </c>
      <c r="M1022" s="4">
        <f t="shared" si="157"/>
        <v>0</v>
      </c>
      <c r="N1022" s="4">
        <f t="shared" si="153"/>
        <v>-1</v>
      </c>
      <c r="O1022" s="4">
        <f t="shared" si="158"/>
        <v>2280.3000000000002</v>
      </c>
      <c r="P1022" s="4">
        <f t="shared" si="159"/>
        <v>0</v>
      </c>
    </row>
    <row r="1023" spans="1:16" x14ac:dyDescent="0.25">
      <c r="A1023" s="1">
        <v>42709</v>
      </c>
      <c r="B1023">
        <v>2198.0500000000002</v>
      </c>
      <c r="C1023">
        <v>2227</v>
      </c>
      <c r="D1023">
        <v>2190</v>
      </c>
      <c r="E1023" s="7">
        <v>2217.6</v>
      </c>
      <c r="F1023">
        <v>1112625</v>
      </c>
      <c r="G1023" s="8">
        <f t="shared" si="150"/>
        <v>2211.5333333333333</v>
      </c>
      <c r="H1023" s="9">
        <f t="shared" si="151"/>
        <v>2460607275</v>
      </c>
      <c r="I1023" s="9">
        <f t="shared" si="154"/>
        <v>36710509343.21666</v>
      </c>
      <c r="J1023" s="9">
        <f t="shared" si="155"/>
        <v>16270547</v>
      </c>
      <c r="K1023" s="21">
        <f t="shared" si="156"/>
        <v>2256.2553885383609</v>
      </c>
      <c r="L1023" s="4" t="str">
        <f t="shared" si="152"/>
        <v>SELL</v>
      </c>
      <c r="M1023" s="4">
        <f t="shared" si="157"/>
        <v>0</v>
      </c>
      <c r="N1023" s="4">
        <f t="shared" si="153"/>
        <v>-1</v>
      </c>
      <c r="O1023" s="4">
        <f t="shared" si="158"/>
        <v>2280.3000000000002</v>
      </c>
      <c r="P1023" s="4">
        <f t="shared" si="159"/>
        <v>0</v>
      </c>
    </row>
    <row r="1024" spans="1:16" x14ac:dyDescent="0.25">
      <c r="A1024" s="1">
        <v>42710</v>
      </c>
      <c r="B1024">
        <v>2225.1</v>
      </c>
      <c r="C1024">
        <v>2269.8000000000002</v>
      </c>
      <c r="D1024">
        <v>2221</v>
      </c>
      <c r="E1024" s="7">
        <v>2241.0500000000002</v>
      </c>
      <c r="F1024">
        <v>1087123</v>
      </c>
      <c r="G1024" s="8">
        <f t="shared" si="150"/>
        <v>2243.9500000000003</v>
      </c>
      <c r="H1024" s="9">
        <f t="shared" si="151"/>
        <v>2439449655.8500004</v>
      </c>
      <c r="I1024" s="9">
        <f t="shared" si="154"/>
        <v>30681088577.800003</v>
      </c>
      <c r="J1024" s="9">
        <f t="shared" si="155"/>
        <v>13575292</v>
      </c>
      <c r="K1024" s="21">
        <f t="shared" si="156"/>
        <v>2260.0684079429011</v>
      </c>
      <c r="L1024" s="4" t="str">
        <f t="shared" si="152"/>
        <v>SELL</v>
      </c>
      <c r="M1024" s="4">
        <f t="shared" si="157"/>
        <v>0</v>
      </c>
      <c r="N1024" s="4">
        <f t="shared" si="153"/>
        <v>-1</v>
      </c>
      <c r="O1024" s="4">
        <f t="shared" si="158"/>
        <v>2280.3000000000002</v>
      </c>
      <c r="P1024" s="4">
        <f t="shared" si="159"/>
        <v>0</v>
      </c>
    </row>
    <row r="1025" spans="1:16" x14ac:dyDescent="0.25">
      <c r="A1025" s="1">
        <v>42711</v>
      </c>
      <c r="B1025">
        <v>2222</v>
      </c>
      <c r="C1025">
        <v>2244.25</v>
      </c>
      <c r="D1025">
        <v>2190.8000000000002</v>
      </c>
      <c r="E1025" s="7">
        <v>2194.4499999999998</v>
      </c>
      <c r="F1025">
        <v>681240</v>
      </c>
      <c r="G1025" s="8">
        <f t="shared" si="150"/>
        <v>2209.8333333333335</v>
      </c>
      <c r="H1025" s="9">
        <f t="shared" si="151"/>
        <v>1505426860</v>
      </c>
      <c r="I1025" s="9">
        <f t="shared" si="154"/>
        <v>25270667227.033333</v>
      </c>
      <c r="J1025" s="9">
        <f t="shared" si="155"/>
        <v>11251253</v>
      </c>
      <c r="K1025" s="21">
        <f t="shared" si="156"/>
        <v>2246.0313733086737</v>
      </c>
      <c r="L1025" s="4" t="str">
        <f t="shared" si="152"/>
        <v>SELL</v>
      </c>
      <c r="M1025" s="4">
        <f t="shared" si="157"/>
        <v>0</v>
      </c>
      <c r="N1025" s="4">
        <f t="shared" si="153"/>
        <v>-1</v>
      </c>
      <c r="O1025" s="4">
        <f t="shared" si="158"/>
        <v>2280.3000000000002</v>
      </c>
      <c r="P1025" s="4">
        <f t="shared" si="159"/>
        <v>0</v>
      </c>
    </row>
    <row r="1026" spans="1:16" x14ac:dyDescent="0.25">
      <c r="A1026" s="1">
        <v>42712</v>
      </c>
      <c r="B1026">
        <v>2174</v>
      </c>
      <c r="C1026">
        <v>2175</v>
      </c>
      <c r="D1026">
        <v>2112.0500000000002</v>
      </c>
      <c r="E1026" s="7">
        <v>2151.35</v>
      </c>
      <c r="F1026">
        <v>1347083</v>
      </c>
      <c r="G1026" s="8">
        <f t="shared" ref="G1026:G1089" si="160">AVERAGE(C1026:E1026)</f>
        <v>2146.1333333333332</v>
      </c>
      <c r="H1026" s="9">
        <f t="shared" si="151"/>
        <v>2891019729.0666666</v>
      </c>
      <c r="I1026" s="9">
        <f t="shared" si="154"/>
        <v>24562355607.549995</v>
      </c>
      <c r="J1026" s="9">
        <f t="shared" si="155"/>
        <v>11032195</v>
      </c>
      <c r="K1026" s="21">
        <f t="shared" si="156"/>
        <v>2226.4250774709835</v>
      </c>
      <c r="L1026" s="4" t="str">
        <f t="shared" si="152"/>
        <v>SELL</v>
      </c>
      <c r="M1026" s="4">
        <f t="shared" si="157"/>
        <v>0</v>
      </c>
      <c r="N1026" s="4">
        <f t="shared" si="153"/>
        <v>-1</v>
      </c>
      <c r="O1026" s="4">
        <f t="shared" si="158"/>
        <v>2280.3000000000002</v>
      </c>
      <c r="P1026" s="4">
        <f t="shared" si="159"/>
        <v>0</v>
      </c>
    </row>
    <row r="1027" spans="1:16" x14ac:dyDescent="0.25">
      <c r="A1027" s="1">
        <v>42713</v>
      </c>
      <c r="B1027">
        <v>2163.8000000000002</v>
      </c>
      <c r="C1027">
        <v>2200</v>
      </c>
      <c r="D1027">
        <v>2140</v>
      </c>
      <c r="E1027" s="7">
        <v>2194.4</v>
      </c>
      <c r="F1027">
        <v>926825</v>
      </c>
      <c r="G1027" s="8">
        <f t="shared" si="160"/>
        <v>2178.1333333333332</v>
      </c>
      <c r="H1027" s="9">
        <f t="shared" ref="H1027:H1090" si="161">G1027*F1027</f>
        <v>2018748426.6666665</v>
      </c>
      <c r="I1027" s="9">
        <f t="shared" si="154"/>
        <v>23865296525.883335</v>
      </c>
      <c r="J1027" s="9">
        <f t="shared" si="155"/>
        <v>10767005</v>
      </c>
      <c r="K1027" s="21">
        <f t="shared" si="156"/>
        <v>2216.521356299485</v>
      </c>
      <c r="L1027" s="4" t="str">
        <f t="shared" si="152"/>
        <v>SELL</v>
      </c>
      <c r="M1027" s="4">
        <f t="shared" si="157"/>
        <v>0</v>
      </c>
      <c r="N1027" s="4">
        <f t="shared" si="153"/>
        <v>-1</v>
      </c>
      <c r="O1027" s="4">
        <f t="shared" si="158"/>
        <v>2280.3000000000002</v>
      </c>
      <c r="P1027" s="4">
        <f t="shared" si="159"/>
        <v>0</v>
      </c>
    </row>
    <row r="1028" spans="1:16" x14ac:dyDescent="0.25">
      <c r="A1028" s="1">
        <v>42716</v>
      </c>
      <c r="B1028">
        <v>2180</v>
      </c>
      <c r="C1028">
        <v>2189.9</v>
      </c>
      <c r="D1028">
        <v>2145</v>
      </c>
      <c r="E1028" s="7">
        <v>2175.25</v>
      </c>
      <c r="F1028">
        <v>961326</v>
      </c>
      <c r="G1028" s="8">
        <f t="shared" si="160"/>
        <v>2170.0499999999997</v>
      </c>
      <c r="H1028" s="9">
        <f t="shared" si="161"/>
        <v>2086125486.2999997</v>
      </c>
      <c r="I1028" s="9">
        <f t="shared" si="154"/>
        <v>23368034256.366669</v>
      </c>
      <c r="J1028" s="9">
        <f t="shared" si="155"/>
        <v>10582950</v>
      </c>
      <c r="K1028" s="21">
        <f t="shared" si="156"/>
        <v>2208.0832146392704</v>
      </c>
      <c r="L1028" s="4" t="str">
        <f t="shared" si="152"/>
        <v>SELL</v>
      </c>
      <c r="M1028" s="4">
        <f t="shared" si="157"/>
        <v>0</v>
      </c>
      <c r="N1028" s="4">
        <f t="shared" si="153"/>
        <v>-1</v>
      </c>
      <c r="O1028" s="4">
        <f t="shared" si="158"/>
        <v>2280.3000000000002</v>
      </c>
      <c r="P1028" s="4">
        <f t="shared" si="159"/>
        <v>0</v>
      </c>
    </row>
    <row r="1029" spans="1:16" x14ac:dyDescent="0.25">
      <c r="A1029" s="1">
        <v>42717</v>
      </c>
      <c r="B1029">
        <v>2190</v>
      </c>
      <c r="C1029">
        <v>2195</v>
      </c>
      <c r="D1029">
        <v>2131</v>
      </c>
      <c r="E1029" s="7">
        <v>2144.4</v>
      </c>
      <c r="F1029">
        <v>995456</v>
      </c>
      <c r="G1029" s="8">
        <f t="shared" si="160"/>
        <v>2156.7999999999997</v>
      </c>
      <c r="H1029" s="9">
        <f t="shared" si="161"/>
        <v>2146999500.7999997</v>
      </c>
      <c r="I1029" s="9">
        <f t="shared" si="154"/>
        <v>23428257505.716667</v>
      </c>
      <c r="J1029" s="9">
        <f t="shared" si="155"/>
        <v>10653273</v>
      </c>
      <c r="K1029" s="21">
        <f t="shared" si="156"/>
        <v>2199.1605308262228</v>
      </c>
      <c r="L1029" s="4" t="str">
        <f t="shared" si="152"/>
        <v>SELL</v>
      </c>
      <c r="M1029" s="4">
        <f t="shared" si="157"/>
        <v>0</v>
      </c>
      <c r="N1029" s="4">
        <f t="shared" si="153"/>
        <v>-1</v>
      </c>
      <c r="O1029" s="4">
        <f t="shared" si="158"/>
        <v>2280.3000000000002</v>
      </c>
      <c r="P1029" s="4">
        <f t="shared" si="159"/>
        <v>0</v>
      </c>
    </row>
    <row r="1030" spans="1:16" x14ac:dyDescent="0.25">
      <c r="A1030" s="1">
        <v>42718</v>
      </c>
      <c r="B1030">
        <v>2144</v>
      </c>
      <c r="C1030">
        <v>2144</v>
      </c>
      <c r="D1030">
        <v>2085.1</v>
      </c>
      <c r="E1030" s="7">
        <v>2093.5500000000002</v>
      </c>
      <c r="F1030">
        <v>2009635</v>
      </c>
      <c r="G1030" s="8">
        <f t="shared" si="160"/>
        <v>2107.5500000000002</v>
      </c>
      <c r="H1030" s="9">
        <f t="shared" si="161"/>
        <v>4235406244.2500005</v>
      </c>
      <c r="I1030" s="9">
        <f t="shared" si="154"/>
        <v>24831321296.366665</v>
      </c>
      <c r="J1030" s="9">
        <f t="shared" si="155"/>
        <v>11396434</v>
      </c>
      <c r="K1030" s="21">
        <f t="shared" si="156"/>
        <v>2178.8676437179092</v>
      </c>
      <c r="L1030" s="4" t="str">
        <f t="shared" si="152"/>
        <v>SELL</v>
      </c>
      <c r="M1030" s="4">
        <f t="shared" si="157"/>
        <v>0</v>
      </c>
      <c r="N1030" s="4">
        <f t="shared" si="153"/>
        <v>-1</v>
      </c>
      <c r="O1030" s="4">
        <f t="shared" si="158"/>
        <v>2280.3000000000002</v>
      </c>
      <c r="P1030" s="4">
        <f t="shared" si="159"/>
        <v>0</v>
      </c>
    </row>
    <row r="1031" spans="1:16" x14ac:dyDescent="0.25">
      <c r="A1031" s="1">
        <v>42719</v>
      </c>
      <c r="B1031">
        <v>2100</v>
      </c>
      <c r="C1031">
        <v>2126.5</v>
      </c>
      <c r="D1031">
        <v>2096</v>
      </c>
      <c r="E1031" s="7">
        <v>2101.6999999999998</v>
      </c>
      <c r="F1031">
        <v>1784393</v>
      </c>
      <c r="G1031" s="8">
        <f t="shared" si="160"/>
        <v>2108.0666666666666</v>
      </c>
      <c r="H1031" s="9">
        <f t="shared" si="161"/>
        <v>3761619403.5333333</v>
      </c>
      <c r="I1031" s="9">
        <f t="shared" si="154"/>
        <v>25428795275.599998</v>
      </c>
      <c r="J1031" s="9">
        <f t="shared" si="155"/>
        <v>11754744</v>
      </c>
      <c r="K1031" s="21">
        <f t="shared" si="156"/>
        <v>2163.2793768711595</v>
      </c>
      <c r="L1031" s="4" t="str">
        <f t="shared" si="152"/>
        <v>SELL</v>
      </c>
      <c r="M1031" s="4">
        <f t="shared" si="157"/>
        <v>0</v>
      </c>
      <c r="N1031" s="4">
        <f t="shared" si="153"/>
        <v>-1</v>
      </c>
      <c r="O1031" s="4">
        <f t="shared" si="158"/>
        <v>2280.3000000000002</v>
      </c>
      <c r="P1031" s="4">
        <f t="shared" si="159"/>
        <v>0</v>
      </c>
    </row>
    <row r="1032" spans="1:16" x14ac:dyDescent="0.25">
      <c r="A1032" s="1">
        <v>42720</v>
      </c>
      <c r="B1032">
        <v>2118</v>
      </c>
      <c r="C1032">
        <v>2123.6</v>
      </c>
      <c r="D1032">
        <v>2095</v>
      </c>
      <c r="E1032" s="7">
        <v>2105.4499999999998</v>
      </c>
      <c r="F1032">
        <v>1537174</v>
      </c>
      <c r="G1032" s="8">
        <f t="shared" si="160"/>
        <v>2108.0166666666669</v>
      </c>
      <c r="H1032" s="9">
        <f t="shared" si="161"/>
        <v>3240388411.5666671</v>
      </c>
      <c r="I1032" s="9">
        <f t="shared" si="154"/>
        <v>26785790993.033333</v>
      </c>
      <c r="J1032" s="9">
        <f t="shared" si="155"/>
        <v>12442880</v>
      </c>
      <c r="K1032" s="21">
        <f t="shared" si="156"/>
        <v>2152.7002585441096</v>
      </c>
      <c r="L1032" s="4" t="str">
        <f t="shared" si="152"/>
        <v>SELL</v>
      </c>
      <c r="M1032" s="4">
        <f t="shared" si="157"/>
        <v>0</v>
      </c>
      <c r="N1032" s="4">
        <f t="shared" si="153"/>
        <v>-1</v>
      </c>
      <c r="O1032" s="4">
        <f t="shared" si="158"/>
        <v>2280.3000000000002</v>
      </c>
      <c r="P1032" s="4">
        <f t="shared" si="159"/>
        <v>0</v>
      </c>
    </row>
    <row r="1033" spans="1:16" x14ac:dyDescent="0.25">
      <c r="A1033" s="1">
        <v>42723</v>
      </c>
      <c r="B1033">
        <v>2107</v>
      </c>
      <c r="C1033">
        <v>2138.4</v>
      </c>
      <c r="D1033">
        <v>2096.5</v>
      </c>
      <c r="E1033" s="7">
        <v>2133.75</v>
      </c>
      <c r="F1033">
        <v>1047175</v>
      </c>
      <c r="G1033" s="8">
        <f t="shared" si="160"/>
        <v>2122.8833333333332</v>
      </c>
      <c r="H1033" s="9">
        <f t="shared" si="161"/>
        <v>2223030354.583333</v>
      </c>
      <c r="I1033" s="9">
        <f t="shared" si="154"/>
        <v>26548214072.616665</v>
      </c>
      <c r="J1033" s="9">
        <f t="shared" si="155"/>
        <v>12377430</v>
      </c>
      <c r="K1033" s="21">
        <f t="shared" si="156"/>
        <v>2144.8890498768051</v>
      </c>
      <c r="L1033" s="4" t="str">
        <f t="shared" si="152"/>
        <v>SELL</v>
      </c>
      <c r="M1033" s="4">
        <f t="shared" si="157"/>
        <v>0</v>
      </c>
      <c r="N1033" s="4">
        <f t="shared" si="153"/>
        <v>-1</v>
      </c>
      <c r="O1033" s="4">
        <f t="shared" si="158"/>
        <v>2280.3000000000002</v>
      </c>
      <c r="P1033" s="4">
        <f t="shared" si="159"/>
        <v>0</v>
      </c>
    </row>
    <row r="1034" spans="1:16" x14ac:dyDescent="0.25">
      <c r="A1034" s="1">
        <v>42724</v>
      </c>
      <c r="B1034">
        <v>2137.9</v>
      </c>
      <c r="C1034">
        <v>2184.75</v>
      </c>
      <c r="D1034">
        <v>2128.1</v>
      </c>
      <c r="E1034" s="7">
        <v>2167.9</v>
      </c>
      <c r="F1034">
        <v>955031</v>
      </c>
      <c r="G1034" s="8">
        <f t="shared" si="160"/>
        <v>2160.25</v>
      </c>
      <c r="H1034" s="9">
        <f t="shared" si="161"/>
        <v>2063105717.75</v>
      </c>
      <c r="I1034" s="9">
        <f t="shared" si="154"/>
        <v>26171870134.516663</v>
      </c>
      <c r="J1034" s="9">
        <f t="shared" si="155"/>
        <v>12245338</v>
      </c>
      <c r="K1034" s="21">
        <f t="shared" si="156"/>
        <v>2137.2925871475873</v>
      </c>
      <c r="L1034" s="4" t="str">
        <f t="shared" si="152"/>
        <v>BUY</v>
      </c>
      <c r="M1034" s="4" t="str">
        <f t="shared" si="157"/>
        <v>BUY</v>
      </c>
      <c r="N1034" s="4">
        <f t="shared" si="153"/>
        <v>1</v>
      </c>
      <c r="O1034" s="4">
        <f t="shared" si="158"/>
        <v>2167.9</v>
      </c>
      <c r="P1034" s="4">
        <f t="shared" si="159"/>
        <v>4.9291759856159315E-2</v>
      </c>
    </row>
    <row r="1035" spans="1:16" x14ac:dyDescent="0.25">
      <c r="A1035" s="1">
        <v>42725</v>
      </c>
      <c r="B1035">
        <v>2160</v>
      </c>
      <c r="C1035">
        <v>2186</v>
      </c>
      <c r="D1035">
        <v>2147.1999999999998</v>
      </c>
      <c r="E1035" s="7">
        <v>2165.4</v>
      </c>
      <c r="F1035">
        <v>835197</v>
      </c>
      <c r="G1035" s="8">
        <f t="shared" si="160"/>
        <v>2166.2000000000003</v>
      </c>
      <c r="H1035" s="9">
        <f t="shared" si="161"/>
        <v>1809203741.4000003</v>
      </c>
      <c r="I1035" s="9">
        <f t="shared" si="154"/>
        <v>26475647015.916664</v>
      </c>
      <c r="J1035" s="9">
        <f t="shared" si="155"/>
        <v>12399295</v>
      </c>
      <c r="K1035" s="21">
        <f t="shared" si="156"/>
        <v>2135.2542233987224</v>
      </c>
      <c r="L1035" s="4" t="str">
        <f t="shared" ref="L1035:L1098" si="162">IF(E1035&gt;K1035,"BUY",IF(E1035&lt;K1035,"SELL",0))</f>
        <v>BUY</v>
      </c>
      <c r="M1035" s="4">
        <f t="shared" si="157"/>
        <v>0</v>
      </c>
      <c r="N1035" s="4">
        <f t="shared" ref="N1035:N1098" si="163">IF(M1035="BUY",1,IF(M1035="SELL",-1,N1034))</f>
        <v>1</v>
      </c>
      <c r="O1035" s="4">
        <f t="shared" si="158"/>
        <v>2167.9</v>
      </c>
      <c r="P1035" s="4">
        <f t="shared" si="159"/>
        <v>0</v>
      </c>
    </row>
    <row r="1036" spans="1:16" x14ac:dyDescent="0.25">
      <c r="A1036" s="1">
        <v>42726</v>
      </c>
      <c r="B1036">
        <v>2165</v>
      </c>
      <c r="C1036">
        <v>2191</v>
      </c>
      <c r="D1036">
        <v>2155.85</v>
      </c>
      <c r="E1036" s="7">
        <v>2166</v>
      </c>
      <c r="F1036">
        <v>763458</v>
      </c>
      <c r="G1036" s="8">
        <f t="shared" si="160"/>
        <v>2170.9500000000003</v>
      </c>
      <c r="H1036" s="9">
        <f t="shared" si="161"/>
        <v>1657429145.1000001</v>
      </c>
      <c r="I1036" s="9">
        <f t="shared" ref="I1036:I1099" si="164">SUM(H1027:H1036)</f>
        <v>25242056431.949997</v>
      </c>
      <c r="J1036" s="9">
        <f t="shared" ref="J1036:J1099" si="165">SUM(F1027:F1036)</f>
        <v>11815670</v>
      </c>
      <c r="K1036" s="21">
        <f t="shared" ref="K1036:K1099" si="166">I1036/J1036</f>
        <v>2136.3203637161496</v>
      </c>
      <c r="L1036" s="4" t="str">
        <f t="shared" si="162"/>
        <v>BUY</v>
      </c>
      <c r="M1036" s="4">
        <f t="shared" ref="M1036:M1099" si="167">IF(L1036&lt;&gt;L1035,L1036,0)</f>
        <v>0</v>
      </c>
      <c r="N1036" s="4">
        <f t="shared" si="163"/>
        <v>1</v>
      </c>
      <c r="O1036" s="4">
        <f t="shared" ref="O1036:O1099" si="168">IF(M1036&lt;&gt;0,E1036,O1035)</f>
        <v>2167.9</v>
      </c>
      <c r="P1036" s="4">
        <f t="shared" ref="P1036:P1099" si="169">IF(M1036="BUY",(O1035-O1036)/O1035,IF(M1036="SELL",(O1036-O1035)/O1035,0))</f>
        <v>0</v>
      </c>
    </row>
    <row r="1037" spans="1:16" x14ac:dyDescent="0.25">
      <c r="A1037" s="1">
        <v>42727</v>
      </c>
      <c r="B1037">
        <v>2170</v>
      </c>
      <c r="C1037">
        <v>2215</v>
      </c>
      <c r="D1037">
        <v>2162.25</v>
      </c>
      <c r="E1037" s="7">
        <v>2197.9499999999998</v>
      </c>
      <c r="F1037">
        <v>536459</v>
      </c>
      <c r="G1037" s="8">
        <f t="shared" si="160"/>
        <v>2191.7333333333331</v>
      </c>
      <c r="H1037" s="9">
        <f t="shared" si="161"/>
        <v>1175775072.2666667</v>
      </c>
      <c r="I1037" s="9">
        <f t="shared" si="164"/>
        <v>24399083077.549999</v>
      </c>
      <c r="J1037" s="9">
        <f t="shared" si="165"/>
        <v>11425304</v>
      </c>
      <c r="K1037" s="21">
        <f t="shared" si="166"/>
        <v>2135.5303174033706</v>
      </c>
      <c r="L1037" s="4" t="str">
        <f t="shared" si="162"/>
        <v>BUY</v>
      </c>
      <c r="M1037" s="4">
        <f t="shared" si="167"/>
        <v>0</v>
      </c>
      <c r="N1037" s="4">
        <f t="shared" si="163"/>
        <v>1</v>
      </c>
      <c r="O1037" s="4">
        <f t="shared" si="168"/>
        <v>2167.9</v>
      </c>
      <c r="P1037" s="4">
        <f t="shared" si="169"/>
        <v>0</v>
      </c>
    </row>
    <row r="1038" spans="1:16" x14ac:dyDescent="0.25">
      <c r="A1038" s="1">
        <v>42730</v>
      </c>
      <c r="B1038">
        <v>2206</v>
      </c>
      <c r="C1038">
        <v>2222</v>
      </c>
      <c r="D1038">
        <v>2182.8000000000002</v>
      </c>
      <c r="E1038" s="7">
        <v>2189.35</v>
      </c>
      <c r="F1038">
        <v>793962</v>
      </c>
      <c r="G1038" s="8">
        <f t="shared" si="160"/>
        <v>2198.0499999999997</v>
      </c>
      <c r="H1038" s="9">
        <f t="shared" si="161"/>
        <v>1745168174.0999997</v>
      </c>
      <c r="I1038" s="9">
        <f t="shared" si="164"/>
        <v>24058125765.349998</v>
      </c>
      <c r="J1038" s="9">
        <f t="shared" si="165"/>
        <v>11257940</v>
      </c>
      <c r="K1038" s="21">
        <f t="shared" si="166"/>
        <v>2136.9918266885416</v>
      </c>
      <c r="L1038" s="4" t="str">
        <f t="shared" si="162"/>
        <v>BUY</v>
      </c>
      <c r="M1038" s="4">
        <f t="shared" si="167"/>
        <v>0</v>
      </c>
      <c r="N1038" s="4">
        <f t="shared" si="163"/>
        <v>1</v>
      </c>
      <c r="O1038" s="4">
        <f t="shared" si="168"/>
        <v>2167.9</v>
      </c>
      <c r="P1038" s="4">
        <f t="shared" si="169"/>
        <v>0</v>
      </c>
    </row>
    <row r="1039" spans="1:16" x14ac:dyDescent="0.25">
      <c r="A1039" s="1">
        <v>42731</v>
      </c>
      <c r="B1039">
        <v>2198</v>
      </c>
      <c r="C1039">
        <v>2213</v>
      </c>
      <c r="D1039">
        <v>2190.75</v>
      </c>
      <c r="E1039" s="7">
        <v>2205.6999999999998</v>
      </c>
      <c r="F1039">
        <v>858930</v>
      </c>
      <c r="G1039" s="8">
        <f t="shared" si="160"/>
        <v>2203.15</v>
      </c>
      <c r="H1039" s="9">
        <f t="shared" si="161"/>
        <v>1892351629.5</v>
      </c>
      <c r="I1039" s="9">
        <f t="shared" si="164"/>
        <v>23803477894.049999</v>
      </c>
      <c r="J1039" s="9">
        <f t="shared" si="165"/>
        <v>11121414</v>
      </c>
      <c r="K1039" s="21">
        <f t="shared" si="166"/>
        <v>2140.3283695805226</v>
      </c>
      <c r="L1039" s="4" t="str">
        <f t="shared" si="162"/>
        <v>BUY</v>
      </c>
      <c r="M1039" s="4">
        <f t="shared" si="167"/>
        <v>0</v>
      </c>
      <c r="N1039" s="4">
        <f t="shared" si="163"/>
        <v>1</v>
      </c>
      <c r="O1039" s="4">
        <f t="shared" si="168"/>
        <v>2167.9</v>
      </c>
      <c r="P1039" s="4">
        <f t="shared" si="169"/>
        <v>0</v>
      </c>
    </row>
    <row r="1040" spans="1:16" x14ac:dyDescent="0.25">
      <c r="A1040" s="1">
        <v>42732</v>
      </c>
      <c r="B1040">
        <v>2204</v>
      </c>
      <c r="C1040">
        <v>2205.25</v>
      </c>
      <c r="D1040">
        <v>2170.1</v>
      </c>
      <c r="E1040" s="7">
        <v>2177.9</v>
      </c>
      <c r="F1040">
        <v>1225212</v>
      </c>
      <c r="G1040" s="8">
        <f t="shared" si="160"/>
        <v>2184.4166666666665</v>
      </c>
      <c r="H1040" s="9">
        <f t="shared" si="161"/>
        <v>2676373513</v>
      </c>
      <c r="I1040" s="9">
        <f t="shared" si="164"/>
        <v>22244445162.799999</v>
      </c>
      <c r="J1040" s="9">
        <f t="shared" si="165"/>
        <v>10336991</v>
      </c>
      <c r="K1040" s="21">
        <f t="shared" si="166"/>
        <v>2151.9265289870136</v>
      </c>
      <c r="L1040" s="4" t="str">
        <f t="shared" si="162"/>
        <v>BUY</v>
      </c>
      <c r="M1040" s="4">
        <f t="shared" si="167"/>
        <v>0</v>
      </c>
      <c r="N1040" s="4">
        <f t="shared" si="163"/>
        <v>1</v>
      </c>
      <c r="O1040" s="4">
        <f t="shared" si="168"/>
        <v>2167.9</v>
      </c>
      <c r="P1040" s="4">
        <f t="shared" si="169"/>
        <v>0</v>
      </c>
    </row>
    <row r="1041" spans="1:16" x14ac:dyDescent="0.25">
      <c r="A1041" s="1">
        <v>42733</v>
      </c>
      <c r="B1041">
        <v>2189</v>
      </c>
      <c r="C1041">
        <v>2199.5</v>
      </c>
      <c r="D1041">
        <v>2180</v>
      </c>
      <c r="E1041" s="7">
        <v>2188.9</v>
      </c>
      <c r="F1041">
        <v>1652687</v>
      </c>
      <c r="G1041" s="8">
        <f t="shared" si="160"/>
        <v>2189.4666666666667</v>
      </c>
      <c r="H1041" s="9">
        <f t="shared" si="161"/>
        <v>3618503096.9333334</v>
      </c>
      <c r="I1041" s="9">
        <f t="shared" si="164"/>
        <v>22101328856.200001</v>
      </c>
      <c r="J1041" s="9">
        <f t="shared" si="165"/>
        <v>10205285</v>
      </c>
      <c r="K1041" s="21">
        <f t="shared" si="166"/>
        <v>2165.674829874913</v>
      </c>
      <c r="L1041" s="4" t="str">
        <f t="shared" si="162"/>
        <v>BUY</v>
      </c>
      <c r="M1041" s="4">
        <f t="shared" si="167"/>
        <v>0</v>
      </c>
      <c r="N1041" s="4">
        <f t="shared" si="163"/>
        <v>1</v>
      </c>
      <c r="O1041" s="4">
        <f t="shared" si="168"/>
        <v>2167.9</v>
      </c>
      <c r="P1041" s="4">
        <f t="shared" si="169"/>
        <v>0</v>
      </c>
    </row>
    <row r="1042" spans="1:16" x14ac:dyDescent="0.25">
      <c r="A1042" s="1">
        <v>42734</v>
      </c>
      <c r="B1042">
        <v>2194</v>
      </c>
      <c r="C1042">
        <v>2195</v>
      </c>
      <c r="D1042">
        <v>2177.15</v>
      </c>
      <c r="E1042" s="7">
        <v>2182.15</v>
      </c>
      <c r="F1042">
        <v>1929856</v>
      </c>
      <c r="G1042" s="8">
        <f t="shared" si="160"/>
        <v>2184.7666666666664</v>
      </c>
      <c r="H1042" s="9">
        <f t="shared" si="161"/>
        <v>4216285060.2666664</v>
      </c>
      <c r="I1042" s="9">
        <f t="shared" si="164"/>
        <v>23077225504.900002</v>
      </c>
      <c r="J1042" s="9">
        <f t="shared" si="165"/>
        <v>10597967</v>
      </c>
      <c r="K1042" s="21">
        <f t="shared" si="166"/>
        <v>2177.5143765686385</v>
      </c>
      <c r="L1042" s="4" t="str">
        <f t="shared" si="162"/>
        <v>BUY</v>
      </c>
      <c r="M1042" s="4">
        <f t="shared" si="167"/>
        <v>0</v>
      </c>
      <c r="N1042" s="4">
        <f t="shared" si="163"/>
        <v>1</v>
      </c>
      <c r="O1042" s="4">
        <f t="shared" si="168"/>
        <v>2167.9</v>
      </c>
      <c r="P1042" s="4">
        <f t="shared" si="169"/>
        <v>0</v>
      </c>
    </row>
    <row r="1043" spans="1:16" x14ac:dyDescent="0.25">
      <c r="A1043" s="1">
        <v>42737</v>
      </c>
      <c r="B1043">
        <v>2161</v>
      </c>
      <c r="C1043">
        <v>2280</v>
      </c>
      <c r="D1043">
        <v>2160.15</v>
      </c>
      <c r="E1043" s="7">
        <v>2275.75</v>
      </c>
      <c r="F1043">
        <v>1994096</v>
      </c>
      <c r="G1043" s="8">
        <f t="shared" si="160"/>
        <v>2238.6333333333332</v>
      </c>
      <c r="H1043" s="9">
        <f t="shared" si="161"/>
        <v>4464049775.4666662</v>
      </c>
      <c r="I1043" s="9">
        <f t="shared" si="164"/>
        <v>25318244925.783333</v>
      </c>
      <c r="J1043" s="9">
        <f t="shared" si="165"/>
        <v>11544888</v>
      </c>
      <c r="K1043" s="21">
        <f t="shared" si="166"/>
        <v>2193.0264655476376</v>
      </c>
      <c r="L1043" s="4" t="str">
        <f t="shared" si="162"/>
        <v>BUY</v>
      </c>
      <c r="M1043" s="4">
        <f t="shared" si="167"/>
        <v>0</v>
      </c>
      <c r="N1043" s="4">
        <f t="shared" si="163"/>
        <v>1</v>
      </c>
      <c r="O1043" s="4">
        <f t="shared" si="168"/>
        <v>2167.9</v>
      </c>
      <c r="P1043" s="4">
        <f t="shared" si="169"/>
        <v>0</v>
      </c>
    </row>
    <row r="1044" spans="1:16" x14ac:dyDescent="0.25">
      <c r="A1044" s="1">
        <v>42738</v>
      </c>
      <c r="B1044">
        <v>2271.8000000000002</v>
      </c>
      <c r="C1044">
        <v>2299</v>
      </c>
      <c r="D1044">
        <v>2228</v>
      </c>
      <c r="E1044" s="7">
        <v>2240.0500000000002</v>
      </c>
      <c r="F1044">
        <v>803039</v>
      </c>
      <c r="G1044" s="8">
        <f t="shared" si="160"/>
        <v>2255.6833333333334</v>
      </c>
      <c r="H1044" s="9">
        <f t="shared" si="161"/>
        <v>1811401688.3166666</v>
      </c>
      <c r="I1044" s="9">
        <f t="shared" si="164"/>
        <v>25066540896.349998</v>
      </c>
      <c r="J1044" s="9">
        <f t="shared" si="165"/>
        <v>11392896</v>
      </c>
      <c r="K1044" s="21">
        <f t="shared" si="166"/>
        <v>2200.1904429172355</v>
      </c>
      <c r="L1044" s="4" t="str">
        <f t="shared" si="162"/>
        <v>BUY</v>
      </c>
      <c r="M1044" s="4">
        <f t="shared" si="167"/>
        <v>0</v>
      </c>
      <c r="N1044" s="4">
        <f t="shared" si="163"/>
        <v>1</v>
      </c>
      <c r="O1044" s="4">
        <f t="shared" si="168"/>
        <v>2167.9</v>
      </c>
      <c r="P1044" s="4">
        <f t="shared" si="169"/>
        <v>0</v>
      </c>
    </row>
    <row r="1045" spans="1:16" x14ac:dyDescent="0.25">
      <c r="A1045" s="1">
        <v>42739</v>
      </c>
      <c r="B1045">
        <v>2233.1999999999998</v>
      </c>
      <c r="C1045">
        <v>2254</v>
      </c>
      <c r="D1045">
        <v>2224</v>
      </c>
      <c r="E1045" s="7">
        <v>2240.65</v>
      </c>
      <c r="F1045">
        <v>1015166</v>
      </c>
      <c r="G1045" s="8">
        <f t="shared" si="160"/>
        <v>2239.5499999999997</v>
      </c>
      <c r="H1045" s="9">
        <f t="shared" si="161"/>
        <v>2273515015.2999997</v>
      </c>
      <c r="I1045" s="9">
        <f t="shared" si="164"/>
        <v>25530852170.25</v>
      </c>
      <c r="J1045" s="9">
        <f t="shared" si="165"/>
        <v>11572865</v>
      </c>
      <c r="K1045" s="21">
        <f t="shared" si="166"/>
        <v>2206.0960851310369</v>
      </c>
      <c r="L1045" s="4" t="str">
        <f t="shared" si="162"/>
        <v>BUY</v>
      </c>
      <c r="M1045" s="4">
        <f t="shared" si="167"/>
        <v>0</v>
      </c>
      <c r="N1045" s="4">
        <f t="shared" si="163"/>
        <v>1</v>
      </c>
      <c r="O1045" s="4">
        <f t="shared" si="168"/>
        <v>2167.9</v>
      </c>
      <c r="P1045" s="4">
        <f t="shared" si="169"/>
        <v>0</v>
      </c>
    </row>
    <row r="1046" spans="1:16" x14ac:dyDescent="0.25">
      <c r="A1046" s="1">
        <v>42740</v>
      </c>
      <c r="B1046">
        <v>2254.85</v>
      </c>
      <c r="C1046">
        <v>2286.25</v>
      </c>
      <c r="D1046">
        <v>2242.5500000000002</v>
      </c>
      <c r="E1046" s="7">
        <v>2251.9</v>
      </c>
      <c r="F1046">
        <v>1151003</v>
      </c>
      <c r="G1046" s="8">
        <f t="shared" si="160"/>
        <v>2260.2333333333336</v>
      </c>
      <c r="H1046" s="9">
        <f t="shared" si="161"/>
        <v>2601535347.3666668</v>
      </c>
      <c r="I1046" s="9">
        <f t="shared" si="164"/>
        <v>26474958372.516663</v>
      </c>
      <c r="J1046" s="9">
        <f t="shared" si="165"/>
        <v>11960410</v>
      </c>
      <c r="K1046" s="21">
        <f t="shared" si="166"/>
        <v>2213.5493994366966</v>
      </c>
      <c r="L1046" s="4" t="str">
        <f t="shared" si="162"/>
        <v>BUY</v>
      </c>
      <c r="M1046" s="4">
        <f t="shared" si="167"/>
        <v>0</v>
      </c>
      <c r="N1046" s="4">
        <f t="shared" si="163"/>
        <v>1</v>
      </c>
      <c r="O1046" s="4">
        <f t="shared" si="168"/>
        <v>2167.9</v>
      </c>
      <c r="P1046" s="4">
        <f t="shared" si="169"/>
        <v>0</v>
      </c>
    </row>
    <row r="1047" spans="1:16" x14ac:dyDescent="0.25">
      <c r="A1047" s="1">
        <v>42741</v>
      </c>
      <c r="B1047">
        <v>2252.85</v>
      </c>
      <c r="C1047">
        <v>2260</v>
      </c>
      <c r="D1047">
        <v>2232.15</v>
      </c>
      <c r="E1047" s="7">
        <v>2240.75</v>
      </c>
      <c r="F1047">
        <v>657281</v>
      </c>
      <c r="G1047" s="8">
        <f t="shared" si="160"/>
        <v>2244.2999999999997</v>
      </c>
      <c r="H1047" s="9">
        <f t="shared" si="161"/>
        <v>1475135748.2999997</v>
      </c>
      <c r="I1047" s="9">
        <f t="shared" si="164"/>
        <v>26774319048.549999</v>
      </c>
      <c r="J1047" s="9">
        <f t="shared" si="165"/>
        <v>12081232</v>
      </c>
      <c r="K1047" s="21">
        <f t="shared" si="166"/>
        <v>2216.1911176401545</v>
      </c>
      <c r="L1047" s="4" t="str">
        <f t="shared" si="162"/>
        <v>BUY</v>
      </c>
      <c r="M1047" s="4">
        <f t="shared" si="167"/>
        <v>0</v>
      </c>
      <c r="N1047" s="4">
        <f t="shared" si="163"/>
        <v>1</v>
      </c>
      <c r="O1047" s="4">
        <f t="shared" si="168"/>
        <v>2167.9</v>
      </c>
      <c r="P1047" s="4">
        <f t="shared" si="169"/>
        <v>0</v>
      </c>
    </row>
    <row r="1048" spans="1:16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 s="7">
        <v>2228.5</v>
      </c>
      <c r="F1048">
        <v>2349236</v>
      </c>
      <c r="G1048" s="8">
        <f t="shared" si="160"/>
        <v>2210.4500000000003</v>
      </c>
      <c r="H1048" s="9">
        <f t="shared" si="161"/>
        <v>5192868716.2000008</v>
      </c>
      <c r="I1048" s="9">
        <f t="shared" si="164"/>
        <v>30222019590.650002</v>
      </c>
      <c r="J1048" s="9">
        <f t="shared" si="165"/>
        <v>13636506</v>
      </c>
      <c r="K1048" s="21">
        <f t="shared" si="166"/>
        <v>2216.258298911026</v>
      </c>
      <c r="L1048" s="4" t="str">
        <f t="shared" si="162"/>
        <v>BUY</v>
      </c>
      <c r="M1048" s="4">
        <f t="shared" si="167"/>
        <v>0</v>
      </c>
      <c r="N1048" s="4">
        <f t="shared" si="163"/>
        <v>1</v>
      </c>
      <c r="O1048" s="4">
        <f t="shared" si="168"/>
        <v>2167.9</v>
      </c>
      <c r="P1048" s="4">
        <f t="shared" si="169"/>
        <v>0</v>
      </c>
    </row>
    <row r="1049" spans="1:16" x14ac:dyDescent="0.25">
      <c r="A1049" s="1">
        <v>42745</v>
      </c>
      <c r="B1049">
        <v>2228.1</v>
      </c>
      <c r="C1049">
        <v>2228.5</v>
      </c>
      <c r="D1049">
        <v>2135</v>
      </c>
      <c r="E1049" s="7">
        <v>2142.65</v>
      </c>
      <c r="F1049">
        <v>1914884</v>
      </c>
      <c r="G1049" s="8">
        <f t="shared" si="160"/>
        <v>2168.7166666666667</v>
      </c>
      <c r="H1049" s="9">
        <f t="shared" si="161"/>
        <v>4152840845.5333333</v>
      </c>
      <c r="I1049" s="9">
        <f t="shared" si="164"/>
        <v>32482508806.683334</v>
      </c>
      <c r="J1049" s="9">
        <f t="shared" si="165"/>
        <v>14692460</v>
      </c>
      <c r="K1049" s="21">
        <f t="shared" si="166"/>
        <v>2210.8284662121478</v>
      </c>
      <c r="L1049" s="4" t="str">
        <f t="shared" si="162"/>
        <v>SELL</v>
      </c>
      <c r="M1049" s="4" t="str">
        <f t="shared" si="167"/>
        <v>SELL</v>
      </c>
      <c r="N1049" s="4">
        <f t="shared" si="163"/>
        <v>-1</v>
      </c>
      <c r="O1049" s="4">
        <f t="shared" si="168"/>
        <v>2142.65</v>
      </c>
      <c r="P1049" s="4">
        <f t="shared" si="169"/>
        <v>-1.1647216200009225E-2</v>
      </c>
    </row>
    <row r="1050" spans="1:16" x14ac:dyDescent="0.25">
      <c r="A1050" s="1">
        <v>42746</v>
      </c>
      <c r="B1050">
        <v>2155</v>
      </c>
      <c r="C1050">
        <v>2177.65</v>
      </c>
      <c r="D1050">
        <v>2122</v>
      </c>
      <c r="E1050" s="7">
        <v>2151.65</v>
      </c>
      <c r="F1050">
        <v>1275127</v>
      </c>
      <c r="G1050" s="8">
        <f t="shared" si="160"/>
        <v>2150.4333333333329</v>
      </c>
      <c r="H1050" s="9">
        <f t="shared" si="161"/>
        <v>2742075605.0333328</v>
      </c>
      <c r="I1050" s="9">
        <f t="shared" si="164"/>
        <v>32548210898.716667</v>
      </c>
      <c r="J1050" s="9">
        <f t="shared" si="165"/>
        <v>14742375</v>
      </c>
      <c r="K1050" s="21">
        <f t="shared" si="166"/>
        <v>2207.7996861914494</v>
      </c>
      <c r="L1050" s="4" t="str">
        <f t="shared" si="162"/>
        <v>SELL</v>
      </c>
      <c r="M1050" s="4">
        <f t="shared" si="167"/>
        <v>0</v>
      </c>
      <c r="N1050" s="4">
        <f t="shared" si="163"/>
        <v>-1</v>
      </c>
      <c r="O1050" s="4">
        <f t="shared" si="168"/>
        <v>2142.65</v>
      </c>
      <c r="P1050" s="4">
        <f t="shared" si="169"/>
        <v>0</v>
      </c>
    </row>
    <row r="1051" spans="1:16" x14ac:dyDescent="0.25">
      <c r="A1051" s="1">
        <v>42747</v>
      </c>
      <c r="B1051">
        <v>2153</v>
      </c>
      <c r="C1051">
        <v>2189.75</v>
      </c>
      <c r="D1051">
        <v>2153</v>
      </c>
      <c r="E1051" s="7">
        <v>2179.4499999999998</v>
      </c>
      <c r="F1051">
        <v>834894</v>
      </c>
      <c r="G1051" s="8">
        <f t="shared" si="160"/>
        <v>2174.0666666666666</v>
      </c>
      <c r="H1051" s="9">
        <f t="shared" si="161"/>
        <v>1815115215.5999999</v>
      </c>
      <c r="I1051" s="9">
        <f t="shared" si="164"/>
        <v>30744823017.383331</v>
      </c>
      <c r="J1051" s="9">
        <f t="shared" si="165"/>
        <v>13924582</v>
      </c>
      <c r="K1051" s="21">
        <f t="shared" si="166"/>
        <v>2207.9530299281755</v>
      </c>
      <c r="L1051" s="4" t="str">
        <f t="shared" si="162"/>
        <v>SELL</v>
      </c>
      <c r="M1051" s="4">
        <f t="shared" si="167"/>
        <v>0</v>
      </c>
      <c r="N1051" s="4">
        <f t="shared" si="163"/>
        <v>-1</v>
      </c>
      <c r="O1051" s="4">
        <f t="shared" si="168"/>
        <v>2142.65</v>
      </c>
      <c r="P1051" s="4">
        <f t="shared" si="169"/>
        <v>0</v>
      </c>
    </row>
    <row r="1052" spans="1:16" x14ac:dyDescent="0.25">
      <c r="A1052" s="1">
        <v>42748</v>
      </c>
      <c r="B1052">
        <v>2148.0500000000002</v>
      </c>
      <c r="C1052">
        <v>2202</v>
      </c>
      <c r="D1052">
        <v>2136.85</v>
      </c>
      <c r="E1052" s="7">
        <v>2149.5500000000002</v>
      </c>
      <c r="F1052">
        <v>1009942</v>
      </c>
      <c r="G1052" s="8">
        <f t="shared" si="160"/>
        <v>2162.8000000000002</v>
      </c>
      <c r="H1052" s="9">
        <f t="shared" si="161"/>
        <v>2184302557.6000004</v>
      </c>
      <c r="I1052" s="9">
        <f t="shared" si="164"/>
        <v>28712840514.71666</v>
      </c>
      <c r="J1052" s="9">
        <f t="shared" si="165"/>
        <v>13004668</v>
      </c>
      <c r="K1052" s="21">
        <f t="shared" si="166"/>
        <v>2207.8872382375821</v>
      </c>
      <c r="L1052" s="4" t="str">
        <f t="shared" si="162"/>
        <v>SELL</v>
      </c>
      <c r="M1052" s="4">
        <f t="shared" si="167"/>
        <v>0</v>
      </c>
      <c r="N1052" s="4">
        <f t="shared" si="163"/>
        <v>-1</v>
      </c>
      <c r="O1052" s="4">
        <f t="shared" si="168"/>
        <v>2142.65</v>
      </c>
      <c r="P1052" s="4">
        <f t="shared" si="169"/>
        <v>0</v>
      </c>
    </row>
    <row r="1053" spans="1:16" x14ac:dyDescent="0.25">
      <c r="A1053" s="1">
        <v>42751</v>
      </c>
      <c r="B1053">
        <v>2141</v>
      </c>
      <c r="C1053">
        <v>2160.5</v>
      </c>
      <c r="D1053">
        <v>2124.3000000000002</v>
      </c>
      <c r="E1053" s="7">
        <v>2139.5500000000002</v>
      </c>
      <c r="F1053">
        <v>1080623</v>
      </c>
      <c r="G1053" s="8">
        <f t="shared" si="160"/>
        <v>2141.4500000000003</v>
      </c>
      <c r="H1053" s="9">
        <f t="shared" si="161"/>
        <v>2314100123.3500004</v>
      </c>
      <c r="I1053" s="9">
        <f t="shared" si="164"/>
        <v>26562890862.599998</v>
      </c>
      <c r="J1053" s="9">
        <f t="shared" si="165"/>
        <v>12091195</v>
      </c>
      <c r="K1053" s="21">
        <f t="shared" si="166"/>
        <v>2196.8788744702238</v>
      </c>
      <c r="L1053" s="4" t="str">
        <f t="shared" si="162"/>
        <v>SELL</v>
      </c>
      <c r="M1053" s="4">
        <f t="shared" si="167"/>
        <v>0</v>
      </c>
      <c r="N1053" s="4">
        <f t="shared" si="163"/>
        <v>-1</v>
      </c>
      <c r="O1053" s="4">
        <f t="shared" si="168"/>
        <v>2142.65</v>
      </c>
      <c r="P1053" s="4">
        <f t="shared" si="169"/>
        <v>0</v>
      </c>
    </row>
    <row r="1054" spans="1:16" x14ac:dyDescent="0.25">
      <c r="A1054" s="1">
        <v>42752</v>
      </c>
      <c r="B1054">
        <v>2135.5</v>
      </c>
      <c r="C1054">
        <v>2151.8000000000002</v>
      </c>
      <c r="D1054">
        <v>2104.25</v>
      </c>
      <c r="E1054" s="7">
        <v>2122</v>
      </c>
      <c r="F1054">
        <v>1282921</v>
      </c>
      <c r="G1054" s="8">
        <f t="shared" si="160"/>
        <v>2126.0166666666669</v>
      </c>
      <c r="H1054" s="9">
        <f t="shared" si="161"/>
        <v>2727511428.0166669</v>
      </c>
      <c r="I1054" s="9">
        <f t="shared" si="164"/>
        <v>27479000602.299992</v>
      </c>
      <c r="J1054" s="9">
        <f t="shared" si="165"/>
        <v>12571077</v>
      </c>
      <c r="K1054" s="21">
        <f t="shared" si="166"/>
        <v>2185.8907237860362</v>
      </c>
      <c r="L1054" s="4" t="str">
        <f t="shared" si="162"/>
        <v>SELL</v>
      </c>
      <c r="M1054" s="4">
        <f t="shared" si="167"/>
        <v>0</v>
      </c>
      <c r="N1054" s="4">
        <f t="shared" si="163"/>
        <v>-1</v>
      </c>
      <c r="O1054" s="4">
        <f t="shared" si="168"/>
        <v>2142.65</v>
      </c>
      <c r="P1054" s="4">
        <f t="shared" si="169"/>
        <v>0</v>
      </c>
    </row>
    <row r="1055" spans="1:16" x14ac:dyDescent="0.25">
      <c r="A1055" s="1">
        <v>42753</v>
      </c>
      <c r="B1055">
        <v>2075</v>
      </c>
      <c r="C1055">
        <v>2075</v>
      </c>
      <c r="D1055">
        <v>2013.05</v>
      </c>
      <c r="E1055" s="7">
        <v>2039.4</v>
      </c>
      <c r="F1055">
        <v>4326331</v>
      </c>
      <c r="G1055" s="8">
        <f t="shared" si="160"/>
        <v>2042.4833333333336</v>
      </c>
      <c r="H1055" s="9">
        <f t="shared" si="161"/>
        <v>8836458961.9833336</v>
      </c>
      <c r="I1055" s="9">
        <f t="shared" si="164"/>
        <v>34041944548.98333</v>
      </c>
      <c r="J1055" s="9">
        <f t="shared" si="165"/>
        <v>15882242</v>
      </c>
      <c r="K1055" s="21">
        <f t="shared" si="166"/>
        <v>2143.3966658475124</v>
      </c>
      <c r="L1055" s="4" t="str">
        <f t="shared" si="162"/>
        <v>SELL</v>
      </c>
      <c r="M1055" s="4">
        <f t="shared" si="167"/>
        <v>0</v>
      </c>
      <c r="N1055" s="4">
        <f t="shared" si="163"/>
        <v>-1</v>
      </c>
      <c r="O1055" s="4">
        <f t="shared" si="168"/>
        <v>2142.65</v>
      </c>
      <c r="P1055" s="4">
        <f t="shared" si="169"/>
        <v>0</v>
      </c>
    </row>
    <row r="1056" spans="1:16" x14ac:dyDescent="0.25">
      <c r="A1056" s="1">
        <v>42754</v>
      </c>
      <c r="B1056">
        <v>2038</v>
      </c>
      <c r="C1056">
        <v>2122.9</v>
      </c>
      <c r="D1056">
        <v>2011.4</v>
      </c>
      <c r="E1056" s="7">
        <v>2108.1999999999998</v>
      </c>
      <c r="F1056">
        <v>2864478</v>
      </c>
      <c r="G1056" s="8">
        <f t="shared" si="160"/>
        <v>2080.8333333333335</v>
      </c>
      <c r="H1056" s="9">
        <f t="shared" si="161"/>
        <v>5960501305</v>
      </c>
      <c r="I1056" s="9">
        <f t="shared" si="164"/>
        <v>37400910506.616669</v>
      </c>
      <c r="J1056" s="9">
        <f t="shared" si="165"/>
        <v>17595717</v>
      </c>
      <c r="K1056" s="21">
        <f t="shared" si="166"/>
        <v>2125.5689953763558</v>
      </c>
      <c r="L1056" s="4" t="str">
        <f t="shared" si="162"/>
        <v>SELL</v>
      </c>
      <c r="M1056" s="4">
        <f t="shared" si="167"/>
        <v>0</v>
      </c>
      <c r="N1056" s="4">
        <f t="shared" si="163"/>
        <v>-1</v>
      </c>
      <c r="O1056" s="4">
        <f t="shared" si="168"/>
        <v>2142.65</v>
      </c>
      <c r="P1056" s="4">
        <f t="shared" si="169"/>
        <v>0</v>
      </c>
    </row>
    <row r="1057" spans="1:16" x14ac:dyDescent="0.25">
      <c r="A1057" s="1">
        <v>42755</v>
      </c>
      <c r="B1057">
        <v>2125</v>
      </c>
      <c r="C1057">
        <v>2145</v>
      </c>
      <c r="D1057">
        <v>2085</v>
      </c>
      <c r="E1057" s="7">
        <v>2127</v>
      </c>
      <c r="F1057">
        <v>2340388</v>
      </c>
      <c r="G1057" s="8">
        <f t="shared" si="160"/>
        <v>2119</v>
      </c>
      <c r="H1057" s="9">
        <f t="shared" si="161"/>
        <v>4959282172</v>
      </c>
      <c r="I1057" s="9">
        <f t="shared" si="164"/>
        <v>40885056930.316666</v>
      </c>
      <c r="J1057" s="9">
        <f t="shared" si="165"/>
        <v>19278824</v>
      </c>
      <c r="K1057" s="21">
        <f t="shared" si="166"/>
        <v>2120.7235944638878</v>
      </c>
      <c r="L1057" s="4" t="str">
        <f t="shared" si="162"/>
        <v>BUY</v>
      </c>
      <c r="M1057" s="4" t="str">
        <f t="shared" si="167"/>
        <v>BUY</v>
      </c>
      <c r="N1057" s="4">
        <f t="shared" si="163"/>
        <v>1</v>
      </c>
      <c r="O1057" s="4">
        <f t="shared" si="168"/>
        <v>2127</v>
      </c>
      <c r="P1057" s="4">
        <f t="shared" si="169"/>
        <v>7.3040393904744549E-3</v>
      </c>
    </row>
    <row r="1058" spans="1:16" x14ac:dyDescent="0.25">
      <c r="A1058" s="1">
        <v>42758</v>
      </c>
      <c r="B1058">
        <v>2125</v>
      </c>
      <c r="C1058">
        <v>2141.9</v>
      </c>
      <c r="D1058">
        <v>2115.4499999999998</v>
      </c>
      <c r="E1058" s="7">
        <v>2128.25</v>
      </c>
      <c r="F1058">
        <v>94751</v>
      </c>
      <c r="G1058" s="8">
        <f t="shared" si="160"/>
        <v>2128.5333333333333</v>
      </c>
      <c r="H1058" s="9">
        <f t="shared" si="161"/>
        <v>201680661.86666667</v>
      </c>
      <c r="I1058" s="9">
        <f t="shared" si="164"/>
        <v>35893868875.983337</v>
      </c>
      <c r="J1058" s="9">
        <f t="shared" si="165"/>
        <v>17024339</v>
      </c>
      <c r="K1058" s="21">
        <f t="shared" si="166"/>
        <v>2108.3854636578453</v>
      </c>
      <c r="L1058" s="4" t="str">
        <f t="shared" si="162"/>
        <v>BUY</v>
      </c>
      <c r="M1058" s="4">
        <f t="shared" si="167"/>
        <v>0</v>
      </c>
      <c r="N1058" s="4">
        <f t="shared" si="163"/>
        <v>1</v>
      </c>
      <c r="O1058" s="4">
        <f t="shared" si="168"/>
        <v>2127</v>
      </c>
      <c r="P1058" s="4">
        <f t="shared" si="169"/>
        <v>0</v>
      </c>
    </row>
    <row r="1059" spans="1:16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 s="7">
        <v>2152.6</v>
      </c>
      <c r="F1059">
        <v>1091507</v>
      </c>
      <c r="G1059" s="8">
        <f t="shared" si="160"/>
        <v>2145.5666666666671</v>
      </c>
      <c r="H1059" s="9">
        <f t="shared" si="161"/>
        <v>2341901035.6333337</v>
      </c>
      <c r="I1059" s="9">
        <f t="shared" si="164"/>
        <v>34082929066.083336</v>
      </c>
      <c r="J1059" s="9">
        <f t="shared" si="165"/>
        <v>16200962</v>
      </c>
      <c r="K1059" s="21">
        <f t="shared" si="166"/>
        <v>2103.759583294087</v>
      </c>
      <c r="L1059" s="4" t="str">
        <f t="shared" si="162"/>
        <v>BUY</v>
      </c>
      <c r="M1059" s="4">
        <f t="shared" si="167"/>
        <v>0</v>
      </c>
      <c r="N1059" s="4">
        <f t="shared" si="163"/>
        <v>1</v>
      </c>
      <c r="O1059" s="4">
        <f t="shared" si="168"/>
        <v>2127</v>
      </c>
      <c r="P1059" s="4">
        <f t="shared" si="169"/>
        <v>0</v>
      </c>
    </row>
    <row r="1060" spans="1:16" x14ac:dyDescent="0.25">
      <c r="A1060" s="1">
        <v>42760</v>
      </c>
      <c r="B1060">
        <v>2144</v>
      </c>
      <c r="C1060">
        <v>2172</v>
      </c>
      <c r="D1060">
        <v>2130</v>
      </c>
      <c r="E1060" s="7">
        <v>2146.65</v>
      </c>
      <c r="F1060">
        <v>1124984</v>
      </c>
      <c r="G1060" s="8">
        <f t="shared" si="160"/>
        <v>2149.5499999999997</v>
      </c>
      <c r="H1060" s="9">
        <f t="shared" si="161"/>
        <v>2418209357.1999998</v>
      </c>
      <c r="I1060" s="9">
        <f t="shared" si="164"/>
        <v>33759062818.250004</v>
      </c>
      <c r="J1060" s="9">
        <f t="shared" si="165"/>
        <v>16050819</v>
      </c>
      <c r="K1060" s="21">
        <f t="shared" si="166"/>
        <v>2103.2610746062242</v>
      </c>
      <c r="L1060" s="4" t="str">
        <f t="shared" si="162"/>
        <v>BUY</v>
      </c>
      <c r="M1060" s="4">
        <f t="shared" si="167"/>
        <v>0</v>
      </c>
      <c r="N1060" s="4">
        <f t="shared" si="163"/>
        <v>1</v>
      </c>
      <c r="O1060" s="4">
        <f t="shared" si="168"/>
        <v>2127</v>
      </c>
      <c r="P1060" s="4">
        <f t="shared" si="169"/>
        <v>0</v>
      </c>
    </row>
    <row r="1061" spans="1:16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 s="7">
        <v>2093.5</v>
      </c>
      <c r="F1061">
        <v>1596175</v>
      </c>
      <c r="G1061" s="8">
        <f t="shared" si="160"/>
        <v>2113.1833333333334</v>
      </c>
      <c r="H1061" s="9">
        <f t="shared" si="161"/>
        <v>3373010407.0833335</v>
      </c>
      <c r="I1061" s="9">
        <f t="shared" si="164"/>
        <v>35316958009.733337</v>
      </c>
      <c r="J1061" s="9">
        <f t="shared" si="165"/>
        <v>16812100</v>
      </c>
      <c r="K1061" s="21">
        <f t="shared" si="166"/>
        <v>2100.686886809699</v>
      </c>
      <c r="L1061" s="4" t="str">
        <f t="shared" si="162"/>
        <v>SELL</v>
      </c>
      <c r="M1061" s="4" t="str">
        <f t="shared" si="167"/>
        <v>SELL</v>
      </c>
      <c r="N1061" s="4">
        <f t="shared" si="163"/>
        <v>-1</v>
      </c>
      <c r="O1061" s="4">
        <f t="shared" si="168"/>
        <v>2093.5</v>
      </c>
      <c r="P1061" s="4">
        <f t="shared" si="169"/>
        <v>-1.5749882463563705E-2</v>
      </c>
    </row>
    <row r="1062" spans="1:16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 s="7">
        <v>2094.25</v>
      </c>
      <c r="F1062">
        <v>2506238</v>
      </c>
      <c r="G1062" s="8">
        <f t="shared" si="160"/>
        <v>2091.4333333333334</v>
      </c>
      <c r="H1062" s="9">
        <f t="shared" si="161"/>
        <v>5241629694.4666672</v>
      </c>
      <c r="I1062" s="9">
        <f t="shared" si="164"/>
        <v>38374285146.599998</v>
      </c>
      <c r="J1062" s="9">
        <f t="shared" si="165"/>
        <v>18308396</v>
      </c>
      <c r="K1062" s="21">
        <f t="shared" si="166"/>
        <v>2095.9938351016658</v>
      </c>
      <c r="L1062" s="4" t="str">
        <f t="shared" si="162"/>
        <v>SELL</v>
      </c>
      <c r="M1062" s="4">
        <f t="shared" si="167"/>
        <v>0</v>
      </c>
      <c r="N1062" s="4">
        <f t="shared" si="163"/>
        <v>-1</v>
      </c>
      <c r="O1062" s="4">
        <f t="shared" si="168"/>
        <v>2093.5</v>
      </c>
      <c r="P1062" s="4">
        <f t="shared" si="169"/>
        <v>0</v>
      </c>
    </row>
    <row r="1063" spans="1:16" x14ac:dyDescent="0.25">
      <c r="A1063" s="1">
        <v>42765</v>
      </c>
      <c r="B1063">
        <v>2097</v>
      </c>
      <c r="C1063">
        <v>2122.85</v>
      </c>
      <c r="D1063">
        <v>2080.0500000000002</v>
      </c>
      <c r="E1063" s="7">
        <v>2102.1</v>
      </c>
      <c r="F1063">
        <v>1485581</v>
      </c>
      <c r="G1063" s="8">
        <f t="shared" si="160"/>
        <v>2101.6666666666665</v>
      </c>
      <c r="H1063" s="9">
        <f t="shared" si="161"/>
        <v>3122196068.333333</v>
      </c>
      <c r="I1063" s="9">
        <f t="shared" si="164"/>
        <v>39182381091.583336</v>
      </c>
      <c r="J1063" s="9">
        <f t="shared" si="165"/>
        <v>18713354</v>
      </c>
      <c r="K1063" s="21">
        <f t="shared" si="166"/>
        <v>2093.8192635902328</v>
      </c>
      <c r="L1063" s="4" t="str">
        <f t="shared" si="162"/>
        <v>BUY</v>
      </c>
      <c r="M1063" s="4" t="str">
        <f t="shared" si="167"/>
        <v>BUY</v>
      </c>
      <c r="N1063" s="4">
        <f t="shared" si="163"/>
        <v>1</v>
      </c>
      <c r="O1063" s="4">
        <f t="shared" si="168"/>
        <v>2102.1</v>
      </c>
      <c r="P1063" s="4">
        <f t="shared" si="169"/>
        <v>-4.1079531884403676E-3</v>
      </c>
    </row>
    <row r="1064" spans="1:16" x14ac:dyDescent="0.25">
      <c r="A1064" s="1">
        <v>42766</v>
      </c>
      <c r="B1064">
        <v>2104</v>
      </c>
      <c r="C1064">
        <v>2144.9499999999998</v>
      </c>
      <c r="D1064">
        <v>2082</v>
      </c>
      <c r="E1064" s="7">
        <v>2133.15</v>
      </c>
      <c r="F1064">
        <v>1341634</v>
      </c>
      <c r="G1064" s="8">
        <f t="shared" si="160"/>
        <v>2120.0333333333333</v>
      </c>
      <c r="H1064" s="9">
        <f t="shared" si="161"/>
        <v>2844308801.1333332</v>
      </c>
      <c r="I1064" s="9">
        <f t="shared" si="164"/>
        <v>39299178464.699997</v>
      </c>
      <c r="J1064" s="9">
        <f t="shared" si="165"/>
        <v>18772067</v>
      </c>
      <c r="K1064" s="21">
        <f t="shared" si="166"/>
        <v>2093.4923396927998</v>
      </c>
      <c r="L1064" s="4" t="str">
        <f t="shared" si="162"/>
        <v>BUY</v>
      </c>
      <c r="M1064" s="4">
        <f t="shared" si="167"/>
        <v>0</v>
      </c>
      <c r="N1064" s="4">
        <f t="shared" si="163"/>
        <v>1</v>
      </c>
      <c r="O1064" s="4">
        <f t="shared" si="168"/>
        <v>2102.1</v>
      </c>
      <c r="P1064" s="4">
        <f t="shared" si="169"/>
        <v>0</v>
      </c>
    </row>
    <row r="1065" spans="1:16" x14ac:dyDescent="0.25">
      <c r="A1065" s="1">
        <v>42767</v>
      </c>
      <c r="B1065">
        <v>2145</v>
      </c>
      <c r="C1065">
        <v>2185</v>
      </c>
      <c r="D1065">
        <v>2144.9</v>
      </c>
      <c r="E1065" s="7">
        <v>2176.6999999999998</v>
      </c>
      <c r="F1065">
        <v>1377966</v>
      </c>
      <c r="G1065" s="8">
        <f t="shared" si="160"/>
        <v>2168.8666666666663</v>
      </c>
      <c r="H1065" s="9">
        <f t="shared" si="161"/>
        <v>2988624525.1999993</v>
      </c>
      <c r="I1065" s="9">
        <f t="shared" si="164"/>
        <v>33451344027.916668</v>
      </c>
      <c r="J1065" s="9">
        <f t="shared" si="165"/>
        <v>15823702</v>
      </c>
      <c r="K1065" s="21">
        <f t="shared" si="166"/>
        <v>2114.0024014555297</v>
      </c>
      <c r="L1065" s="4" t="str">
        <f t="shared" si="162"/>
        <v>BUY</v>
      </c>
      <c r="M1065" s="4">
        <f t="shared" si="167"/>
        <v>0</v>
      </c>
      <c r="N1065" s="4">
        <f t="shared" si="163"/>
        <v>1</v>
      </c>
      <c r="O1065" s="4">
        <f t="shared" si="168"/>
        <v>2102.1</v>
      </c>
      <c r="P1065" s="4">
        <f t="shared" si="169"/>
        <v>0</v>
      </c>
    </row>
    <row r="1066" spans="1:16" x14ac:dyDescent="0.25">
      <c r="A1066" s="1">
        <v>42768</v>
      </c>
      <c r="B1066">
        <v>2190</v>
      </c>
      <c r="C1066">
        <v>2202</v>
      </c>
      <c r="D1066">
        <v>2161.0500000000002</v>
      </c>
      <c r="E1066" s="7">
        <v>2172.25</v>
      </c>
      <c r="F1066">
        <v>1881508</v>
      </c>
      <c r="G1066" s="8">
        <f t="shared" si="160"/>
        <v>2178.4333333333334</v>
      </c>
      <c r="H1066" s="9">
        <f t="shared" si="161"/>
        <v>4098739744.1333337</v>
      </c>
      <c r="I1066" s="9">
        <f t="shared" si="164"/>
        <v>31589582467.050003</v>
      </c>
      <c r="J1066" s="9">
        <f t="shared" si="165"/>
        <v>14840732</v>
      </c>
      <c r="K1066" s="21">
        <f t="shared" si="166"/>
        <v>2128.5730695123398</v>
      </c>
      <c r="L1066" s="4" t="str">
        <f t="shared" si="162"/>
        <v>BUY</v>
      </c>
      <c r="M1066" s="4">
        <f t="shared" si="167"/>
        <v>0</v>
      </c>
      <c r="N1066" s="4">
        <f t="shared" si="163"/>
        <v>1</v>
      </c>
      <c r="O1066" s="4">
        <f t="shared" si="168"/>
        <v>2102.1</v>
      </c>
      <c r="P1066" s="4">
        <f t="shared" si="169"/>
        <v>0</v>
      </c>
    </row>
    <row r="1067" spans="1:16" x14ac:dyDescent="0.25">
      <c r="A1067" s="1">
        <v>42769</v>
      </c>
      <c r="B1067">
        <v>2172.85</v>
      </c>
      <c r="C1067">
        <v>2182</v>
      </c>
      <c r="D1067">
        <v>2147.6</v>
      </c>
      <c r="E1067" s="7">
        <v>2166.5</v>
      </c>
      <c r="F1067">
        <v>790597</v>
      </c>
      <c r="G1067" s="8">
        <f t="shared" si="160"/>
        <v>2165.3666666666668</v>
      </c>
      <c r="H1067" s="9">
        <f t="shared" si="161"/>
        <v>1711932390.5666668</v>
      </c>
      <c r="I1067" s="9">
        <f t="shared" si="164"/>
        <v>28342232685.616669</v>
      </c>
      <c r="J1067" s="9">
        <f t="shared" si="165"/>
        <v>13290941</v>
      </c>
      <c r="K1067" s="21">
        <f t="shared" si="166"/>
        <v>2132.4474080214991</v>
      </c>
      <c r="L1067" s="4" t="str">
        <f t="shared" si="162"/>
        <v>BUY</v>
      </c>
      <c r="M1067" s="4">
        <f t="shared" si="167"/>
        <v>0</v>
      </c>
      <c r="N1067" s="4">
        <f t="shared" si="163"/>
        <v>1</v>
      </c>
      <c r="O1067" s="4">
        <f t="shared" si="168"/>
        <v>2102.1</v>
      </c>
      <c r="P1067" s="4">
        <f t="shared" si="169"/>
        <v>0</v>
      </c>
    </row>
    <row r="1068" spans="1:16" x14ac:dyDescent="0.25">
      <c r="A1068" s="1">
        <v>42772</v>
      </c>
      <c r="B1068">
        <v>2172</v>
      </c>
      <c r="C1068">
        <v>2187</v>
      </c>
      <c r="D1068">
        <v>2130</v>
      </c>
      <c r="E1068" s="7">
        <v>2138.85</v>
      </c>
      <c r="F1068">
        <v>847328</v>
      </c>
      <c r="G1068" s="8">
        <f t="shared" si="160"/>
        <v>2151.9500000000003</v>
      </c>
      <c r="H1068" s="9">
        <f t="shared" si="161"/>
        <v>1823407489.6000001</v>
      </c>
      <c r="I1068" s="9">
        <f t="shared" si="164"/>
        <v>29963959513.349998</v>
      </c>
      <c r="J1068" s="9">
        <f t="shared" si="165"/>
        <v>14043518</v>
      </c>
      <c r="K1068" s="21">
        <f t="shared" si="166"/>
        <v>2133.6505221376865</v>
      </c>
      <c r="L1068" s="4" t="str">
        <f t="shared" si="162"/>
        <v>BUY</v>
      </c>
      <c r="M1068" s="4">
        <f t="shared" si="167"/>
        <v>0</v>
      </c>
      <c r="N1068" s="4">
        <f t="shared" si="163"/>
        <v>1</v>
      </c>
      <c r="O1068" s="4">
        <f t="shared" si="168"/>
        <v>2102.1</v>
      </c>
      <c r="P1068" s="4">
        <f t="shared" si="169"/>
        <v>0</v>
      </c>
    </row>
    <row r="1069" spans="1:16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 s="7">
        <v>2153.8000000000002</v>
      </c>
      <c r="F1069">
        <v>1297493</v>
      </c>
      <c r="G1069" s="8">
        <f t="shared" si="160"/>
        <v>2146.8166666666666</v>
      </c>
      <c r="H1069" s="9">
        <f t="shared" si="161"/>
        <v>2785479597.2833333</v>
      </c>
      <c r="I1069" s="9">
        <f t="shared" si="164"/>
        <v>30407538074.999996</v>
      </c>
      <c r="J1069" s="9">
        <f t="shared" si="165"/>
        <v>14249504</v>
      </c>
      <c r="K1069" s="21">
        <f t="shared" si="166"/>
        <v>2133.9365970212011</v>
      </c>
      <c r="L1069" s="4" t="str">
        <f t="shared" si="162"/>
        <v>BUY</v>
      </c>
      <c r="M1069" s="4">
        <f t="shared" si="167"/>
        <v>0</v>
      </c>
      <c r="N1069" s="4">
        <f t="shared" si="163"/>
        <v>1</v>
      </c>
      <c r="O1069" s="4">
        <f t="shared" si="168"/>
        <v>2102.1</v>
      </c>
      <c r="P1069" s="4">
        <f t="shared" si="169"/>
        <v>0</v>
      </c>
    </row>
    <row r="1070" spans="1:16" x14ac:dyDescent="0.25">
      <c r="A1070" s="1">
        <v>42774</v>
      </c>
      <c r="B1070">
        <v>2152</v>
      </c>
      <c r="C1070">
        <v>2162</v>
      </c>
      <c r="D1070">
        <v>2105</v>
      </c>
      <c r="E1070" s="7">
        <v>2140.4</v>
      </c>
      <c r="F1070">
        <v>1675250</v>
      </c>
      <c r="G1070" s="8">
        <f t="shared" si="160"/>
        <v>2135.7999999999997</v>
      </c>
      <c r="H1070" s="9">
        <f t="shared" si="161"/>
        <v>3577998949.9999995</v>
      </c>
      <c r="I1070" s="9">
        <f t="shared" si="164"/>
        <v>31567327667.799999</v>
      </c>
      <c r="J1070" s="9">
        <f t="shared" si="165"/>
        <v>14799770</v>
      </c>
      <c r="K1070" s="21">
        <f t="shared" si="166"/>
        <v>2132.9606924837344</v>
      </c>
      <c r="L1070" s="4" t="str">
        <f t="shared" si="162"/>
        <v>BUY</v>
      </c>
      <c r="M1070" s="4">
        <f t="shared" si="167"/>
        <v>0</v>
      </c>
      <c r="N1070" s="4">
        <f t="shared" si="163"/>
        <v>1</v>
      </c>
      <c r="O1070" s="4">
        <f t="shared" si="168"/>
        <v>2102.1</v>
      </c>
      <c r="P1070" s="4">
        <f t="shared" si="169"/>
        <v>0</v>
      </c>
    </row>
    <row r="1071" spans="1:16" x14ac:dyDescent="0.25">
      <c r="A1071" s="1">
        <v>42775</v>
      </c>
      <c r="B1071">
        <v>2140.4</v>
      </c>
      <c r="C1071">
        <v>2148.65</v>
      </c>
      <c r="D1071">
        <v>2115.1999999999998</v>
      </c>
      <c r="E1071" s="7">
        <v>2126.15</v>
      </c>
      <c r="F1071">
        <v>1076443</v>
      </c>
      <c r="G1071" s="8">
        <f t="shared" si="160"/>
        <v>2130</v>
      </c>
      <c r="H1071" s="9">
        <f t="shared" si="161"/>
        <v>2292823590</v>
      </c>
      <c r="I1071" s="9">
        <f t="shared" si="164"/>
        <v>30487140850.716663</v>
      </c>
      <c r="J1071" s="9">
        <f t="shared" si="165"/>
        <v>14280038</v>
      </c>
      <c r="K1071" s="21">
        <f t="shared" si="166"/>
        <v>2134.9481598520019</v>
      </c>
      <c r="L1071" s="4" t="str">
        <f t="shared" si="162"/>
        <v>SELL</v>
      </c>
      <c r="M1071" s="4" t="str">
        <f t="shared" si="167"/>
        <v>SELL</v>
      </c>
      <c r="N1071" s="4">
        <f t="shared" si="163"/>
        <v>-1</v>
      </c>
      <c r="O1071" s="4">
        <f t="shared" si="168"/>
        <v>2126.15</v>
      </c>
      <c r="P1071" s="4">
        <f t="shared" si="169"/>
        <v>1.144094001236867E-2</v>
      </c>
    </row>
    <row r="1072" spans="1:16" x14ac:dyDescent="0.25">
      <c r="A1072" s="1">
        <v>42776</v>
      </c>
      <c r="B1072">
        <v>2118</v>
      </c>
      <c r="C1072">
        <v>2174.9</v>
      </c>
      <c r="D1072">
        <v>2100</v>
      </c>
      <c r="E1072" s="7">
        <v>2164.1</v>
      </c>
      <c r="F1072">
        <v>1170371</v>
      </c>
      <c r="G1072" s="8">
        <f t="shared" si="160"/>
        <v>2146.3333333333335</v>
      </c>
      <c r="H1072" s="9">
        <f t="shared" si="161"/>
        <v>2512006289.666667</v>
      </c>
      <c r="I1072" s="9">
        <f t="shared" si="164"/>
        <v>27757517445.916668</v>
      </c>
      <c r="J1072" s="9">
        <f t="shared" si="165"/>
        <v>12944171</v>
      </c>
      <c r="K1072" s="21">
        <f t="shared" si="166"/>
        <v>2144.4028702893888</v>
      </c>
      <c r="L1072" s="4" t="str">
        <f t="shared" si="162"/>
        <v>BUY</v>
      </c>
      <c r="M1072" s="4" t="str">
        <f t="shared" si="167"/>
        <v>BUY</v>
      </c>
      <c r="N1072" s="4">
        <f t="shared" si="163"/>
        <v>1</v>
      </c>
      <c r="O1072" s="4">
        <f t="shared" si="168"/>
        <v>2164.1</v>
      </c>
      <c r="P1072" s="4">
        <f t="shared" si="169"/>
        <v>-1.7849163981845034E-2</v>
      </c>
    </row>
    <row r="1073" spans="1:16" x14ac:dyDescent="0.25">
      <c r="A1073" s="1">
        <v>42779</v>
      </c>
      <c r="B1073">
        <v>2181</v>
      </c>
      <c r="C1073">
        <v>2258</v>
      </c>
      <c r="D1073">
        <v>2174.0500000000002</v>
      </c>
      <c r="E1073" s="7">
        <v>2252.75</v>
      </c>
      <c r="F1073">
        <v>1798622</v>
      </c>
      <c r="G1073" s="8">
        <f t="shared" si="160"/>
        <v>2228.2666666666669</v>
      </c>
      <c r="H1073" s="9">
        <f t="shared" si="161"/>
        <v>4007809448.5333338</v>
      </c>
      <c r="I1073" s="9">
        <f t="shared" si="164"/>
        <v>28643130826.116665</v>
      </c>
      <c r="J1073" s="9">
        <f t="shared" si="165"/>
        <v>13257212</v>
      </c>
      <c r="K1073" s="21">
        <f t="shared" si="166"/>
        <v>2160.5697205503438</v>
      </c>
      <c r="L1073" s="4" t="str">
        <f t="shared" si="162"/>
        <v>BUY</v>
      </c>
      <c r="M1073" s="4">
        <f t="shared" si="167"/>
        <v>0</v>
      </c>
      <c r="N1073" s="4">
        <f t="shared" si="163"/>
        <v>1</v>
      </c>
      <c r="O1073" s="4">
        <f t="shared" si="168"/>
        <v>2164.1</v>
      </c>
      <c r="P1073" s="4">
        <f t="shared" si="169"/>
        <v>0</v>
      </c>
    </row>
    <row r="1074" spans="1:16" x14ac:dyDescent="0.25">
      <c r="A1074" s="1">
        <v>42780</v>
      </c>
      <c r="B1074">
        <v>2264</v>
      </c>
      <c r="C1074">
        <v>2264</v>
      </c>
      <c r="D1074">
        <v>2184.1999999999998</v>
      </c>
      <c r="E1074" s="7">
        <v>2196.3000000000002</v>
      </c>
      <c r="F1074">
        <v>1737955</v>
      </c>
      <c r="G1074" s="8">
        <f t="shared" si="160"/>
        <v>2214.8333333333335</v>
      </c>
      <c r="H1074" s="9">
        <f t="shared" si="161"/>
        <v>3849280665.8333335</v>
      </c>
      <c r="I1074" s="9">
        <f t="shared" si="164"/>
        <v>29648102690.816666</v>
      </c>
      <c r="J1074" s="9">
        <f t="shared" si="165"/>
        <v>13653533</v>
      </c>
      <c r="K1074" s="21">
        <f t="shared" si="166"/>
        <v>2171.4601408160561</v>
      </c>
      <c r="L1074" s="4" t="str">
        <f t="shared" si="162"/>
        <v>BUY</v>
      </c>
      <c r="M1074" s="4">
        <f t="shared" si="167"/>
        <v>0</v>
      </c>
      <c r="N1074" s="4">
        <f t="shared" si="163"/>
        <v>1</v>
      </c>
      <c r="O1074" s="4">
        <f t="shared" si="168"/>
        <v>2164.1</v>
      </c>
      <c r="P1074" s="4">
        <f t="shared" si="169"/>
        <v>0</v>
      </c>
    </row>
    <row r="1075" spans="1:16" x14ac:dyDescent="0.25">
      <c r="A1075" s="1">
        <v>42781</v>
      </c>
      <c r="B1075">
        <v>2220</v>
      </c>
      <c r="C1075">
        <v>2227</v>
      </c>
      <c r="D1075">
        <v>2142.6999999999998</v>
      </c>
      <c r="E1075" s="7">
        <v>2222.9</v>
      </c>
      <c r="F1075">
        <v>3840719</v>
      </c>
      <c r="G1075" s="8">
        <f t="shared" si="160"/>
        <v>2197.5333333333333</v>
      </c>
      <c r="H1075" s="9">
        <f t="shared" si="161"/>
        <v>8440108026.4666662</v>
      </c>
      <c r="I1075" s="9">
        <f t="shared" si="164"/>
        <v>35099586192.083328</v>
      </c>
      <c r="J1075" s="9">
        <f t="shared" si="165"/>
        <v>16116286</v>
      </c>
      <c r="K1075" s="21">
        <f t="shared" si="166"/>
        <v>2177.895465002503</v>
      </c>
      <c r="L1075" s="4" t="str">
        <f t="shared" si="162"/>
        <v>BUY</v>
      </c>
      <c r="M1075" s="4">
        <f t="shared" si="167"/>
        <v>0</v>
      </c>
      <c r="N1075" s="4">
        <f t="shared" si="163"/>
        <v>1</v>
      </c>
      <c r="O1075" s="4">
        <f t="shared" si="168"/>
        <v>2164.1</v>
      </c>
      <c r="P1075" s="4">
        <f t="shared" si="169"/>
        <v>0</v>
      </c>
    </row>
    <row r="1076" spans="1:16" x14ac:dyDescent="0.25">
      <c r="A1076" s="1">
        <v>42782</v>
      </c>
      <c r="B1076">
        <v>2220</v>
      </c>
      <c r="C1076">
        <v>2242.9</v>
      </c>
      <c r="D1076">
        <v>2211.3000000000002</v>
      </c>
      <c r="E1076" s="7">
        <v>2221.75</v>
      </c>
      <c r="F1076">
        <v>921297</v>
      </c>
      <c r="G1076" s="8">
        <f t="shared" si="160"/>
        <v>2225.3166666666671</v>
      </c>
      <c r="H1076" s="9">
        <f t="shared" si="161"/>
        <v>2050177569.0500004</v>
      </c>
      <c r="I1076" s="9">
        <f t="shared" si="164"/>
        <v>33051024017</v>
      </c>
      <c r="J1076" s="9">
        <f t="shared" si="165"/>
        <v>15156075</v>
      </c>
      <c r="K1076" s="21">
        <f t="shared" si="166"/>
        <v>2180.7113000562481</v>
      </c>
      <c r="L1076" s="4" t="str">
        <f t="shared" si="162"/>
        <v>BUY</v>
      </c>
      <c r="M1076" s="4">
        <f t="shared" si="167"/>
        <v>0</v>
      </c>
      <c r="N1076" s="4">
        <f t="shared" si="163"/>
        <v>1</v>
      </c>
      <c r="O1076" s="4">
        <f t="shared" si="168"/>
        <v>2164.1</v>
      </c>
      <c r="P1076" s="4">
        <f t="shared" si="169"/>
        <v>0</v>
      </c>
    </row>
    <row r="1077" spans="1:16" x14ac:dyDescent="0.25">
      <c r="A1077" s="1">
        <v>42783</v>
      </c>
      <c r="B1077">
        <v>2233.9499999999998</v>
      </c>
      <c r="C1077">
        <v>2249.9</v>
      </c>
      <c r="D1077">
        <v>2219.9</v>
      </c>
      <c r="E1077" s="7">
        <v>2221.0500000000002</v>
      </c>
      <c r="F1077">
        <v>743137</v>
      </c>
      <c r="G1077" s="8">
        <f t="shared" si="160"/>
        <v>2230.2833333333333</v>
      </c>
      <c r="H1077" s="9">
        <f t="shared" si="161"/>
        <v>1657406065.4833333</v>
      </c>
      <c r="I1077" s="9">
        <f t="shared" si="164"/>
        <v>32996497691.916664</v>
      </c>
      <c r="J1077" s="9">
        <f t="shared" si="165"/>
        <v>15108615</v>
      </c>
      <c r="K1077" s="21">
        <f t="shared" si="166"/>
        <v>2183.9525126503431</v>
      </c>
      <c r="L1077" s="4" t="str">
        <f t="shared" si="162"/>
        <v>BUY</v>
      </c>
      <c r="M1077" s="4">
        <f t="shared" si="167"/>
        <v>0</v>
      </c>
      <c r="N1077" s="4">
        <f t="shared" si="163"/>
        <v>1</v>
      </c>
      <c r="O1077" s="4">
        <f t="shared" si="168"/>
        <v>2164.1</v>
      </c>
      <c r="P1077" s="4">
        <f t="shared" si="169"/>
        <v>0</v>
      </c>
    </row>
    <row r="1078" spans="1:16" x14ac:dyDescent="0.25">
      <c r="A1078" s="1">
        <v>42786</v>
      </c>
      <c r="B1078">
        <v>2231.4</v>
      </c>
      <c r="C1078">
        <v>2243.9</v>
      </c>
      <c r="D1078">
        <v>2201.1</v>
      </c>
      <c r="E1078" s="7">
        <v>2213.75</v>
      </c>
      <c r="F1078">
        <v>969496</v>
      </c>
      <c r="G1078" s="8">
        <f t="shared" si="160"/>
        <v>2219.5833333333335</v>
      </c>
      <c r="H1078" s="9">
        <f t="shared" si="161"/>
        <v>2151877163.3333335</v>
      </c>
      <c r="I1078" s="9">
        <f t="shared" si="164"/>
        <v>33324967365.649998</v>
      </c>
      <c r="J1078" s="9">
        <f t="shared" si="165"/>
        <v>15230783</v>
      </c>
      <c r="K1078" s="21">
        <f t="shared" si="166"/>
        <v>2188.0009298044624</v>
      </c>
      <c r="L1078" s="4" t="str">
        <f t="shared" si="162"/>
        <v>BUY</v>
      </c>
      <c r="M1078" s="4">
        <f t="shared" si="167"/>
        <v>0</v>
      </c>
      <c r="N1078" s="4">
        <f t="shared" si="163"/>
        <v>1</v>
      </c>
      <c r="O1078" s="4">
        <f t="shared" si="168"/>
        <v>2164.1</v>
      </c>
      <c r="P1078" s="4">
        <f t="shared" si="169"/>
        <v>0</v>
      </c>
    </row>
    <row r="1079" spans="1:16" x14ac:dyDescent="0.25">
      <c r="A1079" s="1">
        <v>42787</v>
      </c>
      <c r="B1079">
        <v>2227</v>
      </c>
      <c r="C1079">
        <v>2235</v>
      </c>
      <c r="D1079">
        <v>2193.1999999999998</v>
      </c>
      <c r="E1079" s="7">
        <v>2205.25</v>
      </c>
      <c r="F1079">
        <v>1580224</v>
      </c>
      <c r="G1079" s="8">
        <f t="shared" si="160"/>
        <v>2211.15</v>
      </c>
      <c r="H1079" s="9">
        <f t="shared" si="161"/>
        <v>3494112297.6000004</v>
      </c>
      <c r="I1079" s="9">
        <f t="shared" si="164"/>
        <v>34033600065.966667</v>
      </c>
      <c r="J1079" s="9">
        <f t="shared" si="165"/>
        <v>15513514</v>
      </c>
      <c r="K1079" s="21">
        <f t="shared" si="166"/>
        <v>2193.8034197775351</v>
      </c>
      <c r="L1079" s="4" t="str">
        <f t="shared" si="162"/>
        <v>BUY</v>
      </c>
      <c r="M1079" s="4">
        <f t="shared" si="167"/>
        <v>0</v>
      </c>
      <c r="N1079" s="4">
        <f t="shared" si="163"/>
        <v>1</v>
      </c>
      <c r="O1079" s="4">
        <f t="shared" si="168"/>
        <v>2164.1</v>
      </c>
      <c r="P1079" s="4">
        <f t="shared" si="169"/>
        <v>0</v>
      </c>
    </row>
    <row r="1080" spans="1:16" x14ac:dyDescent="0.25">
      <c r="A1080" s="1">
        <v>42788</v>
      </c>
      <c r="B1080">
        <v>2205.25</v>
      </c>
      <c r="C1080">
        <v>2222.6999999999998</v>
      </c>
      <c r="D1080">
        <v>2180.1</v>
      </c>
      <c r="E1080" s="7">
        <v>2191.35</v>
      </c>
      <c r="F1080">
        <v>1275383</v>
      </c>
      <c r="G1080" s="8">
        <f t="shared" si="160"/>
        <v>2198.0499999999997</v>
      </c>
      <c r="H1080" s="9">
        <f t="shared" si="161"/>
        <v>2803355603.1499996</v>
      </c>
      <c r="I1080" s="9">
        <f t="shared" si="164"/>
        <v>33258956719.116669</v>
      </c>
      <c r="J1080" s="9">
        <f t="shared" si="165"/>
        <v>15113647</v>
      </c>
      <c r="K1080" s="21">
        <f t="shared" si="166"/>
        <v>2200.5910763376087</v>
      </c>
      <c r="L1080" s="4" t="str">
        <f t="shared" si="162"/>
        <v>SELL</v>
      </c>
      <c r="M1080" s="4" t="str">
        <f t="shared" si="167"/>
        <v>SELL</v>
      </c>
      <c r="N1080" s="4">
        <f t="shared" si="163"/>
        <v>-1</v>
      </c>
      <c r="O1080" s="4">
        <f t="shared" si="168"/>
        <v>2191.35</v>
      </c>
      <c r="P1080" s="4">
        <f t="shared" si="169"/>
        <v>1.2591839563790954E-2</v>
      </c>
    </row>
    <row r="1081" spans="1:16" x14ac:dyDescent="0.25">
      <c r="A1081" s="1">
        <v>42789</v>
      </c>
      <c r="B1081">
        <v>2186</v>
      </c>
      <c r="C1081">
        <v>2206.35</v>
      </c>
      <c r="D1081">
        <v>2176.9</v>
      </c>
      <c r="E1081" s="7">
        <v>2194.25</v>
      </c>
      <c r="F1081">
        <v>923090</v>
      </c>
      <c r="G1081" s="8">
        <f t="shared" si="160"/>
        <v>2192.5</v>
      </c>
      <c r="H1081" s="9">
        <f t="shared" si="161"/>
        <v>2023874825</v>
      </c>
      <c r="I1081" s="9">
        <f t="shared" si="164"/>
        <v>32990007954.116669</v>
      </c>
      <c r="J1081" s="9">
        <f t="shared" si="165"/>
        <v>14960294</v>
      </c>
      <c r="K1081" s="21">
        <f t="shared" si="166"/>
        <v>2205.1710985169589</v>
      </c>
      <c r="L1081" s="4" t="str">
        <f t="shared" si="162"/>
        <v>SELL</v>
      </c>
      <c r="M1081" s="4">
        <f t="shared" si="167"/>
        <v>0</v>
      </c>
      <c r="N1081" s="4">
        <f t="shared" si="163"/>
        <v>-1</v>
      </c>
      <c r="O1081" s="4">
        <f t="shared" si="168"/>
        <v>2191.35</v>
      </c>
      <c r="P1081" s="4">
        <f t="shared" si="169"/>
        <v>0</v>
      </c>
    </row>
    <row r="1082" spans="1:16" x14ac:dyDescent="0.25">
      <c r="A1082" s="1">
        <v>42790</v>
      </c>
      <c r="B1082">
        <v>2185.1</v>
      </c>
      <c r="C1082">
        <v>2205.6</v>
      </c>
      <c r="D1082">
        <v>2181</v>
      </c>
      <c r="E1082" s="7">
        <v>2189.1999999999998</v>
      </c>
      <c r="F1082">
        <v>1198689</v>
      </c>
      <c r="G1082" s="8">
        <f t="shared" si="160"/>
        <v>2191.9333333333334</v>
      </c>
      <c r="H1082" s="9">
        <f t="shared" si="161"/>
        <v>2627446375.4000001</v>
      </c>
      <c r="I1082" s="9">
        <f t="shared" si="164"/>
        <v>33105448039.849998</v>
      </c>
      <c r="J1082" s="9">
        <f t="shared" si="165"/>
        <v>14988612</v>
      </c>
      <c r="K1082" s="21">
        <f t="shared" si="166"/>
        <v>2208.7067194647507</v>
      </c>
      <c r="L1082" s="4" t="str">
        <f t="shared" si="162"/>
        <v>SELL</v>
      </c>
      <c r="M1082" s="4">
        <f t="shared" si="167"/>
        <v>0</v>
      </c>
      <c r="N1082" s="4">
        <f t="shared" si="163"/>
        <v>-1</v>
      </c>
      <c r="O1082" s="4">
        <f t="shared" si="168"/>
        <v>2191.35</v>
      </c>
      <c r="P1082" s="4">
        <f t="shared" si="169"/>
        <v>0</v>
      </c>
    </row>
    <row r="1083" spans="1:16" x14ac:dyDescent="0.25">
      <c r="A1083" s="1">
        <v>42793</v>
      </c>
      <c r="B1083">
        <v>2181.25</v>
      </c>
      <c r="C1083">
        <v>2219.9</v>
      </c>
      <c r="D1083">
        <v>2181.25</v>
      </c>
      <c r="E1083" s="7">
        <v>2208.4499999999998</v>
      </c>
      <c r="F1083">
        <v>958889</v>
      </c>
      <c r="G1083" s="8">
        <f t="shared" si="160"/>
        <v>2203.1999999999998</v>
      </c>
      <c r="H1083" s="9">
        <f t="shared" si="161"/>
        <v>2112624244.7999997</v>
      </c>
      <c r="I1083" s="9">
        <f t="shared" si="164"/>
        <v>31210262836.116673</v>
      </c>
      <c r="J1083" s="9">
        <f t="shared" si="165"/>
        <v>14148879</v>
      </c>
      <c r="K1083" s="21">
        <f t="shared" si="166"/>
        <v>2205.8470382082337</v>
      </c>
      <c r="L1083" s="4" t="str">
        <f t="shared" si="162"/>
        <v>BUY</v>
      </c>
      <c r="M1083" s="4" t="str">
        <f t="shared" si="167"/>
        <v>BUY</v>
      </c>
      <c r="N1083" s="4">
        <f t="shared" si="163"/>
        <v>1</v>
      </c>
      <c r="O1083" s="4">
        <f t="shared" si="168"/>
        <v>2208.4499999999998</v>
      </c>
      <c r="P1083" s="4">
        <f t="shared" si="169"/>
        <v>-7.8034088575535216E-3</v>
      </c>
    </row>
    <row r="1084" spans="1:16" x14ac:dyDescent="0.25">
      <c r="A1084" s="1">
        <v>42794</v>
      </c>
      <c r="B1084">
        <v>2210.8000000000002</v>
      </c>
      <c r="C1084">
        <v>2229</v>
      </c>
      <c r="D1084">
        <v>2204.15</v>
      </c>
      <c r="E1084" s="7">
        <v>2213.6999999999998</v>
      </c>
      <c r="F1084">
        <v>657239</v>
      </c>
      <c r="G1084" s="8">
        <f t="shared" si="160"/>
        <v>2215.6166666666663</v>
      </c>
      <c r="H1084" s="9">
        <f t="shared" si="161"/>
        <v>1456189682.3833332</v>
      </c>
      <c r="I1084" s="9">
        <f t="shared" si="164"/>
        <v>28817171852.666672</v>
      </c>
      <c r="J1084" s="9">
        <f t="shared" si="165"/>
        <v>13068163</v>
      </c>
      <c r="K1084" s="21">
        <f t="shared" si="166"/>
        <v>2205.1432823929936</v>
      </c>
      <c r="L1084" s="4" t="str">
        <f t="shared" si="162"/>
        <v>BUY</v>
      </c>
      <c r="M1084" s="4">
        <f t="shared" si="167"/>
        <v>0</v>
      </c>
      <c r="N1084" s="4">
        <f t="shared" si="163"/>
        <v>1</v>
      </c>
      <c r="O1084" s="4">
        <f t="shared" si="168"/>
        <v>2208.4499999999998</v>
      </c>
      <c r="P1084" s="4">
        <f t="shared" si="169"/>
        <v>0</v>
      </c>
    </row>
    <row r="1085" spans="1:16" x14ac:dyDescent="0.25">
      <c r="A1085" s="1">
        <v>42795</v>
      </c>
      <c r="B1085">
        <v>2213.6999999999998</v>
      </c>
      <c r="C1085">
        <v>2221.6</v>
      </c>
      <c r="D1085">
        <v>2190</v>
      </c>
      <c r="E1085" s="7">
        <v>2198.9</v>
      </c>
      <c r="F1085">
        <v>480616</v>
      </c>
      <c r="G1085" s="8">
        <f t="shared" si="160"/>
        <v>2203.5</v>
      </c>
      <c r="H1085" s="9">
        <f t="shared" si="161"/>
        <v>1059037356</v>
      </c>
      <c r="I1085" s="9">
        <f t="shared" si="164"/>
        <v>21436101182.199997</v>
      </c>
      <c r="J1085" s="9">
        <f t="shared" si="165"/>
        <v>9708060</v>
      </c>
      <c r="K1085" s="21">
        <f t="shared" si="166"/>
        <v>2208.0725893947911</v>
      </c>
      <c r="L1085" s="4" t="str">
        <f t="shared" si="162"/>
        <v>SELL</v>
      </c>
      <c r="M1085" s="4" t="str">
        <f t="shared" si="167"/>
        <v>SELL</v>
      </c>
      <c r="N1085" s="4">
        <f t="shared" si="163"/>
        <v>-1</v>
      </c>
      <c r="O1085" s="4">
        <f t="shared" si="168"/>
        <v>2198.9</v>
      </c>
      <c r="P1085" s="4">
        <f t="shared" si="169"/>
        <v>-4.3242998483097777E-3</v>
      </c>
    </row>
    <row r="1086" spans="1:16" x14ac:dyDescent="0.25">
      <c r="A1086" s="1">
        <v>42796</v>
      </c>
      <c r="B1086">
        <v>2191.0500000000002</v>
      </c>
      <c r="C1086">
        <v>2203</v>
      </c>
      <c r="D1086">
        <v>2140.1</v>
      </c>
      <c r="E1086" s="7">
        <v>2165.5500000000002</v>
      </c>
      <c r="F1086">
        <v>2358091</v>
      </c>
      <c r="G1086" s="8">
        <f t="shared" si="160"/>
        <v>2169.5500000000002</v>
      </c>
      <c r="H1086" s="9">
        <f t="shared" si="161"/>
        <v>5115996329.0500002</v>
      </c>
      <c r="I1086" s="9">
        <f t="shared" si="164"/>
        <v>24501919942.199997</v>
      </c>
      <c r="J1086" s="9">
        <f t="shared" si="165"/>
        <v>11144854</v>
      </c>
      <c r="K1086" s="21">
        <f t="shared" si="166"/>
        <v>2198.4962694172573</v>
      </c>
      <c r="L1086" s="4" t="str">
        <f t="shared" si="162"/>
        <v>SELL</v>
      </c>
      <c r="M1086" s="4">
        <f t="shared" si="167"/>
        <v>0</v>
      </c>
      <c r="N1086" s="4">
        <f t="shared" si="163"/>
        <v>-1</v>
      </c>
      <c r="O1086" s="4">
        <f t="shared" si="168"/>
        <v>2198.9</v>
      </c>
      <c r="P1086" s="4">
        <f t="shared" si="169"/>
        <v>0</v>
      </c>
    </row>
    <row r="1087" spans="1:16" x14ac:dyDescent="0.25">
      <c r="A1087" s="1">
        <v>42797</v>
      </c>
      <c r="B1087">
        <v>2165.1</v>
      </c>
      <c r="C1087">
        <v>2181.8000000000002</v>
      </c>
      <c r="D1087">
        <v>2147.65</v>
      </c>
      <c r="E1087" s="7">
        <v>2162.0500000000002</v>
      </c>
      <c r="F1087">
        <v>1303450</v>
      </c>
      <c r="G1087" s="8">
        <f t="shared" si="160"/>
        <v>2163.8333333333335</v>
      </c>
      <c r="H1087" s="9">
        <f t="shared" si="161"/>
        <v>2820448558.3333335</v>
      </c>
      <c r="I1087" s="9">
        <f t="shared" si="164"/>
        <v>25664962435.049995</v>
      </c>
      <c r="J1087" s="9">
        <f t="shared" si="165"/>
        <v>11705167</v>
      </c>
      <c r="K1087" s="21">
        <f t="shared" si="166"/>
        <v>2192.6182202312871</v>
      </c>
      <c r="L1087" s="4" t="str">
        <f t="shared" si="162"/>
        <v>SELL</v>
      </c>
      <c r="M1087" s="4">
        <f t="shared" si="167"/>
        <v>0</v>
      </c>
      <c r="N1087" s="4">
        <f t="shared" si="163"/>
        <v>-1</v>
      </c>
      <c r="O1087" s="4">
        <f t="shared" si="168"/>
        <v>2198.9</v>
      </c>
      <c r="P1087" s="4">
        <f t="shared" si="169"/>
        <v>0</v>
      </c>
    </row>
    <row r="1088" spans="1:16" x14ac:dyDescent="0.25">
      <c r="A1088" s="1">
        <v>42800</v>
      </c>
      <c r="B1088">
        <v>2152</v>
      </c>
      <c r="C1088">
        <v>2184.6999999999998</v>
      </c>
      <c r="D1088">
        <v>2152</v>
      </c>
      <c r="E1088" s="7">
        <v>2159.9</v>
      </c>
      <c r="F1088">
        <v>899720</v>
      </c>
      <c r="G1088" s="8">
        <f t="shared" si="160"/>
        <v>2165.5333333333333</v>
      </c>
      <c r="H1088" s="9">
        <f t="shared" si="161"/>
        <v>1948373650.6666667</v>
      </c>
      <c r="I1088" s="9">
        <f t="shared" si="164"/>
        <v>25461458922.383331</v>
      </c>
      <c r="J1088" s="9">
        <f t="shared" si="165"/>
        <v>11635391</v>
      </c>
      <c r="K1088" s="21">
        <f t="shared" si="166"/>
        <v>2188.2770353298251</v>
      </c>
      <c r="L1088" s="4" t="str">
        <f t="shared" si="162"/>
        <v>SELL</v>
      </c>
      <c r="M1088" s="4">
        <f t="shared" si="167"/>
        <v>0</v>
      </c>
      <c r="N1088" s="4">
        <f t="shared" si="163"/>
        <v>-1</v>
      </c>
      <c r="O1088" s="4">
        <f t="shared" si="168"/>
        <v>2198.9</v>
      </c>
      <c r="P1088" s="4">
        <f t="shared" si="169"/>
        <v>0</v>
      </c>
    </row>
    <row r="1089" spans="1:16" x14ac:dyDescent="0.25">
      <c r="A1089" s="1">
        <v>42801</v>
      </c>
      <c r="B1089">
        <v>2153</v>
      </c>
      <c r="C1089">
        <v>2166.6999999999998</v>
      </c>
      <c r="D1089">
        <v>2123.15</v>
      </c>
      <c r="E1089" s="7">
        <v>2159.35</v>
      </c>
      <c r="F1089">
        <v>1443032</v>
      </c>
      <c r="G1089" s="8">
        <f t="shared" si="160"/>
        <v>2149.7333333333336</v>
      </c>
      <c r="H1089" s="9">
        <f t="shared" si="161"/>
        <v>3102133991.4666672</v>
      </c>
      <c r="I1089" s="9">
        <f t="shared" si="164"/>
        <v>25069480616.25</v>
      </c>
      <c r="J1089" s="9">
        <f t="shared" si="165"/>
        <v>11498199</v>
      </c>
      <c r="K1089" s="21">
        <f t="shared" si="166"/>
        <v>2180.2962895536944</v>
      </c>
      <c r="L1089" s="4" t="str">
        <f t="shared" si="162"/>
        <v>SELL</v>
      </c>
      <c r="M1089" s="4">
        <f t="shared" si="167"/>
        <v>0</v>
      </c>
      <c r="N1089" s="4">
        <f t="shared" si="163"/>
        <v>-1</v>
      </c>
      <c r="O1089" s="4">
        <f t="shared" si="168"/>
        <v>2198.9</v>
      </c>
      <c r="P1089" s="4">
        <f t="shared" si="169"/>
        <v>0</v>
      </c>
    </row>
    <row r="1090" spans="1:16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 s="7">
        <v>2210.9499999999998</v>
      </c>
      <c r="F1090">
        <v>1273742</v>
      </c>
      <c r="G1090" s="8">
        <f t="shared" ref="G1090:G1153" si="170">AVERAGE(C1090:E1090)</f>
        <v>2205.25</v>
      </c>
      <c r="H1090" s="9">
        <f t="shared" si="161"/>
        <v>2808919545.5</v>
      </c>
      <c r="I1090" s="9">
        <f t="shared" si="164"/>
        <v>25075044558.599998</v>
      </c>
      <c r="J1090" s="9">
        <f t="shared" si="165"/>
        <v>11496558</v>
      </c>
      <c r="K1090" s="21">
        <f t="shared" si="166"/>
        <v>2181.0914674287728</v>
      </c>
      <c r="L1090" s="4" t="str">
        <f t="shared" si="162"/>
        <v>BUY</v>
      </c>
      <c r="M1090" s="4" t="str">
        <f t="shared" si="167"/>
        <v>BUY</v>
      </c>
      <c r="N1090" s="4">
        <f t="shared" si="163"/>
        <v>1</v>
      </c>
      <c r="O1090" s="4">
        <f t="shared" si="168"/>
        <v>2210.9499999999998</v>
      </c>
      <c r="P1090" s="4">
        <f t="shared" si="169"/>
        <v>-5.4800127336394229E-3</v>
      </c>
    </row>
    <row r="1091" spans="1:16" x14ac:dyDescent="0.25">
      <c r="A1091" s="1">
        <v>42803</v>
      </c>
      <c r="B1091">
        <v>2214.4</v>
      </c>
      <c r="C1091">
        <v>2237.6999999999998</v>
      </c>
      <c r="D1091">
        <v>2201.1</v>
      </c>
      <c r="E1091" s="7">
        <v>2216.1</v>
      </c>
      <c r="F1091">
        <v>694614</v>
      </c>
      <c r="G1091" s="8">
        <f t="shared" si="170"/>
        <v>2218.2999999999997</v>
      </c>
      <c r="H1091" s="9">
        <f t="shared" ref="H1091:H1154" si="171">G1091*F1091</f>
        <v>1540862236.1999998</v>
      </c>
      <c r="I1091" s="9">
        <f t="shared" si="164"/>
        <v>24592031969.799999</v>
      </c>
      <c r="J1091" s="9">
        <f t="shared" si="165"/>
        <v>11268082</v>
      </c>
      <c r="K1091" s="21">
        <f t="shared" si="166"/>
        <v>2182.4505687658288</v>
      </c>
      <c r="L1091" s="4" t="str">
        <f t="shared" si="162"/>
        <v>BUY</v>
      </c>
      <c r="M1091" s="4">
        <f t="shared" si="167"/>
        <v>0</v>
      </c>
      <c r="N1091" s="4">
        <f t="shared" si="163"/>
        <v>1</v>
      </c>
      <c r="O1091" s="4">
        <f t="shared" si="168"/>
        <v>2210.9499999999998</v>
      </c>
      <c r="P1091" s="4">
        <f t="shared" si="169"/>
        <v>0</v>
      </c>
    </row>
    <row r="1092" spans="1:16" x14ac:dyDescent="0.25">
      <c r="A1092" s="1">
        <v>42804</v>
      </c>
      <c r="B1092">
        <v>2216.1</v>
      </c>
      <c r="C1092">
        <v>2225</v>
      </c>
      <c r="D1092">
        <v>2171.15</v>
      </c>
      <c r="E1092" s="7">
        <v>2193.15</v>
      </c>
      <c r="F1092">
        <v>1260098</v>
      </c>
      <c r="G1092" s="8">
        <f t="shared" si="170"/>
        <v>2196.4333333333329</v>
      </c>
      <c r="H1092" s="9">
        <f t="shared" si="171"/>
        <v>2767721250.4666662</v>
      </c>
      <c r="I1092" s="9">
        <f t="shared" si="164"/>
        <v>24732306844.866669</v>
      </c>
      <c r="J1092" s="9">
        <f t="shared" si="165"/>
        <v>11329491</v>
      </c>
      <c r="K1092" s="21">
        <f t="shared" si="166"/>
        <v>2183.0024707082312</v>
      </c>
      <c r="L1092" s="4" t="str">
        <f t="shared" si="162"/>
        <v>BUY</v>
      </c>
      <c r="M1092" s="4">
        <f t="shared" si="167"/>
        <v>0</v>
      </c>
      <c r="N1092" s="4">
        <f t="shared" si="163"/>
        <v>1</v>
      </c>
      <c r="O1092" s="4">
        <f t="shared" si="168"/>
        <v>2210.9499999999998</v>
      </c>
      <c r="P1092" s="4">
        <f t="shared" si="169"/>
        <v>0</v>
      </c>
    </row>
    <row r="1093" spans="1:16" x14ac:dyDescent="0.25">
      <c r="A1093" s="1">
        <v>42807</v>
      </c>
      <c r="B1093">
        <v>2200.0500000000002</v>
      </c>
      <c r="C1093">
        <v>2253.4</v>
      </c>
      <c r="D1093">
        <v>2100.25</v>
      </c>
      <c r="E1093" s="7">
        <v>2160.75</v>
      </c>
      <c r="F1093">
        <v>2620899</v>
      </c>
      <c r="G1093" s="8">
        <f t="shared" si="170"/>
        <v>2171.4666666666667</v>
      </c>
      <c r="H1093" s="9">
        <f t="shared" si="171"/>
        <v>5691194815.1999998</v>
      </c>
      <c r="I1093" s="9">
        <f t="shared" si="164"/>
        <v>28310877415.26667</v>
      </c>
      <c r="J1093" s="9">
        <f t="shared" si="165"/>
        <v>12991501</v>
      </c>
      <c r="K1093" s="21">
        <f t="shared" si="166"/>
        <v>2179.1844849387821</v>
      </c>
      <c r="L1093" s="4" t="str">
        <f t="shared" si="162"/>
        <v>SELL</v>
      </c>
      <c r="M1093" s="4" t="str">
        <f t="shared" si="167"/>
        <v>SELL</v>
      </c>
      <c r="N1093" s="4">
        <f t="shared" si="163"/>
        <v>-1</v>
      </c>
      <c r="O1093" s="4">
        <f t="shared" si="168"/>
        <v>2160.75</v>
      </c>
      <c r="P1093" s="4">
        <f t="shared" si="169"/>
        <v>-2.2705171984893292E-2</v>
      </c>
    </row>
    <row r="1094" spans="1:16" x14ac:dyDescent="0.25">
      <c r="A1094" s="1">
        <v>42808</v>
      </c>
      <c r="B1094">
        <v>2150</v>
      </c>
      <c r="C1094">
        <v>2160</v>
      </c>
      <c r="D1094">
        <v>1999.5</v>
      </c>
      <c r="E1094" s="7">
        <v>2036.7</v>
      </c>
      <c r="F1094">
        <v>3258303</v>
      </c>
      <c r="G1094" s="8">
        <f t="shared" si="170"/>
        <v>2065.4</v>
      </c>
      <c r="H1094" s="9">
        <f t="shared" si="171"/>
        <v>6729699016.2000008</v>
      </c>
      <c r="I1094" s="9">
        <f t="shared" si="164"/>
        <v>33584386749.083336</v>
      </c>
      <c r="J1094" s="9">
        <f t="shared" si="165"/>
        <v>15592565</v>
      </c>
      <c r="K1094" s="21">
        <f t="shared" si="166"/>
        <v>2153.8718452726243</v>
      </c>
      <c r="L1094" s="4" t="str">
        <f t="shared" si="162"/>
        <v>SELL</v>
      </c>
      <c r="M1094" s="4">
        <f t="shared" si="167"/>
        <v>0</v>
      </c>
      <c r="N1094" s="4">
        <f t="shared" si="163"/>
        <v>-1</v>
      </c>
      <c r="O1094" s="4">
        <f t="shared" si="168"/>
        <v>2160.75</v>
      </c>
      <c r="P1094" s="4">
        <f t="shared" si="169"/>
        <v>0</v>
      </c>
    </row>
    <row r="1095" spans="1:16" x14ac:dyDescent="0.25">
      <c r="A1095" s="1">
        <v>42809</v>
      </c>
      <c r="B1095">
        <v>2028</v>
      </c>
      <c r="C1095">
        <v>2160</v>
      </c>
      <c r="D1095">
        <v>2028</v>
      </c>
      <c r="E1095" s="7">
        <v>2068.1999999999998</v>
      </c>
      <c r="F1095">
        <v>2351057</v>
      </c>
      <c r="G1095" s="8">
        <f t="shared" si="170"/>
        <v>2085.4</v>
      </c>
      <c r="H1095" s="9">
        <f t="shared" si="171"/>
        <v>4902894267.8000002</v>
      </c>
      <c r="I1095" s="9">
        <f t="shared" si="164"/>
        <v>37428243660.883339</v>
      </c>
      <c r="J1095" s="9">
        <f t="shared" si="165"/>
        <v>17463006</v>
      </c>
      <c r="K1095" s="21">
        <f t="shared" si="166"/>
        <v>2143.2875680672237</v>
      </c>
      <c r="L1095" s="4" t="str">
        <f t="shared" si="162"/>
        <v>SELL</v>
      </c>
      <c r="M1095" s="4">
        <f t="shared" si="167"/>
        <v>0</v>
      </c>
      <c r="N1095" s="4">
        <f t="shared" si="163"/>
        <v>-1</v>
      </c>
      <c r="O1095" s="4">
        <f t="shared" si="168"/>
        <v>2160.75</v>
      </c>
      <c r="P1095" s="4">
        <f t="shared" si="169"/>
        <v>0</v>
      </c>
    </row>
    <row r="1096" spans="1:16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 s="7">
        <v>2082.85</v>
      </c>
      <c r="F1096">
        <v>2058473</v>
      </c>
      <c r="G1096" s="8">
        <f t="shared" si="170"/>
        <v>2075.8833333333332</v>
      </c>
      <c r="H1096" s="9">
        <f t="shared" si="171"/>
        <v>4273149792.8166666</v>
      </c>
      <c r="I1096" s="9">
        <f t="shared" si="164"/>
        <v>36585397124.650002</v>
      </c>
      <c r="J1096" s="9">
        <f t="shared" si="165"/>
        <v>17163388</v>
      </c>
      <c r="K1096" s="21">
        <f t="shared" si="166"/>
        <v>2131.5952960248874</v>
      </c>
      <c r="L1096" s="4" t="str">
        <f t="shared" si="162"/>
        <v>SELL</v>
      </c>
      <c r="M1096" s="4">
        <f t="shared" si="167"/>
        <v>0</v>
      </c>
      <c r="N1096" s="4">
        <f t="shared" si="163"/>
        <v>-1</v>
      </c>
      <c r="O1096" s="4">
        <f t="shared" si="168"/>
        <v>2160.75</v>
      </c>
      <c r="P1096" s="4">
        <f t="shared" si="169"/>
        <v>0</v>
      </c>
    </row>
    <row r="1097" spans="1:16" x14ac:dyDescent="0.25">
      <c r="A1097" s="1">
        <v>42811</v>
      </c>
      <c r="B1097">
        <v>2096.75</v>
      </c>
      <c r="C1097">
        <v>2124</v>
      </c>
      <c r="D1097">
        <v>2075.1</v>
      </c>
      <c r="E1097" s="7">
        <v>2111.9499999999998</v>
      </c>
      <c r="F1097">
        <v>2108421</v>
      </c>
      <c r="G1097" s="8">
        <f t="shared" si="170"/>
        <v>2103.6833333333334</v>
      </c>
      <c r="H1097" s="9">
        <f t="shared" si="171"/>
        <v>4435450117.3500004</v>
      </c>
      <c r="I1097" s="9">
        <f t="shared" si="164"/>
        <v>38200398683.666664</v>
      </c>
      <c r="J1097" s="9">
        <f t="shared" si="165"/>
        <v>17968359</v>
      </c>
      <c r="K1097" s="21">
        <f t="shared" si="166"/>
        <v>2125.9814924482898</v>
      </c>
      <c r="L1097" s="4" t="str">
        <f t="shared" si="162"/>
        <v>SELL</v>
      </c>
      <c r="M1097" s="4">
        <f t="shared" si="167"/>
        <v>0</v>
      </c>
      <c r="N1097" s="4">
        <f t="shared" si="163"/>
        <v>-1</v>
      </c>
      <c r="O1097" s="4">
        <f t="shared" si="168"/>
        <v>2160.75</v>
      </c>
      <c r="P1097" s="4">
        <f t="shared" si="169"/>
        <v>0</v>
      </c>
    </row>
    <row r="1098" spans="1:16" x14ac:dyDescent="0.25">
      <c r="A1098" s="1">
        <v>42814</v>
      </c>
      <c r="B1098">
        <v>2119</v>
      </c>
      <c r="C1098">
        <v>2149</v>
      </c>
      <c r="D1098">
        <v>2096</v>
      </c>
      <c r="E1098" s="7">
        <v>2127.9</v>
      </c>
      <c r="F1098">
        <v>1547390</v>
      </c>
      <c r="G1098" s="8">
        <f t="shared" si="170"/>
        <v>2124.2999999999997</v>
      </c>
      <c r="H1098" s="9">
        <f t="shared" si="171"/>
        <v>3287120576.9999995</v>
      </c>
      <c r="I1098" s="9">
        <f t="shared" si="164"/>
        <v>39539145610</v>
      </c>
      <c r="J1098" s="9">
        <f t="shared" si="165"/>
        <v>18616029</v>
      </c>
      <c r="K1098" s="21">
        <f t="shared" si="166"/>
        <v>2123.9301684585903</v>
      </c>
      <c r="L1098" s="4" t="str">
        <f t="shared" si="162"/>
        <v>BUY</v>
      </c>
      <c r="M1098" s="4" t="str">
        <f t="shared" si="167"/>
        <v>BUY</v>
      </c>
      <c r="N1098" s="4">
        <f t="shared" si="163"/>
        <v>1</v>
      </c>
      <c r="O1098" s="4">
        <f t="shared" si="168"/>
        <v>2127.9</v>
      </c>
      <c r="P1098" s="4">
        <f t="shared" si="169"/>
        <v>1.5203054494966983E-2</v>
      </c>
    </row>
    <row r="1099" spans="1:16" x14ac:dyDescent="0.25">
      <c r="A1099" s="1">
        <v>42815</v>
      </c>
      <c r="B1099">
        <v>2149</v>
      </c>
      <c r="C1099">
        <v>2169.6</v>
      </c>
      <c r="D1099">
        <v>2133.6</v>
      </c>
      <c r="E1099" s="7">
        <v>2154</v>
      </c>
      <c r="F1099">
        <v>1325425</v>
      </c>
      <c r="G1099" s="8">
        <f t="shared" si="170"/>
        <v>2152.4</v>
      </c>
      <c r="H1099" s="9">
        <f t="shared" si="171"/>
        <v>2852844770</v>
      </c>
      <c r="I1099" s="9">
        <f t="shared" si="164"/>
        <v>39289856388.533333</v>
      </c>
      <c r="J1099" s="9">
        <f t="shared" si="165"/>
        <v>18498422</v>
      </c>
      <c r="K1099" s="21">
        <f t="shared" si="166"/>
        <v>2123.9571888095825</v>
      </c>
      <c r="L1099" s="4" t="str">
        <f t="shared" ref="L1099:L1162" si="172">IF(E1099&gt;K1099,"BUY",IF(E1099&lt;K1099,"SELL",0))</f>
        <v>BUY</v>
      </c>
      <c r="M1099" s="4">
        <f t="shared" si="167"/>
        <v>0</v>
      </c>
      <c r="N1099" s="4">
        <f t="shared" ref="N1099:N1162" si="173">IF(M1099="BUY",1,IF(M1099="SELL",-1,N1098))</f>
        <v>1</v>
      </c>
      <c r="O1099" s="4">
        <f t="shared" si="168"/>
        <v>2127.9</v>
      </c>
      <c r="P1099" s="4">
        <f t="shared" si="169"/>
        <v>0</v>
      </c>
    </row>
    <row r="1100" spans="1:16" x14ac:dyDescent="0.25">
      <c r="A1100" s="1">
        <v>42816</v>
      </c>
      <c r="B1100">
        <v>2160.15</v>
      </c>
      <c r="C1100">
        <v>2184.6</v>
      </c>
      <c r="D1100">
        <v>2118</v>
      </c>
      <c r="E1100" s="7">
        <v>2131.4499999999998</v>
      </c>
      <c r="F1100">
        <v>897547</v>
      </c>
      <c r="G1100" s="8">
        <f t="shared" si="170"/>
        <v>2144.6833333333334</v>
      </c>
      <c r="H1100" s="9">
        <f t="shared" si="171"/>
        <v>1924954091.7833333</v>
      </c>
      <c r="I1100" s="9">
        <f t="shared" ref="I1100:I1163" si="174">SUM(H1091:H1100)</f>
        <v>38405890934.816666</v>
      </c>
      <c r="J1100" s="9">
        <f t="shared" ref="J1100:J1163" si="175">SUM(F1091:F1100)</f>
        <v>18122227</v>
      </c>
      <c r="K1100" s="21">
        <f t="shared" ref="K1100:K1163" si="176">I1100/J1100</f>
        <v>2119.2699404337372</v>
      </c>
      <c r="L1100" s="4" t="str">
        <f t="shared" si="172"/>
        <v>BUY</v>
      </c>
      <c r="M1100" s="4">
        <f t="shared" ref="M1100:M1163" si="177">IF(L1100&lt;&gt;L1099,L1100,0)</f>
        <v>0</v>
      </c>
      <c r="N1100" s="4">
        <f t="shared" si="173"/>
        <v>1</v>
      </c>
      <c r="O1100" s="4">
        <f t="shared" ref="O1100:O1163" si="178">IF(M1100&lt;&gt;0,E1100,O1099)</f>
        <v>2127.9</v>
      </c>
      <c r="P1100" s="4">
        <f t="shared" ref="P1100:P1163" si="179">IF(M1100="BUY",(O1099-O1100)/O1099,IF(M1100="SELL",(O1100-O1099)/O1099,0))</f>
        <v>0</v>
      </c>
    </row>
    <row r="1101" spans="1:16" x14ac:dyDescent="0.25">
      <c r="A1101" s="1">
        <v>42817</v>
      </c>
      <c r="B1101">
        <v>2140</v>
      </c>
      <c r="C1101">
        <v>2158.75</v>
      </c>
      <c r="D1101">
        <v>2122.4499999999998</v>
      </c>
      <c r="E1101" s="7">
        <v>2150.5500000000002</v>
      </c>
      <c r="F1101">
        <v>943744</v>
      </c>
      <c r="G1101" s="8">
        <f t="shared" si="170"/>
        <v>2143.9166666666665</v>
      </c>
      <c r="H1101" s="9">
        <f t="shared" si="171"/>
        <v>2023308490.6666665</v>
      </c>
      <c r="I1101" s="9">
        <f t="shared" si="174"/>
        <v>38888337189.283333</v>
      </c>
      <c r="J1101" s="9">
        <f t="shared" si="175"/>
        <v>18371357</v>
      </c>
      <c r="K1101" s="21">
        <f t="shared" si="176"/>
        <v>2116.7917639009102</v>
      </c>
      <c r="L1101" s="4" t="str">
        <f t="shared" si="172"/>
        <v>BUY</v>
      </c>
      <c r="M1101" s="4">
        <f t="shared" si="177"/>
        <v>0</v>
      </c>
      <c r="N1101" s="4">
        <f t="shared" si="173"/>
        <v>1</v>
      </c>
      <c r="O1101" s="4">
        <f t="shared" si="178"/>
        <v>2127.9</v>
      </c>
      <c r="P1101" s="4">
        <f t="shared" si="179"/>
        <v>0</v>
      </c>
    </row>
    <row r="1102" spans="1:16" x14ac:dyDescent="0.25">
      <c r="A1102" s="1">
        <v>42818</v>
      </c>
      <c r="B1102">
        <v>2145</v>
      </c>
      <c r="C1102">
        <v>2180</v>
      </c>
      <c r="D1102">
        <v>2135.1999999999998</v>
      </c>
      <c r="E1102" s="7">
        <v>2159.9499999999998</v>
      </c>
      <c r="F1102">
        <v>1410355</v>
      </c>
      <c r="G1102" s="8">
        <f t="shared" si="170"/>
        <v>2158.3833333333332</v>
      </c>
      <c r="H1102" s="9">
        <f t="shared" si="171"/>
        <v>3044086726.083333</v>
      </c>
      <c r="I1102" s="9">
        <f t="shared" si="174"/>
        <v>39164702664.900002</v>
      </c>
      <c r="J1102" s="9">
        <f t="shared" si="175"/>
        <v>18521614</v>
      </c>
      <c r="K1102" s="21">
        <f t="shared" si="176"/>
        <v>2114.5404857751601</v>
      </c>
      <c r="L1102" s="4" t="str">
        <f t="shared" si="172"/>
        <v>BUY</v>
      </c>
      <c r="M1102" s="4">
        <f t="shared" si="177"/>
        <v>0</v>
      </c>
      <c r="N1102" s="4">
        <f t="shared" si="173"/>
        <v>1</v>
      </c>
      <c r="O1102" s="4">
        <f t="shared" si="178"/>
        <v>2127.9</v>
      </c>
      <c r="P1102" s="4">
        <f t="shared" si="179"/>
        <v>0</v>
      </c>
    </row>
    <row r="1103" spans="1:16" x14ac:dyDescent="0.25">
      <c r="A1103" s="1">
        <v>42821</v>
      </c>
      <c r="B1103">
        <v>2158.8000000000002</v>
      </c>
      <c r="C1103">
        <v>2167</v>
      </c>
      <c r="D1103">
        <v>2130.15</v>
      </c>
      <c r="E1103" s="7">
        <v>2141.35</v>
      </c>
      <c r="F1103">
        <v>1292824</v>
      </c>
      <c r="G1103" s="8">
        <f t="shared" si="170"/>
        <v>2146.1666666666665</v>
      </c>
      <c r="H1103" s="9">
        <f t="shared" si="171"/>
        <v>2774615774.6666665</v>
      </c>
      <c r="I1103" s="9">
        <f t="shared" si="174"/>
        <v>36248123624.366661</v>
      </c>
      <c r="J1103" s="9">
        <f t="shared" si="175"/>
        <v>17193539</v>
      </c>
      <c r="K1103" s="21">
        <f t="shared" si="176"/>
        <v>2108.2409865919203</v>
      </c>
      <c r="L1103" s="4" t="str">
        <f t="shared" si="172"/>
        <v>BUY</v>
      </c>
      <c r="M1103" s="4">
        <f t="shared" si="177"/>
        <v>0</v>
      </c>
      <c r="N1103" s="4">
        <f t="shared" si="173"/>
        <v>1</v>
      </c>
      <c r="O1103" s="4">
        <f t="shared" si="178"/>
        <v>2127.9</v>
      </c>
      <c r="P1103" s="4">
        <f t="shared" si="179"/>
        <v>0</v>
      </c>
    </row>
    <row r="1104" spans="1:16" x14ac:dyDescent="0.25">
      <c r="A1104" s="1">
        <v>42822</v>
      </c>
      <c r="B1104">
        <v>2144</v>
      </c>
      <c r="C1104">
        <v>2157.75</v>
      </c>
      <c r="D1104">
        <v>2116.0500000000002</v>
      </c>
      <c r="E1104" s="7">
        <v>2129.85</v>
      </c>
      <c r="F1104">
        <v>547579</v>
      </c>
      <c r="G1104" s="8">
        <f t="shared" si="170"/>
        <v>2134.5499999999997</v>
      </c>
      <c r="H1104" s="9">
        <f t="shared" si="171"/>
        <v>1168834754.4499998</v>
      </c>
      <c r="I1104" s="9">
        <f t="shared" si="174"/>
        <v>30687259362.616669</v>
      </c>
      <c r="J1104" s="9">
        <f t="shared" si="175"/>
        <v>14482815</v>
      </c>
      <c r="K1104" s="21">
        <f t="shared" si="176"/>
        <v>2118.8739456118628</v>
      </c>
      <c r="L1104" s="4" t="str">
        <f t="shared" si="172"/>
        <v>BUY</v>
      </c>
      <c r="M1104" s="4">
        <f t="shared" si="177"/>
        <v>0</v>
      </c>
      <c r="N1104" s="4">
        <f t="shared" si="173"/>
        <v>1</v>
      </c>
      <c r="O1104" s="4">
        <f t="shared" si="178"/>
        <v>2127.9</v>
      </c>
      <c r="P1104" s="4">
        <f t="shared" si="179"/>
        <v>0</v>
      </c>
    </row>
    <row r="1105" spans="1:16" x14ac:dyDescent="0.25">
      <c r="A1105" s="1">
        <v>42823</v>
      </c>
      <c r="B1105">
        <v>2129.85</v>
      </c>
      <c r="C1105">
        <v>2138</v>
      </c>
      <c r="D1105">
        <v>2105.1999999999998</v>
      </c>
      <c r="E1105" s="7">
        <v>2128.6</v>
      </c>
      <c r="F1105">
        <v>1242314</v>
      </c>
      <c r="G1105" s="8">
        <f t="shared" si="170"/>
        <v>2123.9333333333329</v>
      </c>
      <c r="H1105" s="9">
        <f t="shared" si="171"/>
        <v>2638592115.0666661</v>
      </c>
      <c r="I1105" s="9">
        <f t="shared" si="174"/>
        <v>28422957209.883335</v>
      </c>
      <c r="J1105" s="9">
        <f t="shared" si="175"/>
        <v>13374072</v>
      </c>
      <c r="K1105" s="21">
        <f t="shared" si="176"/>
        <v>2125.2283679857064</v>
      </c>
      <c r="L1105" s="4" t="str">
        <f t="shared" si="172"/>
        <v>BUY</v>
      </c>
      <c r="M1105" s="4">
        <f t="shared" si="177"/>
        <v>0</v>
      </c>
      <c r="N1105" s="4">
        <f t="shared" si="173"/>
        <v>1</v>
      </c>
      <c r="O1105" s="4">
        <f t="shared" si="178"/>
        <v>2127.9</v>
      </c>
      <c r="P1105" s="4">
        <f t="shared" si="179"/>
        <v>0</v>
      </c>
    </row>
    <row r="1106" spans="1:16" x14ac:dyDescent="0.25">
      <c r="A1106" s="1">
        <v>42824</v>
      </c>
      <c r="B1106">
        <v>2130</v>
      </c>
      <c r="C1106">
        <v>2134.9</v>
      </c>
      <c r="D1106">
        <v>2077</v>
      </c>
      <c r="E1106" s="7">
        <v>2089.25</v>
      </c>
      <c r="F1106">
        <v>1070531</v>
      </c>
      <c r="G1106" s="8">
        <f t="shared" si="170"/>
        <v>2100.3833333333332</v>
      </c>
      <c r="H1106" s="9">
        <f t="shared" si="171"/>
        <v>2248525470.2166667</v>
      </c>
      <c r="I1106" s="9">
        <f t="shared" si="174"/>
        <v>26398332887.283333</v>
      </c>
      <c r="J1106" s="9">
        <f t="shared" si="175"/>
        <v>12386130</v>
      </c>
      <c r="K1106" s="21">
        <f t="shared" si="176"/>
        <v>2131.2817552603865</v>
      </c>
      <c r="L1106" s="4" t="str">
        <f t="shared" si="172"/>
        <v>SELL</v>
      </c>
      <c r="M1106" s="4" t="str">
        <f t="shared" si="177"/>
        <v>SELL</v>
      </c>
      <c r="N1106" s="4">
        <f t="shared" si="173"/>
        <v>-1</v>
      </c>
      <c r="O1106" s="4">
        <f t="shared" si="178"/>
        <v>2089.25</v>
      </c>
      <c r="P1106" s="4">
        <f t="shared" si="179"/>
        <v>-1.8163447530429103E-2</v>
      </c>
    </row>
    <row r="1107" spans="1:16" x14ac:dyDescent="0.25">
      <c r="A1107" s="1">
        <v>42825</v>
      </c>
      <c r="B1107">
        <v>2083.1</v>
      </c>
      <c r="C1107">
        <v>2116.4</v>
      </c>
      <c r="D1107">
        <v>2068</v>
      </c>
      <c r="E1107" s="7">
        <v>2104.15</v>
      </c>
      <c r="F1107">
        <v>2174235</v>
      </c>
      <c r="G1107" s="8">
        <f t="shared" si="170"/>
        <v>2096.1833333333329</v>
      </c>
      <c r="H1107" s="9">
        <f t="shared" si="171"/>
        <v>4557595169.749999</v>
      </c>
      <c r="I1107" s="9">
        <f t="shared" si="174"/>
        <v>26520477939.683331</v>
      </c>
      <c r="J1107" s="9">
        <f t="shared" si="175"/>
        <v>12451944</v>
      </c>
      <c r="K1107" s="21">
        <f t="shared" si="176"/>
        <v>2129.8263098262673</v>
      </c>
      <c r="L1107" s="4" t="str">
        <f t="shared" si="172"/>
        <v>SELL</v>
      </c>
      <c r="M1107" s="4">
        <f t="shared" si="177"/>
        <v>0</v>
      </c>
      <c r="N1107" s="4">
        <f t="shared" si="173"/>
        <v>-1</v>
      </c>
      <c r="O1107" s="4">
        <f t="shared" si="178"/>
        <v>2089.25</v>
      </c>
      <c r="P1107" s="4">
        <f t="shared" si="179"/>
        <v>0</v>
      </c>
    </row>
    <row r="1108" spans="1:16" x14ac:dyDescent="0.25">
      <c r="A1108" s="1">
        <v>42828</v>
      </c>
      <c r="B1108">
        <v>2100.15</v>
      </c>
      <c r="C1108">
        <v>2107.8000000000002</v>
      </c>
      <c r="D1108">
        <v>2056</v>
      </c>
      <c r="E1108" s="7">
        <v>2084.25</v>
      </c>
      <c r="F1108">
        <v>1680793</v>
      </c>
      <c r="G1108" s="8">
        <f t="shared" si="170"/>
        <v>2082.6833333333334</v>
      </c>
      <c r="H1108" s="9">
        <f t="shared" si="171"/>
        <v>3500559567.8833332</v>
      </c>
      <c r="I1108" s="9">
        <f t="shared" si="174"/>
        <v>26733916930.566666</v>
      </c>
      <c r="J1108" s="9">
        <f t="shared" si="175"/>
        <v>12585347</v>
      </c>
      <c r="K1108" s="21">
        <f t="shared" si="176"/>
        <v>2124.2097600142979</v>
      </c>
      <c r="L1108" s="4" t="str">
        <f t="shared" si="172"/>
        <v>SELL</v>
      </c>
      <c r="M1108" s="4">
        <f t="shared" si="177"/>
        <v>0</v>
      </c>
      <c r="N1108" s="4">
        <f t="shared" si="173"/>
        <v>-1</v>
      </c>
      <c r="O1108" s="4">
        <f t="shared" si="178"/>
        <v>2089.25</v>
      </c>
      <c r="P1108" s="4">
        <f t="shared" si="179"/>
        <v>0</v>
      </c>
    </row>
    <row r="1109" spans="1:16" x14ac:dyDescent="0.25">
      <c r="A1109" s="1">
        <v>42829</v>
      </c>
      <c r="B1109">
        <v>2087</v>
      </c>
      <c r="C1109">
        <v>2118</v>
      </c>
      <c r="D1109">
        <v>2080</v>
      </c>
      <c r="E1109" s="7">
        <v>2113.8000000000002</v>
      </c>
      <c r="F1109">
        <v>1333098</v>
      </c>
      <c r="G1109" s="8">
        <f t="shared" si="170"/>
        <v>2103.9333333333334</v>
      </c>
      <c r="H1109" s="9">
        <f t="shared" si="171"/>
        <v>2804749318.8000002</v>
      </c>
      <c r="I1109" s="9">
        <f t="shared" si="174"/>
        <v>26685821479.366665</v>
      </c>
      <c r="J1109" s="9">
        <f t="shared" si="175"/>
        <v>12593020</v>
      </c>
      <c r="K1109" s="21">
        <f t="shared" si="176"/>
        <v>2119.0962516828104</v>
      </c>
      <c r="L1109" s="4" t="str">
        <f t="shared" si="172"/>
        <v>SELL</v>
      </c>
      <c r="M1109" s="4">
        <f t="shared" si="177"/>
        <v>0</v>
      </c>
      <c r="N1109" s="4">
        <f t="shared" si="173"/>
        <v>-1</v>
      </c>
      <c r="O1109" s="4">
        <f t="shared" si="178"/>
        <v>2089.25</v>
      </c>
      <c r="P1109" s="4">
        <f t="shared" si="179"/>
        <v>0</v>
      </c>
    </row>
    <row r="1110" spans="1:16" x14ac:dyDescent="0.25">
      <c r="A1110" s="1">
        <v>42830</v>
      </c>
      <c r="B1110">
        <v>2115</v>
      </c>
      <c r="C1110">
        <v>2160.9499999999998</v>
      </c>
      <c r="D1110">
        <v>2115</v>
      </c>
      <c r="E1110" s="7">
        <v>2158.15</v>
      </c>
      <c r="F1110">
        <v>1314034</v>
      </c>
      <c r="G1110" s="8">
        <f t="shared" si="170"/>
        <v>2144.7000000000003</v>
      </c>
      <c r="H1110" s="9">
        <f t="shared" si="171"/>
        <v>2818208719.8000002</v>
      </c>
      <c r="I1110" s="9">
        <f t="shared" si="174"/>
        <v>27579076107.383331</v>
      </c>
      <c r="J1110" s="9">
        <f t="shared" si="175"/>
        <v>13009507</v>
      </c>
      <c r="K1110" s="21">
        <f t="shared" si="176"/>
        <v>2119.9170812070997</v>
      </c>
      <c r="L1110" s="4" t="str">
        <f t="shared" si="172"/>
        <v>BUY</v>
      </c>
      <c r="M1110" s="4" t="str">
        <f t="shared" si="177"/>
        <v>BUY</v>
      </c>
      <c r="N1110" s="4">
        <f t="shared" si="173"/>
        <v>1</v>
      </c>
      <c r="O1110" s="4">
        <f t="shared" si="178"/>
        <v>2158.15</v>
      </c>
      <c r="P1110" s="4">
        <f t="shared" si="179"/>
        <v>-3.2978341510111329E-2</v>
      </c>
    </row>
    <row r="1111" spans="1:16" x14ac:dyDescent="0.25">
      <c r="A1111" s="1">
        <v>42831</v>
      </c>
      <c r="B1111">
        <v>2165</v>
      </c>
      <c r="C1111">
        <v>2214</v>
      </c>
      <c r="D1111">
        <v>2138.1999999999998</v>
      </c>
      <c r="E1111" s="7">
        <v>2206.9499999999998</v>
      </c>
      <c r="F1111">
        <v>1772281</v>
      </c>
      <c r="G1111" s="8">
        <f t="shared" si="170"/>
        <v>2186.3833333333332</v>
      </c>
      <c r="H1111" s="9">
        <f t="shared" si="171"/>
        <v>3874885640.3833332</v>
      </c>
      <c r="I1111" s="9">
        <f t="shared" si="174"/>
        <v>29430653257.099998</v>
      </c>
      <c r="J1111" s="9">
        <f t="shared" si="175"/>
        <v>13838044</v>
      </c>
      <c r="K1111" s="21">
        <f t="shared" si="176"/>
        <v>2126.7928658920291</v>
      </c>
      <c r="L1111" s="4" t="str">
        <f t="shared" si="172"/>
        <v>BUY</v>
      </c>
      <c r="M1111" s="4">
        <f t="shared" si="177"/>
        <v>0</v>
      </c>
      <c r="N1111" s="4">
        <f t="shared" si="173"/>
        <v>1</v>
      </c>
      <c r="O1111" s="4">
        <f t="shared" si="178"/>
        <v>2158.15</v>
      </c>
      <c r="P1111" s="4">
        <f t="shared" si="179"/>
        <v>0</v>
      </c>
    </row>
    <row r="1112" spans="1:16" x14ac:dyDescent="0.25">
      <c r="A1112" s="1">
        <v>42832</v>
      </c>
      <c r="B1112">
        <v>2249</v>
      </c>
      <c r="C1112">
        <v>2254</v>
      </c>
      <c r="D1112">
        <v>2183.8000000000002</v>
      </c>
      <c r="E1112" s="7">
        <v>2237.35</v>
      </c>
      <c r="F1112">
        <v>1367169</v>
      </c>
      <c r="G1112" s="8">
        <f t="shared" si="170"/>
        <v>2225.0499999999997</v>
      </c>
      <c r="H1112" s="9">
        <f t="shared" si="171"/>
        <v>3042019383.4499998</v>
      </c>
      <c r="I1112" s="9">
        <f t="shared" si="174"/>
        <v>29428585914.466663</v>
      </c>
      <c r="J1112" s="9">
        <f t="shared" si="175"/>
        <v>13794858</v>
      </c>
      <c r="K1112" s="21">
        <f t="shared" si="176"/>
        <v>2133.3011122308517</v>
      </c>
      <c r="L1112" s="4" t="str">
        <f t="shared" si="172"/>
        <v>BUY</v>
      </c>
      <c r="M1112" s="4">
        <f t="shared" si="177"/>
        <v>0</v>
      </c>
      <c r="N1112" s="4">
        <f t="shared" si="173"/>
        <v>1</v>
      </c>
      <c r="O1112" s="4">
        <f t="shared" si="178"/>
        <v>2158.15</v>
      </c>
      <c r="P1112" s="4">
        <f t="shared" si="179"/>
        <v>0</v>
      </c>
    </row>
    <row r="1113" spans="1:16" x14ac:dyDescent="0.25">
      <c r="A1113" s="1">
        <v>42835</v>
      </c>
      <c r="B1113">
        <v>2238</v>
      </c>
      <c r="C1113">
        <v>2239</v>
      </c>
      <c r="D1113">
        <v>2185.0500000000002</v>
      </c>
      <c r="E1113" s="7">
        <v>2213.5500000000002</v>
      </c>
      <c r="F1113">
        <v>952011</v>
      </c>
      <c r="G1113" s="8">
        <f t="shared" si="170"/>
        <v>2212.5333333333333</v>
      </c>
      <c r="H1113" s="9">
        <f t="shared" si="171"/>
        <v>2106356071.2</v>
      </c>
      <c r="I1113" s="9">
        <f t="shared" si="174"/>
        <v>28760326211</v>
      </c>
      <c r="J1113" s="9">
        <f t="shared" si="175"/>
        <v>13454045</v>
      </c>
      <c r="K1113" s="21">
        <f t="shared" si="176"/>
        <v>2137.6713256868102</v>
      </c>
      <c r="L1113" s="4" t="str">
        <f t="shared" si="172"/>
        <v>BUY</v>
      </c>
      <c r="M1113" s="4">
        <f t="shared" si="177"/>
        <v>0</v>
      </c>
      <c r="N1113" s="4">
        <f t="shared" si="173"/>
        <v>1</v>
      </c>
      <c r="O1113" s="4">
        <f t="shared" si="178"/>
        <v>2158.15</v>
      </c>
      <c r="P1113" s="4">
        <f t="shared" si="179"/>
        <v>0</v>
      </c>
    </row>
    <row r="1114" spans="1:16" x14ac:dyDescent="0.25">
      <c r="A1114" s="1">
        <v>42836</v>
      </c>
      <c r="B1114">
        <v>2210</v>
      </c>
      <c r="C1114">
        <v>2276.9499999999998</v>
      </c>
      <c r="D1114">
        <v>2210</v>
      </c>
      <c r="E1114" s="7">
        <v>2269.75</v>
      </c>
      <c r="F1114">
        <v>1219953</v>
      </c>
      <c r="G1114" s="8">
        <f t="shared" si="170"/>
        <v>2252.2333333333331</v>
      </c>
      <c r="H1114" s="9">
        <f t="shared" si="171"/>
        <v>2747618811.6999998</v>
      </c>
      <c r="I1114" s="9">
        <f t="shared" si="174"/>
        <v>30339110268.250004</v>
      </c>
      <c r="J1114" s="9">
        <f t="shared" si="175"/>
        <v>14126419</v>
      </c>
      <c r="K1114" s="21">
        <f t="shared" si="176"/>
        <v>2147.6858550103889</v>
      </c>
      <c r="L1114" s="4" t="str">
        <f t="shared" si="172"/>
        <v>BUY</v>
      </c>
      <c r="M1114" s="4">
        <f t="shared" si="177"/>
        <v>0</v>
      </c>
      <c r="N1114" s="4">
        <f t="shared" si="173"/>
        <v>1</v>
      </c>
      <c r="O1114" s="4">
        <f t="shared" si="178"/>
        <v>2158.15</v>
      </c>
      <c r="P1114" s="4">
        <f t="shared" si="179"/>
        <v>0</v>
      </c>
    </row>
    <row r="1115" spans="1:16" x14ac:dyDescent="0.25">
      <c r="A1115" s="1">
        <v>42837</v>
      </c>
      <c r="B1115">
        <v>2284.9</v>
      </c>
      <c r="C1115">
        <v>2297</v>
      </c>
      <c r="D1115">
        <v>2271</v>
      </c>
      <c r="E1115" s="7">
        <v>2279.85</v>
      </c>
      <c r="F1115">
        <v>959072</v>
      </c>
      <c r="G1115" s="8">
        <f t="shared" si="170"/>
        <v>2282.6166666666668</v>
      </c>
      <c r="H1115" s="9">
        <f t="shared" si="171"/>
        <v>2189193731.7333336</v>
      </c>
      <c r="I1115" s="9">
        <f t="shared" si="174"/>
        <v>29889711884.916664</v>
      </c>
      <c r="J1115" s="9">
        <f t="shared" si="175"/>
        <v>13843177</v>
      </c>
      <c r="K1115" s="21">
        <f t="shared" si="176"/>
        <v>2159.1656225241259</v>
      </c>
      <c r="L1115" s="4" t="str">
        <f t="shared" si="172"/>
        <v>BUY</v>
      </c>
      <c r="M1115" s="4">
        <f t="shared" si="177"/>
        <v>0</v>
      </c>
      <c r="N1115" s="4">
        <f t="shared" si="173"/>
        <v>1</v>
      </c>
      <c r="O1115" s="4">
        <f t="shared" si="178"/>
        <v>2158.15</v>
      </c>
      <c r="P1115" s="4">
        <f t="shared" si="179"/>
        <v>0</v>
      </c>
    </row>
    <row r="1116" spans="1:16" x14ac:dyDescent="0.25">
      <c r="A1116" s="1">
        <v>42838</v>
      </c>
      <c r="B1116">
        <v>2293</v>
      </c>
      <c r="C1116">
        <v>2293</v>
      </c>
      <c r="D1116">
        <v>2221.3000000000002</v>
      </c>
      <c r="E1116" s="7">
        <v>2227.0500000000002</v>
      </c>
      <c r="F1116">
        <v>974412</v>
      </c>
      <c r="G1116" s="8">
        <f t="shared" si="170"/>
        <v>2247.1166666666668</v>
      </c>
      <c r="H1116" s="9">
        <f t="shared" si="171"/>
        <v>2189617445.4000001</v>
      </c>
      <c r="I1116" s="9">
        <f t="shared" si="174"/>
        <v>29830803860.100006</v>
      </c>
      <c r="J1116" s="9">
        <f t="shared" si="175"/>
        <v>13747058</v>
      </c>
      <c r="K1116" s="21">
        <f t="shared" si="176"/>
        <v>2169.9773042421152</v>
      </c>
      <c r="L1116" s="4" t="str">
        <f t="shared" si="172"/>
        <v>BUY</v>
      </c>
      <c r="M1116" s="4">
        <f t="shared" si="177"/>
        <v>0</v>
      </c>
      <c r="N1116" s="4">
        <f t="shared" si="173"/>
        <v>1</v>
      </c>
      <c r="O1116" s="4">
        <f t="shared" si="178"/>
        <v>2158.15</v>
      </c>
      <c r="P1116" s="4">
        <f t="shared" si="179"/>
        <v>0</v>
      </c>
    </row>
    <row r="1117" spans="1:16" x14ac:dyDescent="0.25">
      <c r="A1117" s="1">
        <v>42839</v>
      </c>
      <c r="B1117">
        <v>2230</v>
      </c>
      <c r="C1117">
        <v>2289</v>
      </c>
      <c r="D1117">
        <v>2210.1</v>
      </c>
      <c r="E1117" s="7">
        <v>2276.0500000000002</v>
      </c>
      <c r="F1117">
        <v>948177</v>
      </c>
      <c r="G1117" s="8">
        <f t="shared" si="170"/>
        <v>2258.3833333333337</v>
      </c>
      <c r="H1117" s="9">
        <f t="shared" si="171"/>
        <v>2141347133.8500004</v>
      </c>
      <c r="I1117" s="9">
        <f t="shared" si="174"/>
        <v>27414555824.200005</v>
      </c>
      <c r="J1117" s="9">
        <f t="shared" si="175"/>
        <v>12521000</v>
      </c>
      <c r="K1117" s="21">
        <f t="shared" si="176"/>
        <v>2189.4861292388791</v>
      </c>
      <c r="L1117" s="4" t="str">
        <f t="shared" si="172"/>
        <v>BUY</v>
      </c>
      <c r="M1117" s="4">
        <f t="shared" si="177"/>
        <v>0</v>
      </c>
      <c r="N1117" s="4">
        <f t="shared" si="173"/>
        <v>1</v>
      </c>
      <c r="O1117" s="4">
        <f t="shared" si="178"/>
        <v>2158.15</v>
      </c>
      <c r="P1117" s="4">
        <f t="shared" si="179"/>
        <v>0</v>
      </c>
    </row>
    <row r="1118" spans="1:16" x14ac:dyDescent="0.25">
      <c r="A1118" s="1">
        <v>42842</v>
      </c>
      <c r="B1118">
        <v>2284.9</v>
      </c>
      <c r="C1118">
        <v>2299</v>
      </c>
      <c r="D1118">
        <v>2262</v>
      </c>
      <c r="E1118" s="7">
        <v>2292.4</v>
      </c>
      <c r="F1118">
        <v>577837</v>
      </c>
      <c r="G1118" s="8">
        <f t="shared" si="170"/>
        <v>2284.4666666666667</v>
      </c>
      <c r="H1118" s="9">
        <f t="shared" si="171"/>
        <v>1320049365.2666667</v>
      </c>
      <c r="I1118" s="9">
        <f t="shared" si="174"/>
        <v>25234045621.58334</v>
      </c>
      <c r="J1118" s="9">
        <f t="shared" si="175"/>
        <v>11418044</v>
      </c>
      <c r="K1118" s="21">
        <f t="shared" si="176"/>
        <v>2210.0147469727162</v>
      </c>
      <c r="L1118" s="4" t="str">
        <f t="shared" si="172"/>
        <v>BUY</v>
      </c>
      <c r="M1118" s="4">
        <f t="shared" si="177"/>
        <v>0</v>
      </c>
      <c r="N1118" s="4">
        <f t="shared" si="173"/>
        <v>1</v>
      </c>
      <c r="O1118" s="4">
        <f t="shared" si="178"/>
        <v>2158.15</v>
      </c>
      <c r="P1118" s="4">
        <f t="shared" si="179"/>
        <v>0</v>
      </c>
    </row>
    <row r="1119" spans="1:16" x14ac:dyDescent="0.25">
      <c r="A1119" s="1">
        <v>42843</v>
      </c>
      <c r="B1119">
        <v>2293</v>
      </c>
      <c r="C1119">
        <v>2299.9</v>
      </c>
      <c r="D1119">
        <v>2254.0500000000002</v>
      </c>
      <c r="E1119" s="7">
        <v>2268.85</v>
      </c>
      <c r="F1119">
        <v>631367</v>
      </c>
      <c r="G1119" s="8">
        <f t="shared" si="170"/>
        <v>2274.2666666666669</v>
      </c>
      <c r="H1119" s="9">
        <f t="shared" si="171"/>
        <v>1435896922.5333335</v>
      </c>
      <c r="I1119" s="9">
        <f t="shared" si="174"/>
        <v>23865193225.316669</v>
      </c>
      <c r="J1119" s="9">
        <f t="shared" si="175"/>
        <v>10716313</v>
      </c>
      <c r="K1119" s="21">
        <f t="shared" si="176"/>
        <v>2226.9966569021144</v>
      </c>
      <c r="L1119" s="4" t="str">
        <f t="shared" si="172"/>
        <v>BUY</v>
      </c>
      <c r="M1119" s="4">
        <f t="shared" si="177"/>
        <v>0</v>
      </c>
      <c r="N1119" s="4">
        <f t="shared" si="173"/>
        <v>1</v>
      </c>
      <c r="O1119" s="4">
        <f t="shared" si="178"/>
        <v>2158.15</v>
      </c>
      <c r="P1119" s="4">
        <f t="shared" si="179"/>
        <v>0</v>
      </c>
    </row>
    <row r="1120" spans="1:16" x14ac:dyDescent="0.25">
      <c r="A1120" s="1">
        <v>42844</v>
      </c>
      <c r="B1120">
        <v>2269</v>
      </c>
      <c r="C1120">
        <v>2319.5</v>
      </c>
      <c r="D1120">
        <v>2255</v>
      </c>
      <c r="E1120" s="7">
        <v>2309.0500000000002</v>
      </c>
      <c r="F1120">
        <v>739550</v>
      </c>
      <c r="G1120" s="8">
        <f t="shared" si="170"/>
        <v>2294.5166666666669</v>
      </c>
      <c r="H1120" s="9">
        <f t="shared" si="171"/>
        <v>1696909800.8333335</v>
      </c>
      <c r="I1120" s="9">
        <f t="shared" si="174"/>
        <v>22743894306.349998</v>
      </c>
      <c r="J1120" s="9">
        <f t="shared" si="175"/>
        <v>10141829</v>
      </c>
      <c r="K1120" s="21">
        <f t="shared" si="176"/>
        <v>2242.583098802987</v>
      </c>
      <c r="L1120" s="4" t="str">
        <f t="shared" si="172"/>
        <v>BUY</v>
      </c>
      <c r="M1120" s="4">
        <f t="shared" si="177"/>
        <v>0</v>
      </c>
      <c r="N1120" s="4">
        <f t="shared" si="173"/>
        <v>1</v>
      </c>
      <c r="O1120" s="4">
        <f t="shared" si="178"/>
        <v>2158.15</v>
      </c>
      <c r="P1120" s="4">
        <f t="shared" si="179"/>
        <v>0</v>
      </c>
    </row>
    <row r="1121" spans="1:16" x14ac:dyDescent="0.25">
      <c r="A1121" s="1">
        <v>42845</v>
      </c>
      <c r="B1121">
        <v>2310</v>
      </c>
      <c r="C1121">
        <v>2320</v>
      </c>
      <c r="D1121">
        <v>2293</v>
      </c>
      <c r="E1121" s="7">
        <v>2310.5500000000002</v>
      </c>
      <c r="F1121">
        <v>514211</v>
      </c>
      <c r="G1121" s="8">
        <f t="shared" si="170"/>
        <v>2307.85</v>
      </c>
      <c r="H1121" s="9">
        <f t="shared" si="171"/>
        <v>1186721856.3499999</v>
      </c>
      <c r="I1121" s="9">
        <f t="shared" si="174"/>
        <v>20055730522.316662</v>
      </c>
      <c r="J1121" s="9">
        <f t="shared" si="175"/>
        <v>8883759</v>
      </c>
      <c r="K1121" s="21">
        <f t="shared" si="176"/>
        <v>2257.5725571029857</v>
      </c>
      <c r="L1121" s="4" t="str">
        <f t="shared" si="172"/>
        <v>BUY</v>
      </c>
      <c r="M1121" s="4">
        <f t="shared" si="177"/>
        <v>0</v>
      </c>
      <c r="N1121" s="4">
        <f t="shared" si="173"/>
        <v>1</v>
      </c>
      <c r="O1121" s="4">
        <f t="shared" si="178"/>
        <v>2158.15</v>
      </c>
      <c r="P1121" s="4">
        <f t="shared" si="179"/>
        <v>0</v>
      </c>
    </row>
    <row r="1122" spans="1:16" x14ac:dyDescent="0.25">
      <c r="A1122" s="1">
        <v>42846</v>
      </c>
      <c r="B1122">
        <v>2296</v>
      </c>
      <c r="C1122">
        <v>2344.15</v>
      </c>
      <c r="D1122">
        <v>2291.15</v>
      </c>
      <c r="E1122" s="7">
        <v>2307.65</v>
      </c>
      <c r="F1122">
        <v>1018091</v>
      </c>
      <c r="G1122" s="8">
        <f t="shared" si="170"/>
        <v>2314.3166666666671</v>
      </c>
      <c r="H1122" s="9">
        <f t="shared" si="171"/>
        <v>2356184969.4833336</v>
      </c>
      <c r="I1122" s="9">
        <f t="shared" si="174"/>
        <v>19369896108.349998</v>
      </c>
      <c r="J1122" s="9">
        <f t="shared" si="175"/>
        <v>8534681</v>
      </c>
      <c r="K1122" s="21">
        <f t="shared" si="176"/>
        <v>2269.5512706743225</v>
      </c>
      <c r="L1122" s="4" t="str">
        <f t="shared" si="172"/>
        <v>BUY</v>
      </c>
      <c r="M1122" s="4">
        <f t="shared" si="177"/>
        <v>0</v>
      </c>
      <c r="N1122" s="4">
        <f t="shared" si="173"/>
        <v>1</v>
      </c>
      <c r="O1122" s="4">
        <f t="shared" si="178"/>
        <v>2158.15</v>
      </c>
      <c r="P1122" s="4">
        <f t="shared" si="179"/>
        <v>0</v>
      </c>
    </row>
    <row r="1123" spans="1:16" x14ac:dyDescent="0.25">
      <c r="A1123" s="1">
        <v>42849</v>
      </c>
      <c r="B1123">
        <v>2317</v>
      </c>
      <c r="C1123">
        <v>2406.9</v>
      </c>
      <c r="D1123">
        <v>2315</v>
      </c>
      <c r="E1123" s="7">
        <v>2399.5500000000002</v>
      </c>
      <c r="F1123">
        <v>1529418</v>
      </c>
      <c r="G1123" s="8">
        <f t="shared" si="170"/>
        <v>2373.8166666666666</v>
      </c>
      <c r="H1123" s="9">
        <f t="shared" si="171"/>
        <v>3630557938.6999998</v>
      </c>
      <c r="I1123" s="9">
        <f t="shared" si="174"/>
        <v>20894097975.850002</v>
      </c>
      <c r="J1123" s="9">
        <f t="shared" si="175"/>
        <v>9112088</v>
      </c>
      <c r="K1123" s="21">
        <f t="shared" si="176"/>
        <v>2293.0088006009164</v>
      </c>
      <c r="L1123" s="4" t="str">
        <f t="shared" si="172"/>
        <v>BUY</v>
      </c>
      <c r="M1123" s="4">
        <f t="shared" si="177"/>
        <v>0</v>
      </c>
      <c r="N1123" s="4">
        <f t="shared" si="173"/>
        <v>1</v>
      </c>
      <c r="O1123" s="4">
        <f t="shared" si="178"/>
        <v>2158.15</v>
      </c>
      <c r="P1123" s="4">
        <f t="shared" si="179"/>
        <v>0</v>
      </c>
    </row>
    <row r="1124" spans="1:16" x14ac:dyDescent="0.25">
      <c r="A1124" s="1">
        <v>42850</v>
      </c>
      <c r="B1124">
        <v>2400.5500000000002</v>
      </c>
      <c r="C1124">
        <v>2435</v>
      </c>
      <c r="D1124">
        <v>2376.6</v>
      </c>
      <c r="E1124" s="7">
        <v>2425.4</v>
      </c>
      <c r="F1124">
        <v>1073235</v>
      </c>
      <c r="G1124" s="8">
        <f t="shared" si="170"/>
        <v>2412.3333333333335</v>
      </c>
      <c r="H1124" s="9">
        <f t="shared" si="171"/>
        <v>2589000565</v>
      </c>
      <c r="I1124" s="9">
        <f t="shared" si="174"/>
        <v>20735479729.150002</v>
      </c>
      <c r="J1124" s="9">
        <f t="shared" si="175"/>
        <v>8965370</v>
      </c>
      <c r="K1124" s="21">
        <f t="shared" si="176"/>
        <v>2312.841492225084</v>
      </c>
      <c r="L1124" s="4" t="str">
        <f t="shared" si="172"/>
        <v>BUY</v>
      </c>
      <c r="M1124" s="4">
        <f t="shared" si="177"/>
        <v>0</v>
      </c>
      <c r="N1124" s="4">
        <f t="shared" si="173"/>
        <v>1</v>
      </c>
      <c r="O1124" s="4">
        <f t="shared" si="178"/>
        <v>2158.15</v>
      </c>
      <c r="P1124" s="4">
        <f t="shared" si="179"/>
        <v>0</v>
      </c>
    </row>
    <row r="1125" spans="1:16" x14ac:dyDescent="0.25">
      <c r="A1125" s="1">
        <v>42851</v>
      </c>
      <c r="B1125">
        <v>2418.9</v>
      </c>
      <c r="C1125">
        <v>2419</v>
      </c>
      <c r="D1125">
        <v>2382.3000000000002</v>
      </c>
      <c r="E1125" s="7">
        <v>2390.75</v>
      </c>
      <c r="F1125">
        <v>546395</v>
      </c>
      <c r="G1125" s="8">
        <f t="shared" si="170"/>
        <v>2397.35</v>
      </c>
      <c r="H1125" s="9">
        <f t="shared" si="171"/>
        <v>1309900053.25</v>
      </c>
      <c r="I1125" s="9">
        <f t="shared" si="174"/>
        <v>19856186050.666668</v>
      </c>
      <c r="J1125" s="9">
        <f t="shared" si="175"/>
        <v>8552693</v>
      </c>
      <c r="K1125" s="21">
        <f t="shared" si="176"/>
        <v>2321.6296961280696</v>
      </c>
      <c r="L1125" s="4" t="str">
        <f t="shared" si="172"/>
        <v>BUY</v>
      </c>
      <c r="M1125" s="4">
        <f t="shared" si="177"/>
        <v>0</v>
      </c>
      <c r="N1125" s="4">
        <f t="shared" si="173"/>
        <v>1</v>
      </c>
      <c r="O1125" s="4">
        <f t="shared" si="178"/>
        <v>2158.15</v>
      </c>
      <c r="P1125" s="4">
        <f t="shared" si="179"/>
        <v>0</v>
      </c>
    </row>
    <row r="1126" spans="1:16" x14ac:dyDescent="0.25">
      <c r="A1126" s="1">
        <v>42852</v>
      </c>
      <c r="B1126">
        <v>2400</v>
      </c>
      <c r="C1126">
        <v>2411.75</v>
      </c>
      <c r="D1126">
        <v>2383.5</v>
      </c>
      <c r="E1126" s="7">
        <v>2401.6</v>
      </c>
      <c r="F1126">
        <v>453870</v>
      </c>
      <c r="G1126" s="8">
        <f t="shared" si="170"/>
        <v>2398.9500000000003</v>
      </c>
      <c r="H1126" s="9">
        <f t="shared" si="171"/>
        <v>1088811436.5000002</v>
      </c>
      <c r="I1126" s="9">
        <f t="shared" si="174"/>
        <v>18755380041.766666</v>
      </c>
      <c r="J1126" s="9">
        <f t="shared" si="175"/>
        <v>8032151</v>
      </c>
      <c r="K1126" s="21">
        <f t="shared" si="176"/>
        <v>2335.0382782602901</v>
      </c>
      <c r="L1126" s="4" t="str">
        <f t="shared" si="172"/>
        <v>BUY</v>
      </c>
      <c r="M1126" s="4">
        <f t="shared" si="177"/>
        <v>0</v>
      </c>
      <c r="N1126" s="4">
        <f t="shared" si="173"/>
        <v>1</v>
      </c>
      <c r="O1126" s="4">
        <f t="shared" si="178"/>
        <v>2158.15</v>
      </c>
      <c r="P1126" s="4">
        <f t="shared" si="179"/>
        <v>0</v>
      </c>
    </row>
    <row r="1127" spans="1:16" x14ac:dyDescent="0.25">
      <c r="A1127" s="1">
        <v>42853</v>
      </c>
      <c r="B1127">
        <v>2399</v>
      </c>
      <c r="C1127">
        <v>2445</v>
      </c>
      <c r="D1127">
        <v>2392</v>
      </c>
      <c r="E1127" s="7">
        <v>2417.9</v>
      </c>
      <c r="F1127">
        <v>763381</v>
      </c>
      <c r="G1127" s="8">
        <f t="shared" si="170"/>
        <v>2418.2999999999997</v>
      </c>
      <c r="H1127" s="9">
        <f t="shared" si="171"/>
        <v>1846084272.2999997</v>
      </c>
      <c r="I1127" s="9">
        <f t="shared" si="174"/>
        <v>18460117180.216667</v>
      </c>
      <c r="J1127" s="9">
        <f t="shared" si="175"/>
        <v>7847355</v>
      </c>
      <c r="K1127" s="21">
        <f t="shared" si="176"/>
        <v>2352.3999080220874</v>
      </c>
      <c r="L1127" s="4" t="str">
        <f t="shared" si="172"/>
        <v>BUY</v>
      </c>
      <c r="M1127" s="4">
        <f t="shared" si="177"/>
        <v>0</v>
      </c>
      <c r="N1127" s="4">
        <f t="shared" si="173"/>
        <v>1</v>
      </c>
      <c r="O1127" s="4">
        <f t="shared" si="178"/>
        <v>2158.15</v>
      </c>
      <c r="P1127" s="4">
        <f t="shared" si="179"/>
        <v>0</v>
      </c>
    </row>
    <row r="1128" spans="1:16" x14ac:dyDescent="0.25">
      <c r="A1128" s="1">
        <v>42856</v>
      </c>
      <c r="B1128">
        <v>2412.4</v>
      </c>
      <c r="C1128">
        <v>2425.5</v>
      </c>
      <c r="D1128">
        <v>2401</v>
      </c>
      <c r="E1128" s="7">
        <v>2410.5</v>
      </c>
      <c r="F1128">
        <v>268068</v>
      </c>
      <c r="G1128" s="8">
        <f t="shared" si="170"/>
        <v>2412.3333333333335</v>
      </c>
      <c r="H1128" s="9">
        <f t="shared" si="171"/>
        <v>646669372</v>
      </c>
      <c r="I1128" s="9">
        <f t="shared" si="174"/>
        <v>17786737186.950001</v>
      </c>
      <c r="J1128" s="9">
        <f t="shared" si="175"/>
        <v>7537586</v>
      </c>
      <c r="K1128" s="21">
        <f t="shared" si="176"/>
        <v>2359.7392038976404</v>
      </c>
      <c r="L1128" s="4" t="str">
        <f t="shared" si="172"/>
        <v>BUY</v>
      </c>
      <c r="M1128" s="4">
        <f t="shared" si="177"/>
        <v>0</v>
      </c>
      <c r="N1128" s="4">
        <f t="shared" si="173"/>
        <v>1</v>
      </c>
      <c r="O1128" s="4">
        <f t="shared" si="178"/>
        <v>2158.15</v>
      </c>
      <c r="P1128" s="4">
        <f t="shared" si="179"/>
        <v>0</v>
      </c>
    </row>
    <row r="1129" spans="1:16" x14ac:dyDescent="0.25">
      <c r="A1129" s="1">
        <v>42857</v>
      </c>
      <c r="B1129">
        <v>2420.0500000000002</v>
      </c>
      <c r="C1129">
        <v>2498</v>
      </c>
      <c r="D1129">
        <v>2410.4</v>
      </c>
      <c r="E1129" s="7">
        <v>2488.5500000000002</v>
      </c>
      <c r="F1129">
        <v>1102451</v>
      </c>
      <c r="G1129" s="8">
        <f t="shared" si="170"/>
        <v>2465.65</v>
      </c>
      <c r="H1129" s="9">
        <f t="shared" si="171"/>
        <v>2718258308.1500001</v>
      </c>
      <c r="I1129" s="9">
        <f t="shared" si="174"/>
        <v>19069098572.566666</v>
      </c>
      <c r="J1129" s="9">
        <f t="shared" si="175"/>
        <v>8008670</v>
      </c>
      <c r="K1129" s="21">
        <f t="shared" si="176"/>
        <v>2381.056851208336</v>
      </c>
      <c r="L1129" s="4" t="str">
        <f t="shared" si="172"/>
        <v>BUY</v>
      </c>
      <c r="M1129" s="4">
        <f t="shared" si="177"/>
        <v>0</v>
      </c>
      <c r="N1129" s="4">
        <f t="shared" si="173"/>
        <v>1</v>
      </c>
      <c r="O1129" s="4">
        <f t="shared" si="178"/>
        <v>2158.15</v>
      </c>
      <c r="P1129" s="4">
        <f t="shared" si="179"/>
        <v>0</v>
      </c>
    </row>
    <row r="1130" spans="1:16" x14ac:dyDescent="0.25">
      <c r="A1130" s="1">
        <v>42858</v>
      </c>
      <c r="B1130">
        <v>2484.9499999999998</v>
      </c>
      <c r="C1130">
        <v>2486.15</v>
      </c>
      <c r="D1130">
        <v>2433.25</v>
      </c>
      <c r="E1130" s="7">
        <v>2449.4499999999998</v>
      </c>
      <c r="F1130">
        <v>1250294</v>
      </c>
      <c r="G1130" s="8">
        <f t="shared" si="170"/>
        <v>2456.2833333333333</v>
      </c>
      <c r="H1130" s="9">
        <f t="shared" si="171"/>
        <v>3071076313.9666667</v>
      </c>
      <c r="I1130" s="9">
        <f t="shared" si="174"/>
        <v>20443265085.700001</v>
      </c>
      <c r="J1130" s="9">
        <f t="shared" si="175"/>
        <v>8519414</v>
      </c>
      <c r="K1130" s="21">
        <f t="shared" si="176"/>
        <v>2399.6093024355901</v>
      </c>
      <c r="L1130" s="4" t="str">
        <f t="shared" si="172"/>
        <v>BUY</v>
      </c>
      <c r="M1130" s="4">
        <f t="shared" si="177"/>
        <v>0</v>
      </c>
      <c r="N1130" s="4">
        <f t="shared" si="173"/>
        <v>1</v>
      </c>
      <c r="O1130" s="4">
        <f t="shared" si="178"/>
        <v>2158.15</v>
      </c>
      <c r="P1130" s="4">
        <f t="shared" si="179"/>
        <v>0</v>
      </c>
    </row>
    <row r="1131" spans="1:16" x14ac:dyDescent="0.25">
      <c r="A1131" s="1">
        <v>42859</v>
      </c>
      <c r="B1131">
        <v>2470</v>
      </c>
      <c r="C1131">
        <v>2472.65</v>
      </c>
      <c r="D1131">
        <v>2381.6</v>
      </c>
      <c r="E1131" s="7">
        <v>2398.15</v>
      </c>
      <c r="F1131">
        <v>777121</v>
      </c>
      <c r="G1131" s="8">
        <f t="shared" si="170"/>
        <v>2417.4666666666667</v>
      </c>
      <c r="H1131" s="9">
        <f t="shared" si="171"/>
        <v>1878664113.4666667</v>
      </c>
      <c r="I1131" s="9">
        <f t="shared" si="174"/>
        <v>21135207342.816666</v>
      </c>
      <c r="J1131" s="9">
        <f t="shared" si="175"/>
        <v>8782324</v>
      </c>
      <c r="K1131" s="21">
        <f t="shared" si="176"/>
        <v>2406.5620151131598</v>
      </c>
      <c r="L1131" s="4" t="str">
        <f t="shared" si="172"/>
        <v>SELL</v>
      </c>
      <c r="M1131" s="4" t="str">
        <f t="shared" si="177"/>
        <v>SELL</v>
      </c>
      <c r="N1131" s="4">
        <f t="shared" si="173"/>
        <v>-1</v>
      </c>
      <c r="O1131" s="4">
        <f t="shared" si="178"/>
        <v>2398.15</v>
      </c>
      <c r="P1131" s="4">
        <f t="shared" si="179"/>
        <v>0.11120635729675879</v>
      </c>
    </row>
    <row r="1132" spans="1:16" x14ac:dyDescent="0.25">
      <c r="A1132" s="1">
        <v>42860</v>
      </c>
      <c r="B1132">
        <v>2399.5500000000002</v>
      </c>
      <c r="C1132">
        <v>2419.6</v>
      </c>
      <c r="D1132">
        <v>2335</v>
      </c>
      <c r="E1132" s="7">
        <v>2351.8000000000002</v>
      </c>
      <c r="F1132">
        <v>995281</v>
      </c>
      <c r="G1132" s="8">
        <f t="shared" si="170"/>
        <v>2368.8000000000002</v>
      </c>
      <c r="H1132" s="9">
        <f t="shared" si="171"/>
        <v>2357621632.8000002</v>
      </c>
      <c r="I1132" s="9">
        <f t="shared" si="174"/>
        <v>21136644006.133331</v>
      </c>
      <c r="J1132" s="9">
        <f t="shared" si="175"/>
        <v>8759514</v>
      </c>
      <c r="K1132" s="21">
        <f t="shared" si="176"/>
        <v>2412.9927763267838</v>
      </c>
      <c r="L1132" s="4" t="str">
        <f t="shared" si="172"/>
        <v>SELL</v>
      </c>
      <c r="M1132" s="4">
        <f t="shared" si="177"/>
        <v>0</v>
      </c>
      <c r="N1132" s="4">
        <f t="shared" si="173"/>
        <v>-1</v>
      </c>
      <c r="O1132" s="4">
        <f t="shared" si="178"/>
        <v>2398.15</v>
      </c>
      <c r="P1132" s="4">
        <f t="shared" si="179"/>
        <v>0</v>
      </c>
    </row>
    <row r="1133" spans="1:16" x14ac:dyDescent="0.25">
      <c r="A1133" s="1">
        <v>42863</v>
      </c>
      <c r="B1133">
        <v>2371</v>
      </c>
      <c r="C1133">
        <v>2410</v>
      </c>
      <c r="D1133">
        <v>2361.1</v>
      </c>
      <c r="E1133" s="7">
        <v>2394.4499999999998</v>
      </c>
      <c r="F1133">
        <v>664723</v>
      </c>
      <c r="G1133" s="8">
        <f t="shared" si="170"/>
        <v>2388.5166666666669</v>
      </c>
      <c r="H1133" s="9">
        <f t="shared" si="171"/>
        <v>1587701964.2166667</v>
      </c>
      <c r="I1133" s="9">
        <f t="shared" si="174"/>
        <v>19093788031.650002</v>
      </c>
      <c r="J1133" s="9">
        <f t="shared" si="175"/>
        <v>7894819</v>
      </c>
      <c r="K1133" s="21">
        <f t="shared" si="176"/>
        <v>2418.5213152638462</v>
      </c>
      <c r="L1133" s="4" t="str">
        <f t="shared" si="172"/>
        <v>SELL</v>
      </c>
      <c r="M1133" s="4">
        <f t="shared" si="177"/>
        <v>0</v>
      </c>
      <c r="N1133" s="4">
        <f t="shared" si="173"/>
        <v>-1</v>
      </c>
      <c r="O1133" s="4">
        <f t="shared" si="178"/>
        <v>2398.15</v>
      </c>
      <c r="P1133" s="4">
        <f t="shared" si="179"/>
        <v>0</v>
      </c>
    </row>
    <row r="1134" spans="1:16" x14ac:dyDescent="0.25">
      <c r="A1134" s="1">
        <v>42864</v>
      </c>
      <c r="B1134">
        <v>2418.8000000000002</v>
      </c>
      <c r="C1134">
        <v>2439</v>
      </c>
      <c r="D1134">
        <v>2385.25</v>
      </c>
      <c r="E1134" s="7">
        <v>2426.25</v>
      </c>
      <c r="F1134">
        <v>793962</v>
      </c>
      <c r="G1134" s="8">
        <f t="shared" si="170"/>
        <v>2416.8333333333335</v>
      </c>
      <c r="H1134" s="9">
        <f t="shared" si="171"/>
        <v>1918873827.0000002</v>
      </c>
      <c r="I1134" s="9">
        <f t="shared" si="174"/>
        <v>18423661293.650002</v>
      </c>
      <c r="J1134" s="9">
        <f t="shared" si="175"/>
        <v>7615546</v>
      </c>
      <c r="K1134" s="21">
        <f t="shared" si="176"/>
        <v>2419.2173868623472</v>
      </c>
      <c r="L1134" s="4" t="str">
        <f t="shared" si="172"/>
        <v>BUY</v>
      </c>
      <c r="M1134" s="4" t="str">
        <f t="shared" si="177"/>
        <v>BUY</v>
      </c>
      <c r="N1134" s="4">
        <f t="shared" si="173"/>
        <v>1</v>
      </c>
      <c r="O1134" s="4">
        <f t="shared" si="178"/>
        <v>2426.25</v>
      </c>
      <c r="P1134" s="4">
        <f t="shared" si="179"/>
        <v>-1.1717365469215816E-2</v>
      </c>
    </row>
    <row r="1135" spans="1:16" x14ac:dyDescent="0.25">
      <c r="A1135" s="1">
        <v>42865</v>
      </c>
      <c r="B1135">
        <v>2426.1999999999998</v>
      </c>
      <c r="C1135">
        <v>2430</v>
      </c>
      <c r="D1135">
        <v>2393.75</v>
      </c>
      <c r="E1135" s="7">
        <v>2399.3000000000002</v>
      </c>
      <c r="F1135">
        <v>694828</v>
      </c>
      <c r="G1135" s="8">
        <f t="shared" si="170"/>
        <v>2407.6833333333334</v>
      </c>
      <c r="H1135" s="9">
        <f t="shared" si="171"/>
        <v>1672925795.1333334</v>
      </c>
      <c r="I1135" s="9">
        <f t="shared" si="174"/>
        <v>18786687035.533337</v>
      </c>
      <c r="J1135" s="9">
        <f t="shared" si="175"/>
        <v>7763979</v>
      </c>
      <c r="K1135" s="21">
        <f t="shared" si="176"/>
        <v>2419.7240919293235</v>
      </c>
      <c r="L1135" s="4" t="str">
        <f t="shared" si="172"/>
        <v>SELL</v>
      </c>
      <c r="M1135" s="4" t="str">
        <f t="shared" si="177"/>
        <v>SELL</v>
      </c>
      <c r="N1135" s="4">
        <f t="shared" si="173"/>
        <v>-1</v>
      </c>
      <c r="O1135" s="4">
        <f t="shared" si="178"/>
        <v>2399.3000000000002</v>
      </c>
      <c r="P1135" s="4">
        <f t="shared" si="179"/>
        <v>-1.1107676455435268E-2</v>
      </c>
    </row>
    <row r="1136" spans="1:16" x14ac:dyDescent="0.25">
      <c r="A1136" s="1">
        <v>42866</v>
      </c>
      <c r="B1136">
        <v>2409.65</v>
      </c>
      <c r="C1136">
        <v>2424</v>
      </c>
      <c r="D1136">
        <v>2386.85</v>
      </c>
      <c r="E1136" s="7">
        <v>2401.85</v>
      </c>
      <c r="F1136">
        <v>703620</v>
      </c>
      <c r="G1136" s="8">
        <f t="shared" si="170"/>
        <v>2404.2333333333336</v>
      </c>
      <c r="H1136" s="9">
        <f t="shared" si="171"/>
        <v>1691666658.0000002</v>
      </c>
      <c r="I1136" s="9">
        <f t="shared" si="174"/>
        <v>19389542257.033337</v>
      </c>
      <c r="J1136" s="9">
        <f t="shared" si="175"/>
        <v>8013729</v>
      </c>
      <c r="K1136" s="21">
        <f t="shared" si="176"/>
        <v>2419.5405481060484</v>
      </c>
      <c r="L1136" s="4" t="str">
        <f t="shared" si="172"/>
        <v>SELL</v>
      </c>
      <c r="M1136" s="4">
        <f t="shared" si="177"/>
        <v>0</v>
      </c>
      <c r="N1136" s="4">
        <f t="shared" si="173"/>
        <v>-1</v>
      </c>
      <c r="O1136" s="4">
        <f t="shared" si="178"/>
        <v>2399.3000000000002</v>
      </c>
      <c r="P1136" s="4">
        <f t="shared" si="179"/>
        <v>0</v>
      </c>
    </row>
    <row r="1137" spans="1:16" x14ac:dyDescent="0.25">
      <c r="A1137" s="1">
        <v>42867</v>
      </c>
      <c r="B1137">
        <v>2410</v>
      </c>
      <c r="C1137">
        <v>2429.8000000000002</v>
      </c>
      <c r="D1137">
        <v>2375</v>
      </c>
      <c r="E1137" s="7">
        <v>2381.9499999999998</v>
      </c>
      <c r="F1137">
        <v>895110</v>
      </c>
      <c r="G1137" s="8">
        <f t="shared" si="170"/>
        <v>2395.5833333333335</v>
      </c>
      <c r="H1137" s="9">
        <f t="shared" si="171"/>
        <v>2144310597.5000002</v>
      </c>
      <c r="I1137" s="9">
        <f t="shared" si="174"/>
        <v>19687768582.233337</v>
      </c>
      <c r="J1137" s="9">
        <f t="shared" si="175"/>
        <v>8145458</v>
      </c>
      <c r="K1137" s="21">
        <f t="shared" si="176"/>
        <v>2417.0241356880529</v>
      </c>
      <c r="L1137" s="4" t="str">
        <f t="shared" si="172"/>
        <v>SELL</v>
      </c>
      <c r="M1137" s="4">
        <f t="shared" si="177"/>
        <v>0</v>
      </c>
      <c r="N1137" s="4">
        <f t="shared" si="173"/>
        <v>-1</v>
      </c>
      <c r="O1137" s="4">
        <f t="shared" si="178"/>
        <v>2399.3000000000002</v>
      </c>
      <c r="P1137" s="4">
        <f t="shared" si="179"/>
        <v>0</v>
      </c>
    </row>
    <row r="1138" spans="1:16" x14ac:dyDescent="0.25">
      <c r="A1138" s="1">
        <v>42870</v>
      </c>
      <c r="B1138">
        <v>2452</v>
      </c>
      <c r="C1138">
        <v>2485</v>
      </c>
      <c r="D1138">
        <v>2435</v>
      </c>
      <c r="E1138" s="7">
        <v>2441.1999999999998</v>
      </c>
      <c r="F1138">
        <v>1753744</v>
      </c>
      <c r="G1138" s="8">
        <f t="shared" si="170"/>
        <v>2453.7333333333331</v>
      </c>
      <c r="H1138" s="9">
        <f t="shared" si="171"/>
        <v>4303220110.9333334</v>
      </c>
      <c r="I1138" s="9">
        <f t="shared" si="174"/>
        <v>23344319321.166672</v>
      </c>
      <c r="J1138" s="9">
        <f t="shared" si="175"/>
        <v>9631134</v>
      </c>
      <c r="K1138" s="21">
        <f t="shared" si="176"/>
        <v>2423.8391160549395</v>
      </c>
      <c r="L1138" s="4" t="str">
        <f t="shared" si="172"/>
        <v>BUY</v>
      </c>
      <c r="M1138" s="4" t="str">
        <f t="shared" si="177"/>
        <v>BUY</v>
      </c>
      <c r="N1138" s="4">
        <f t="shared" si="173"/>
        <v>1</v>
      </c>
      <c r="O1138" s="4">
        <f t="shared" si="178"/>
        <v>2441.1999999999998</v>
      </c>
      <c r="P1138" s="4">
        <f t="shared" si="179"/>
        <v>-1.7463426832826087E-2</v>
      </c>
    </row>
    <row r="1139" spans="1:16" x14ac:dyDescent="0.25">
      <c r="A1139" s="1">
        <v>42871</v>
      </c>
      <c r="B1139">
        <v>2468</v>
      </c>
      <c r="C1139">
        <v>2469.85</v>
      </c>
      <c r="D1139">
        <v>2443.0500000000002</v>
      </c>
      <c r="E1139" s="7">
        <v>2463.75</v>
      </c>
      <c r="F1139">
        <v>490536</v>
      </c>
      <c r="G1139" s="8">
        <f t="shared" si="170"/>
        <v>2458.8833333333332</v>
      </c>
      <c r="H1139" s="9">
        <f t="shared" si="171"/>
        <v>1206170794.8</v>
      </c>
      <c r="I1139" s="9">
        <f t="shared" si="174"/>
        <v>21832231807.816666</v>
      </c>
      <c r="J1139" s="9">
        <f t="shared" si="175"/>
        <v>9019219</v>
      </c>
      <c r="K1139" s="21">
        <f t="shared" si="176"/>
        <v>2420.6344039119867</v>
      </c>
      <c r="L1139" s="4" t="str">
        <f t="shared" si="172"/>
        <v>BUY</v>
      </c>
      <c r="M1139" s="4">
        <f t="shared" si="177"/>
        <v>0</v>
      </c>
      <c r="N1139" s="4">
        <f t="shared" si="173"/>
        <v>1</v>
      </c>
      <c r="O1139" s="4">
        <f t="shared" si="178"/>
        <v>2441.1999999999998</v>
      </c>
      <c r="P1139" s="4">
        <f t="shared" si="179"/>
        <v>0</v>
      </c>
    </row>
    <row r="1140" spans="1:16" x14ac:dyDescent="0.25">
      <c r="A1140" s="1">
        <v>42872</v>
      </c>
      <c r="B1140">
        <v>2465</v>
      </c>
      <c r="C1140">
        <v>2540</v>
      </c>
      <c r="D1140">
        <v>2461.9</v>
      </c>
      <c r="E1140" s="7">
        <v>2532.4</v>
      </c>
      <c r="F1140">
        <v>1199508</v>
      </c>
      <c r="G1140" s="8">
        <f t="shared" si="170"/>
        <v>2511.4333333333329</v>
      </c>
      <c r="H1140" s="9">
        <f t="shared" si="171"/>
        <v>3012484374.7999997</v>
      </c>
      <c r="I1140" s="9">
        <f t="shared" si="174"/>
        <v>21773639868.649998</v>
      </c>
      <c r="J1140" s="9">
        <f t="shared" si="175"/>
        <v>8968433</v>
      </c>
      <c r="K1140" s="21">
        <f t="shared" si="176"/>
        <v>2427.8087229563957</v>
      </c>
      <c r="L1140" s="4" t="str">
        <f t="shared" si="172"/>
        <v>BUY</v>
      </c>
      <c r="M1140" s="4">
        <f t="shared" si="177"/>
        <v>0</v>
      </c>
      <c r="N1140" s="4">
        <f t="shared" si="173"/>
        <v>1</v>
      </c>
      <c r="O1140" s="4">
        <f t="shared" si="178"/>
        <v>2441.1999999999998</v>
      </c>
      <c r="P1140" s="4">
        <f t="shared" si="179"/>
        <v>0</v>
      </c>
    </row>
    <row r="1141" spans="1:16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 s="7">
        <v>2586.15</v>
      </c>
      <c r="F1141">
        <v>1032929</v>
      </c>
      <c r="G1141" s="8">
        <f t="shared" si="170"/>
        <v>2571.5833333333335</v>
      </c>
      <c r="H1141" s="9">
        <f t="shared" si="171"/>
        <v>2656263000.916667</v>
      </c>
      <c r="I1141" s="9">
        <f t="shared" si="174"/>
        <v>22551238756.100002</v>
      </c>
      <c r="J1141" s="9">
        <f t="shared" si="175"/>
        <v>9224241</v>
      </c>
      <c r="K1141" s="21">
        <f t="shared" si="176"/>
        <v>2444.7798746910453</v>
      </c>
      <c r="L1141" s="4" t="str">
        <f t="shared" si="172"/>
        <v>BUY</v>
      </c>
      <c r="M1141" s="4">
        <f t="shared" si="177"/>
        <v>0</v>
      </c>
      <c r="N1141" s="4">
        <f t="shared" si="173"/>
        <v>1</v>
      </c>
      <c r="O1141" s="4">
        <f t="shared" si="178"/>
        <v>2441.1999999999998</v>
      </c>
      <c r="P1141" s="4">
        <f t="shared" si="179"/>
        <v>0</v>
      </c>
    </row>
    <row r="1142" spans="1:16" x14ac:dyDescent="0.25">
      <c r="A1142" s="1">
        <v>42874</v>
      </c>
      <c r="B1142">
        <v>2594.9</v>
      </c>
      <c r="C1142">
        <v>2602</v>
      </c>
      <c r="D1142">
        <v>2567</v>
      </c>
      <c r="E1142" s="7">
        <v>2595.1999999999998</v>
      </c>
      <c r="F1142">
        <v>740709</v>
      </c>
      <c r="G1142" s="8">
        <f t="shared" si="170"/>
        <v>2588.0666666666666</v>
      </c>
      <c r="H1142" s="9">
        <f t="shared" si="171"/>
        <v>1917004272.5999999</v>
      </c>
      <c r="I1142" s="9">
        <f t="shared" si="174"/>
        <v>22110621395.899998</v>
      </c>
      <c r="J1142" s="9">
        <f t="shared" si="175"/>
        <v>8969669</v>
      </c>
      <c r="K1142" s="21">
        <f t="shared" si="176"/>
        <v>2465.0431800660645</v>
      </c>
      <c r="L1142" s="4" t="str">
        <f t="shared" si="172"/>
        <v>BUY</v>
      </c>
      <c r="M1142" s="4">
        <f t="shared" si="177"/>
        <v>0</v>
      </c>
      <c r="N1142" s="4">
        <f t="shared" si="173"/>
        <v>1</v>
      </c>
      <c r="O1142" s="4">
        <f t="shared" si="178"/>
        <v>2441.1999999999998</v>
      </c>
      <c r="P1142" s="4">
        <f t="shared" si="179"/>
        <v>0</v>
      </c>
    </row>
    <row r="1143" spans="1:16" x14ac:dyDescent="0.25">
      <c r="A1143" s="1">
        <v>42877</v>
      </c>
      <c r="B1143">
        <v>2594</v>
      </c>
      <c r="C1143">
        <v>2614.35</v>
      </c>
      <c r="D1143">
        <v>2567</v>
      </c>
      <c r="E1143" s="7">
        <v>2605.75</v>
      </c>
      <c r="F1143">
        <v>903457</v>
      </c>
      <c r="G1143" s="8">
        <f t="shared" si="170"/>
        <v>2595.7000000000003</v>
      </c>
      <c r="H1143" s="9">
        <f t="shared" si="171"/>
        <v>2345103334.9000001</v>
      </c>
      <c r="I1143" s="9">
        <f t="shared" si="174"/>
        <v>22868022766.583332</v>
      </c>
      <c r="J1143" s="9">
        <f t="shared" si="175"/>
        <v>9208403</v>
      </c>
      <c r="K1143" s="21">
        <f t="shared" si="176"/>
        <v>2483.3863989861579</v>
      </c>
      <c r="L1143" s="4" t="str">
        <f t="shared" si="172"/>
        <v>BUY</v>
      </c>
      <c r="M1143" s="4">
        <f t="shared" si="177"/>
        <v>0</v>
      </c>
      <c r="N1143" s="4">
        <f t="shared" si="173"/>
        <v>1</v>
      </c>
      <c r="O1143" s="4">
        <f t="shared" si="178"/>
        <v>2441.1999999999998</v>
      </c>
      <c r="P1143" s="4">
        <f t="shared" si="179"/>
        <v>0</v>
      </c>
    </row>
    <row r="1144" spans="1:16" x14ac:dyDescent="0.25">
      <c r="A1144" s="1">
        <v>42878</v>
      </c>
      <c r="B1144">
        <v>2577.15</v>
      </c>
      <c r="C1144">
        <v>2599.65</v>
      </c>
      <c r="D1144">
        <v>2555</v>
      </c>
      <c r="E1144" s="7">
        <v>2589.3000000000002</v>
      </c>
      <c r="F1144">
        <v>657461</v>
      </c>
      <c r="G1144" s="8">
        <f t="shared" si="170"/>
        <v>2581.3166666666666</v>
      </c>
      <c r="H1144" s="9">
        <f t="shared" si="171"/>
        <v>1697115036.9833333</v>
      </c>
      <c r="I1144" s="9">
        <f t="shared" si="174"/>
        <v>22646263976.566666</v>
      </c>
      <c r="J1144" s="9">
        <f t="shared" si="175"/>
        <v>9071902</v>
      </c>
      <c r="K1144" s="21">
        <f t="shared" si="176"/>
        <v>2496.3082688246263</v>
      </c>
      <c r="L1144" s="4" t="str">
        <f t="shared" si="172"/>
        <v>BUY</v>
      </c>
      <c r="M1144" s="4">
        <f t="shared" si="177"/>
        <v>0</v>
      </c>
      <c r="N1144" s="4">
        <f t="shared" si="173"/>
        <v>1</v>
      </c>
      <c r="O1144" s="4">
        <f t="shared" si="178"/>
        <v>2441.1999999999998</v>
      </c>
      <c r="P1144" s="4">
        <f t="shared" si="179"/>
        <v>0</v>
      </c>
    </row>
    <row r="1145" spans="1:16" x14ac:dyDescent="0.25">
      <c r="A1145" s="1">
        <v>42879</v>
      </c>
      <c r="B1145">
        <v>2584.8000000000002</v>
      </c>
      <c r="C1145">
        <v>2610</v>
      </c>
      <c r="D1145">
        <v>2572.6</v>
      </c>
      <c r="E1145" s="7">
        <v>2595.0500000000002</v>
      </c>
      <c r="F1145">
        <v>949626</v>
      </c>
      <c r="G1145" s="8">
        <f t="shared" si="170"/>
        <v>2592.5500000000002</v>
      </c>
      <c r="H1145" s="9">
        <f t="shared" si="171"/>
        <v>2461952886.3000002</v>
      </c>
      <c r="I1145" s="9">
        <f t="shared" si="174"/>
        <v>23435291067.733334</v>
      </c>
      <c r="J1145" s="9">
        <f t="shared" si="175"/>
        <v>9326700</v>
      </c>
      <c r="K1145" s="21">
        <f t="shared" si="176"/>
        <v>2512.7098617660408</v>
      </c>
      <c r="L1145" s="4" t="str">
        <f t="shared" si="172"/>
        <v>BUY</v>
      </c>
      <c r="M1145" s="4">
        <f t="shared" si="177"/>
        <v>0</v>
      </c>
      <c r="N1145" s="4">
        <f t="shared" si="173"/>
        <v>1</v>
      </c>
      <c r="O1145" s="4">
        <f t="shared" si="178"/>
        <v>2441.1999999999998</v>
      </c>
      <c r="P1145" s="4">
        <f t="shared" si="179"/>
        <v>0</v>
      </c>
    </row>
    <row r="1146" spans="1:16" x14ac:dyDescent="0.25">
      <c r="A1146" s="1">
        <v>42880</v>
      </c>
      <c r="B1146">
        <v>2575.1</v>
      </c>
      <c r="C1146">
        <v>2598</v>
      </c>
      <c r="D1146">
        <v>2569.25</v>
      </c>
      <c r="E1146" s="7">
        <v>2580.0500000000002</v>
      </c>
      <c r="F1146">
        <v>1203605</v>
      </c>
      <c r="G1146" s="8">
        <f t="shared" si="170"/>
        <v>2582.4333333333334</v>
      </c>
      <c r="H1146" s="9">
        <f t="shared" si="171"/>
        <v>3108229672.1666665</v>
      </c>
      <c r="I1146" s="9">
        <f t="shared" si="174"/>
        <v>24851854081.900002</v>
      </c>
      <c r="J1146" s="9">
        <f t="shared" si="175"/>
        <v>9826685</v>
      </c>
      <c r="K1146" s="21">
        <f t="shared" si="176"/>
        <v>2529.0170674952947</v>
      </c>
      <c r="L1146" s="4" t="str">
        <f t="shared" si="172"/>
        <v>BUY</v>
      </c>
      <c r="M1146" s="4">
        <f t="shared" si="177"/>
        <v>0</v>
      </c>
      <c r="N1146" s="4">
        <f t="shared" si="173"/>
        <v>1</v>
      </c>
      <c r="O1146" s="4">
        <f t="shared" si="178"/>
        <v>2441.1999999999998</v>
      </c>
      <c r="P1146" s="4">
        <f t="shared" si="179"/>
        <v>0</v>
      </c>
    </row>
    <row r="1147" spans="1:16" x14ac:dyDescent="0.25">
      <c r="A1147" s="1">
        <v>42881</v>
      </c>
      <c r="B1147">
        <v>2575</v>
      </c>
      <c r="C1147">
        <v>2587.9499999999998</v>
      </c>
      <c r="D1147">
        <v>2510</v>
      </c>
      <c r="E1147" s="7">
        <v>2516.4</v>
      </c>
      <c r="F1147">
        <v>1190941</v>
      </c>
      <c r="G1147" s="8">
        <f t="shared" si="170"/>
        <v>2538.1166666666668</v>
      </c>
      <c r="H1147" s="9">
        <f t="shared" si="171"/>
        <v>3022747201.1166668</v>
      </c>
      <c r="I1147" s="9">
        <f t="shared" si="174"/>
        <v>25730290685.51667</v>
      </c>
      <c r="J1147" s="9">
        <f t="shared" si="175"/>
        <v>10122516</v>
      </c>
      <c r="K1147" s="21">
        <f t="shared" si="176"/>
        <v>2541.8868871648779</v>
      </c>
      <c r="L1147" s="4" t="str">
        <f t="shared" si="172"/>
        <v>SELL</v>
      </c>
      <c r="M1147" s="4" t="str">
        <f t="shared" si="177"/>
        <v>SELL</v>
      </c>
      <c r="N1147" s="4">
        <f t="shared" si="173"/>
        <v>-1</v>
      </c>
      <c r="O1147" s="4">
        <f t="shared" si="178"/>
        <v>2516.4</v>
      </c>
      <c r="P1147" s="4">
        <f t="shared" si="179"/>
        <v>3.0804522366049598E-2</v>
      </c>
    </row>
    <row r="1148" spans="1:16" x14ac:dyDescent="0.25">
      <c r="A1148" s="1">
        <v>42884</v>
      </c>
      <c r="B1148">
        <v>2532</v>
      </c>
      <c r="C1148">
        <v>2541.9</v>
      </c>
      <c r="D1148">
        <v>2488</v>
      </c>
      <c r="E1148" s="7">
        <v>2526.0500000000002</v>
      </c>
      <c r="F1148">
        <v>914318</v>
      </c>
      <c r="G1148" s="8">
        <f t="shared" si="170"/>
        <v>2518.65</v>
      </c>
      <c r="H1148" s="9">
        <f t="shared" si="171"/>
        <v>2302847030.7000003</v>
      </c>
      <c r="I1148" s="9">
        <f t="shared" si="174"/>
        <v>23729917605.283337</v>
      </c>
      <c r="J1148" s="9">
        <f t="shared" si="175"/>
        <v>9283090</v>
      </c>
      <c r="K1148" s="21">
        <f t="shared" si="176"/>
        <v>2556.2520244103348</v>
      </c>
      <c r="L1148" s="4" t="str">
        <f t="shared" si="172"/>
        <v>SELL</v>
      </c>
      <c r="M1148" s="4">
        <f t="shared" si="177"/>
        <v>0</v>
      </c>
      <c r="N1148" s="4">
        <f t="shared" si="173"/>
        <v>-1</v>
      </c>
      <c r="O1148" s="4">
        <f t="shared" si="178"/>
        <v>2516.4</v>
      </c>
      <c r="P1148" s="4">
        <f t="shared" si="179"/>
        <v>0</v>
      </c>
    </row>
    <row r="1149" spans="1:16" x14ac:dyDescent="0.25">
      <c r="A1149" s="1">
        <v>42885</v>
      </c>
      <c r="B1149">
        <v>2544.9</v>
      </c>
      <c r="C1149">
        <v>2545</v>
      </c>
      <c r="D1149">
        <v>2490.1</v>
      </c>
      <c r="E1149" s="7">
        <v>2523.6999999999998</v>
      </c>
      <c r="F1149">
        <v>702328</v>
      </c>
      <c r="G1149" s="8">
        <f t="shared" si="170"/>
        <v>2519.6</v>
      </c>
      <c r="H1149" s="9">
        <f t="shared" si="171"/>
        <v>1769585628.8</v>
      </c>
      <c r="I1149" s="9">
        <f t="shared" si="174"/>
        <v>24293332439.283333</v>
      </c>
      <c r="J1149" s="9">
        <f t="shared" si="175"/>
        <v>9494882</v>
      </c>
      <c r="K1149" s="21">
        <f t="shared" si="176"/>
        <v>2558.5712849599745</v>
      </c>
      <c r="L1149" s="4" t="str">
        <f t="shared" si="172"/>
        <v>SELL</v>
      </c>
      <c r="M1149" s="4">
        <f t="shared" si="177"/>
        <v>0</v>
      </c>
      <c r="N1149" s="4">
        <f t="shared" si="173"/>
        <v>-1</v>
      </c>
      <c r="O1149" s="4">
        <f t="shared" si="178"/>
        <v>2516.4</v>
      </c>
      <c r="P1149" s="4">
        <f t="shared" si="179"/>
        <v>0</v>
      </c>
    </row>
    <row r="1150" spans="1:16" x14ac:dyDescent="0.25">
      <c r="A1150" s="1">
        <v>42886</v>
      </c>
      <c r="B1150">
        <v>2516.15</v>
      </c>
      <c r="C1150">
        <v>2534.85</v>
      </c>
      <c r="D1150">
        <v>2490.25</v>
      </c>
      <c r="E1150" s="7">
        <v>2506.65</v>
      </c>
      <c r="F1150">
        <v>918781</v>
      </c>
      <c r="G1150" s="8">
        <f t="shared" si="170"/>
        <v>2510.5833333333335</v>
      </c>
      <c r="H1150" s="9">
        <f t="shared" si="171"/>
        <v>2306676265.5833335</v>
      </c>
      <c r="I1150" s="9">
        <f t="shared" si="174"/>
        <v>23587524330.066666</v>
      </c>
      <c r="J1150" s="9">
        <f t="shared" si="175"/>
        <v>9214155</v>
      </c>
      <c r="K1150" s="21">
        <f t="shared" si="176"/>
        <v>2559.9226765847402</v>
      </c>
      <c r="L1150" s="4" t="str">
        <f t="shared" si="172"/>
        <v>SELL</v>
      </c>
      <c r="M1150" s="4">
        <f t="shared" si="177"/>
        <v>0</v>
      </c>
      <c r="N1150" s="4">
        <f t="shared" si="173"/>
        <v>-1</v>
      </c>
      <c r="O1150" s="4">
        <f t="shared" si="178"/>
        <v>2516.4</v>
      </c>
      <c r="P1150" s="4">
        <f t="shared" si="179"/>
        <v>0</v>
      </c>
    </row>
    <row r="1151" spans="1:16" x14ac:dyDescent="0.25">
      <c r="A1151" s="1">
        <v>42887</v>
      </c>
      <c r="B1151">
        <v>2490</v>
      </c>
      <c r="C1151">
        <v>2495</v>
      </c>
      <c r="D1151">
        <v>2459.0500000000002</v>
      </c>
      <c r="E1151" s="7">
        <v>2469.8000000000002</v>
      </c>
      <c r="F1151">
        <v>836328</v>
      </c>
      <c r="G1151" s="8">
        <f t="shared" si="170"/>
        <v>2474.6166666666668</v>
      </c>
      <c r="H1151" s="9">
        <f t="shared" si="171"/>
        <v>2069591207.6000001</v>
      </c>
      <c r="I1151" s="9">
        <f t="shared" si="174"/>
        <v>23000852536.75</v>
      </c>
      <c r="J1151" s="9">
        <f t="shared" si="175"/>
        <v>9017554</v>
      </c>
      <c r="K1151" s="21">
        <f t="shared" si="176"/>
        <v>2550.6753313315339</v>
      </c>
      <c r="L1151" s="4" t="str">
        <f t="shared" si="172"/>
        <v>SELL</v>
      </c>
      <c r="M1151" s="4">
        <f t="shared" si="177"/>
        <v>0</v>
      </c>
      <c r="N1151" s="4">
        <f t="shared" si="173"/>
        <v>-1</v>
      </c>
      <c r="O1151" s="4">
        <f t="shared" si="178"/>
        <v>2516.4</v>
      </c>
      <c r="P1151" s="4">
        <f t="shared" si="179"/>
        <v>0</v>
      </c>
    </row>
    <row r="1152" spans="1:16" x14ac:dyDescent="0.25">
      <c r="A1152" s="1">
        <v>42888</v>
      </c>
      <c r="B1152">
        <v>2465</v>
      </c>
      <c r="C1152">
        <v>2507.6999999999998</v>
      </c>
      <c r="D1152">
        <v>2465</v>
      </c>
      <c r="E1152" s="7">
        <v>2478.6999999999998</v>
      </c>
      <c r="F1152">
        <v>732395</v>
      </c>
      <c r="G1152" s="8">
        <f t="shared" si="170"/>
        <v>2483.7999999999997</v>
      </c>
      <c r="H1152" s="9">
        <f t="shared" si="171"/>
        <v>1819122700.9999998</v>
      </c>
      <c r="I1152" s="9">
        <f t="shared" si="174"/>
        <v>22902970965.149998</v>
      </c>
      <c r="J1152" s="9">
        <f t="shared" si="175"/>
        <v>9009240</v>
      </c>
      <c r="K1152" s="21">
        <f t="shared" si="176"/>
        <v>2542.1645960314077</v>
      </c>
      <c r="L1152" s="4" t="str">
        <f t="shared" si="172"/>
        <v>SELL</v>
      </c>
      <c r="M1152" s="4">
        <f t="shared" si="177"/>
        <v>0</v>
      </c>
      <c r="N1152" s="4">
        <f t="shared" si="173"/>
        <v>-1</v>
      </c>
      <c r="O1152" s="4">
        <f t="shared" si="178"/>
        <v>2516.4</v>
      </c>
      <c r="P1152" s="4">
        <f t="shared" si="179"/>
        <v>0</v>
      </c>
    </row>
    <row r="1153" spans="1:16" x14ac:dyDescent="0.25">
      <c r="A1153" s="1">
        <v>42891</v>
      </c>
      <c r="B1153">
        <v>2490.9</v>
      </c>
      <c r="C1153">
        <v>2495.5500000000002</v>
      </c>
      <c r="D1153">
        <v>2455</v>
      </c>
      <c r="E1153" s="7">
        <v>2468.4</v>
      </c>
      <c r="F1153">
        <v>645448</v>
      </c>
      <c r="G1153" s="8">
        <f t="shared" si="170"/>
        <v>2472.9833333333336</v>
      </c>
      <c r="H1153" s="9">
        <f t="shared" si="171"/>
        <v>1596182146.5333335</v>
      </c>
      <c r="I1153" s="9">
        <f t="shared" si="174"/>
        <v>22154049776.783333</v>
      </c>
      <c r="J1153" s="9">
        <f t="shared" si="175"/>
        <v>8751231</v>
      </c>
      <c r="K1153" s="21">
        <f t="shared" si="176"/>
        <v>2531.535252215755</v>
      </c>
      <c r="L1153" s="4" t="str">
        <f t="shared" si="172"/>
        <v>SELL</v>
      </c>
      <c r="M1153" s="4">
        <f t="shared" si="177"/>
        <v>0</v>
      </c>
      <c r="N1153" s="4">
        <f t="shared" si="173"/>
        <v>-1</v>
      </c>
      <c r="O1153" s="4">
        <f t="shared" si="178"/>
        <v>2516.4</v>
      </c>
      <c r="P1153" s="4">
        <f t="shared" si="179"/>
        <v>0</v>
      </c>
    </row>
    <row r="1154" spans="1:16" x14ac:dyDescent="0.25">
      <c r="A1154" s="1">
        <v>42892</v>
      </c>
      <c r="B1154">
        <v>2489.9</v>
      </c>
      <c r="C1154">
        <v>2489.9</v>
      </c>
      <c r="D1154">
        <v>2440.1999999999998</v>
      </c>
      <c r="E1154" s="7">
        <v>2471.75</v>
      </c>
      <c r="F1154">
        <v>492276</v>
      </c>
      <c r="G1154" s="8">
        <f t="shared" ref="G1154:G1217" si="180">AVERAGE(C1154:E1154)</f>
        <v>2467.2833333333333</v>
      </c>
      <c r="H1154" s="9">
        <f t="shared" si="171"/>
        <v>1214584370.2</v>
      </c>
      <c r="I1154" s="9">
        <f t="shared" si="174"/>
        <v>21671519110</v>
      </c>
      <c r="J1154" s="9">
        <f t="shared" si="175"/>
        <v>8586046</v>
      </c>
      <c r="K1154" s="21">
        <f t="shared" si="176"/>
        <v>2524.0394833663831</v>
      </c>
      <c r="L1154" s="4" t="str">
        <f t="shared" si="172"/>
        <v>SELL</v>
      </c>
      <c r="M1154" s="4">
        <f t="shared" si="177"/>
        <v>0</v>
      </c>
      <c r="N1154" s="4">
        <f t="shared" si="173"/>
        <v>-1</v>
      </c>
      <c r="O1154" s="4">
        <f t="shared" si="178"/>
        <v>2516.4</v>
      </c>
      <c r="P1154" s="4">
        <f t="shared" si="179"/>
        <v>0</v>
      </c>
    </row>
    <row r="1155" spans="1:16" x14ac:dyDescent="0.25">
      <c r="A1155" s="1">
        <v>42893</v>
      </c>
      <c r="B1155">
        <v>2470</v>
      </c>
      <c r="C1155">
        <v>2530</v>
      </c>
      <c r="D1155">
        <v>2470</v>
      </c>
      <c r="E1155" s="7">
        <v>2500.0500000000002</v>
      </c>
      <c r="F1155">
        <v>1384189</v>
      </c>
      <c r="G1155" s="8">
        <f t="shared" si="180"/>
        <v>2500.0166666666669</v>
      </c>
      <c r="H1155" s="9">
        <f t="shared" ref="H1155:H1218" si="181">G1155*F1155</f>
        <v>3460495569.8166671</v>
      </c>
      <c r="I1155" s="9">
        <f t="shared" si="174"/>
        <v>22670061793.516666</v>
      </c>
      <c r="J1155" s="9">
        <f t="shared" si="175"/>
        <v>9020609</v>
      </c>
      <c r="K1155" s="21">
        <f t="shared" si="176"/>
        <v>2513.1409413174506</v>
      </c>
      <c r="L1155" s="4" t="str">
        <f t="shared" si="172"/>
        <v>SELL</v>
      </c>
      <c r="M1155" s="4">
        <f t="shared" si="177"/>
        <v>0</v>
      </c>
      <c r="N1155" s="4">
        <f t="shared" si="173"/>
        <v>-1</v>
      </c>
      <c r="O1155" s="4">
        <f t="shared" si="178"/>
        <v>2516.4</v>
      </c>
      <c r="P1155" s="4">
        <f t="shared" si="179"/>
        <v>0</v>
      </c>
    </row>
    <row r="1156" spans="1:16" x14ac:dyDescent="0.25">
      <c r="A1156" s="1">
        <v>42894</v>
      </c>
      <c r="B1156">
        <v>2514</v>
      </c>
      <c r="C1156">
        <v>2532</v>
      </c>
      <c r="D1156">
        <v>2490.0500000000002</v>
      </c>
      <c r="E1156" s="7">
        <v>2499.75</v>
      </c>
      <c r="F1156">
        <v>789028</v>
      </c>
      <c r="G1156" s="8">
        <f t="shared" si="180"/>
        <v>2507.2666666666669</v>
      </c>
      <c r="H1156" s="9">
        <f t="shared" si="181"/>
        <v>1978303603.4666669</v>
      </c>
      <c r="I1156" s="9">
        <f t="shared" si="174"/>
        <v>21540135724.816669</v>
      </c>
      <c r="J1156" s="9">
        <f t="shared" si="175"/>
        <v>8606032</v>
      </c>
      <c r="K1156" s="21">
        <f t="shared" si="176"/>
        <v>2502.9114143215675</v>
      </c>
      <c r="L1156" s="4" t="str">
        <f t="shared" si="172"/>
        <v>SELL</v>
      </c>
      <c r="M1156" s="4">
        <f t="shared" si="177"/>
        <v>0</v>
      </c>
      <c r="N1156" s="4">
        <f t="shared" si="173"/>
        <v>-1</v>
      </c>
      <c r="O1156" s="4">
        <f t="shared" si="178"/>
        <v>2516.4</v>
      </c>
      <c r="P1156" s="4">
        <f t="shared" si="179"/>
        <v>0</v>
      </c>
    </row>
    <row r="1157" spans="1:16" x14ac:dyDescent="0.25">
      <c r="A1157" s="1">
        <v>42895</v>
      </c>
      <c r="B1157">
        <v>2491.0500000000002</v>
      </c>
      <c r="C1157">
        <v>2505</v>
      </c>
      <c r="D1157">
        <v>2470</v>
      </c>
      <c r="E1157" s="7">
        <v>2487.6</v>
      </c>
      <c r="F1157">
        <v>686630</v>
      </c>
      <c r="G1157" s="8">
        <f t="shared" si="180"/>
        <v>2487.5333333333333</v>
      </c>
      <c r="H1157" s="9">
        <f t="shared" si="181"/>
        <v>1708015012.6666667</v>
      </c>
      <c r="I1157" s="9">
        <f t="shared" si="174"/>
        <v>20225403536.366669</v>
      </c>
      <c r="J1157" s="9">
        <f t="shared" si="175"/>
        <v>8101721</v>
      </c>
      <c r="K1157" s="21">
        <f t="shared" si="176"/>
        <v>2496.4329845926154</v>
      </c>
      <c r="L1157" s="4" t="str">
        <f t="shared" si="172"/>
        <v>SELL</v>
      </c>
      <c r="M1157" s="4">
        <f t="shared" si="177"/>
        <v>0</v>
      </c>
      <c r="N1157" s="4">
        <f t="shared" si="173"/>
        <v>-1</v>
      </c>
      <c r="O1157" s="4">
        <f t="shared" si="178"/>
        <v>2516.4</v>
      </c>
      <c r="P1157" s="4">
        <f t="shared" si="179"/>
        <v>0</v>
      </c>
    </row>
    <row r="1158" spans="1:16" x14ac:dyDescent="0.25">
      <c r="A1158" s="1">
        <v>42898</v>
      </c>
      <c r="B1158">
        <v>2500</v>
      </c>
      <c r="C1158">
        <v>2504.9</v>
      </c>
      <c r="D1158">
        <v>2435</v>
      </c>
      <c r="E1158" s="7">
        <v>2438.5</v>
      </c>
      <c r="F1158">
        <v>1617078</v>
      </c>
      <c r="G1158" s="8">
        <f t="shared" si="180"/>
        <v>2459.4666666666667</v>
      </c>
      <c r="H1158" s="9">
        <f t="shared" si="181"/>
        <v>3977149438.4000001</v>
      </c>
      <c r="I1158" s="9">
        <f t="shared" si="174"/>
        <v>21899705944.066669</v>
      </c>
      <c r="J1158" s="9">
        <f t="shared" si="175"/>
        <v>8804481</v>
      </c>
      <c r="K1158" s="21">
        <f t="shared" si="176"/>
        <v>2487.336385195978</v>
      </c>
      <c r="L1158" s="4" t="str">
        <f t="shared" si="172"/>
        <v>SELL</v>
      </c>
      <c r="M1158" s="4">
        <f t="shared" si="177"/>
        <v>0</v>
      </c>
      <c r="N1158" s="4">
        <f t="shared" si="173"/>
        <v>-1</v>
      </c>
      <c r="O1158" s="4">
        <f t="shared" si="178"/>
        <v>2516.4</v>
      </c>
      <c r="P1158" s="4">
        <f t="shared" si="179"/>
        <v>0</v>
      </c>
    </row>
    <row r="1159" spans="1:16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 s="7">
        <v>2436.1999999999998</v>
      </c>
      <c r="F1159">
        <v>1028379</v>
      </c>
      <c r="G1159" s="8">
        <f t="shared" si="180"/>
        <v>2440.4333333333334</v>
      </c>
      <c r="H1159" s="9">
        <f t="shared" si="181"/>
        <v>2509690390.9000001</v>
      </c>
      <c r="I1159" s="9">
        <f t="shared" si="174"/>
        <v>22639810706.166672</v>
      </c>
      <c r="J1159" s="9">
        <f t="shared" si="175"/>
        <v>9130532</v>
      </c>
      <c r="K1159" s="21">
        <f t="shared" si="176"/>
        <v>2479.5719139001617</v>
      </c>
      <c r="L1159" s="4" t="str">
        <f t="shared" si="172"/>
        <v>SELL</v>
      </c>
      <c r="M1159" s="4">
        <f t="shared" si="177"/>
        <v>0</v>
      </c>
      <c r="N1159" s="4">
        <f t="shared" si="173"/>
        <v>-1</v>
      </c>
      <c r="O1159" s="4">
        <f t="shared" si="178"/>
        <v>2516.4</v>
      </c>
      <c r="P1159" s="4">
        <f t="shared" si="179"/>
        <v>0</v>
      </c>
    </row>
    <row r="1160" spans="1:16" x14ac:dyDescent="0.25">
      <c r="A1160" s="1">
        <v>42900</v>
      </c>
      <c r="B1160">
        <v>2447</v>
      </c>
      <c r="C1160">
        <v>2460</v>
      </c>
      <c r="D1160">
        <v>2430</v>
      </c>
      <c r="E1160" s="7">
        <v>2432.4499999999998</v>
      </c>
      <c r="F1160">
        <v>1132725</v>
      </c>
      <c r="G1160" s="8">
        <f t="shared" si="180"/>
        <v>2440.8166666666666</v>
      </c>
      <c r="H1160" s="9">
        <f t="shared" si="181"/>
        <v>2764774058.75</v>
      </c>
      <c r="I1160" s="9">
        <f t="shared" si="174"/>
        <v>23097908499.333336</v>
      </c>
      <c r="J1160" s="9">
        <f t="shared" si="175"/>
        <v>9344476</v>
      </c>
      <c r="K1160" s="21">
        <f t="shared" si="176"/>
        <v>2471.8249048243406</v>
      </c>
      <c r="L1160" s="4" t="str">
        <f t="shared" si="172"/>
        <v>SELL</v>
      </c>
      <c r="M1160" s="4">
        <f t="shared" si="177"/>
        <v>0</v>
      </c>
      <c r="N1160" s="4">
        <f t="shared" si="173"/>
        <v>-1</v>
      </c>
      <c r="O1160" s="4">
        <f t="shared" si="178"/>
        <v>2516.4</v>
      </c>
      <c r="P1160" s="4">
        <f t="shared" si="179"/>
        <v>0</v>
      </c>
    </row>
    <row r="1161" spans="1:16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 s="7">
        <v>2464.1999999999998</v>
      </c>
      <c r="F1161">
        <v>1548119</v>
      </c>
      <c r="G1161" s="8">
        <f t="shared" si="180"/>
        <v>2456.0666666666666</v>
      </c>
      <c r="H1161" s="9">
        <f t="shared" si="181"/>
        <v>3802283471.9333334</v>
      </c>
      <c r="I1161" s="9">
        <f t="shared" si="174"/>
        <v>24830600763.666668</v>
      </c>
      <c r="J1161" s="9">
        <f t="shared" si="175"/>
        <v>10056267</v>
      </c>
      <c r="K1161" s="21">
        <f t="shared" si="176"/>
        <v>2469.1668154461959</v>
      </c>
      <c r="L1161" s="4" t="str">
        <f t="shared" si="172"/>
        <v>SELL</v>
      </c>
      <c r="M1161" s="4">
        <f t="shared" si="177"/>
        <v>0</v>
      </c>
      <c r="N1161" s="4">
        <f t="shared" si="173"/>
        <v>-1</v>
      </c>
      <c r="O1161" s="4">
        <f t="shared" si="178"/>
        <v>2516.4</v>
      </c>
      <c r="P1161" s="4">
        <f t="shared" si="179"/>
        <v>0</v>
      </c>
    </row>
    <row r="1162" spans="1:16" x14ac:dyDescent="0.25">
      <c r="A1162" s="1">
        <v>42902</v>
      </c>
      <c r="B1162">
        <v>2470</v>
      </c>
      <c r="C1162">
        <v>2528.5</v>
      </c>
      <c r="D1162">
        <v>2466.9</v>
      </c>
      <c r="E1162" s="7">
        <v>2522.0500000000002</v>
      </c>
      <c r="F1162">
        <v>1571756</v>
      </c>
      <c r="G1162" s="8">
        <f t="shared" si="180"/>
        <v>2505.8166666666666</v>
      </c>
      <c r="H1162" s="9">
        <f t="shared" si="181"/>
        <v>3938532380.7333331</v>
      </c>
      <c r="I1162" s="9">
        <f t="shared" si="174"/>
        <v>26950010443.400002</v>
      </c>
      <c r="J1162" s="9">
        <f t="shared" si="175"/>
        <v>10895628</v>
      </c>
      <c r="K1162" s="21">
        <f t="shared" si="176"/>
        <v>2473.4701334700489</v>
      </c>
      <c r="L1162" s="4" t="str">
        <f t="shared" si="172"/>
        <v>BUY</v>
      </c>
      <c r="M1162" s="4" t="str">
        <f t="shared" si="177"/>
        <v>BUY</v>
      </c>
      <c r="N1162" s="4">
        <f t="shared" si="173"/>
        <v>1</v>
      </c>
      <c r="O1162" s="4">
        <f t="shared" si="178"/>
        <v>2522.0500000000002</v>
      </c>
      <c r="P1162" s="4">
        <f t="shared" si="179"/>
        <v>-2.2452710220950923E-3</v>
      </c>
    </row>
    <row r="1163" spans="1:16" x14ac:dyDescent="0.25">
      <c r="A1163" s="1">
        <v>42905</v>
      </c>
      <c r="B1163">
        <v>2529</v>
      </c>
      <c r="C1163">
        <v>2550</v>
      </c>
      <c r="D1163">
        <v>2500</v>
      </c>
      <c r="E1163" s="7">
        <v>2533.8000000000002</v>
      </c>
      <c r="F1163">
        <v>907745</v>
      </c>
      <c r="G1163" s="8">
        <f t="shared" si="180"/>
        <v>2527.9333333333334</v>
      </c>
      <c r="H1163" s="9">
        <f t="shared" si="181"/>
        <v>2294718843.6666665</v>
      </c>
      <c r="I1163" s="9">
        <f t="shared" si="174"/>
        <v>27648547140.533337</v>
      </c>
      <c r="J1163" s="9">
        <f t="shared" si="175"/>
        <v>11157925</v>
      </c>
      <c r="K1163" s="21">
        <f t="shared" si="176"/>
        <v>2477.9291078344168</v>
      </c>
      <c r="L1163" s="4" t="str">
        <f t="shared" ref="L1163:L1226" si="182">IF(E1163&gt;K1163,"BUY",IF(E1163&lt;K1163,"SELL",0))</f>
        <v>BUY</v>
      </c>
      <c r="M1163" s="4">
        <f t="shared" si="177"/>
        <v>0</v>
      </c>
      <c r="N1163" s="4">
        <f t="shared" ref="N1163:N1226" si="183">IF(M1163="BUY",1,IF(M1163="SELL",-1,N1162))</f>
        <v>1</v>
      </c>
      <c r="O1163" s="4">
        <f t="shared" si="178"/>
        <v>2522.0500000000002</v>
      </c>
      <c r="P1163" s="4">
        <f t="shared" si="179"/>
        <v>0</v>
      </c>
    </row>
    <row r="1164" spans="1:16" x14ac:dyDescent="0.25">
      <c r="A1164" s="1">
        <v>42906</v>
      </c>
      <c r="B1164">
        <v>2534</v>
      </c>
      <c r="C1164">
        <v>2567.4</v>
      </c>
      <c r="D1164">
        <v>2514.0500000000002</v>
      </c>
      <c r="E1164" s="7">
        <v>2549.9499999999998</v>
      </c>
      <c r="F1164">
        <v>717730</v>
      </c>
      <c r="G1164" s="8">
        <f t="shared" si="180"/>
        <v>2543.8000000000002</v>
      </c>
      <c r="H1164" s="9">
        <f t="shared" si="181"/>
        <v>1825761574.0000002</v>
      </c>
      <c r="I1164" s="9">
        <f t="shared" ref="I1164:I1227" si="184">SUM(H1155:H1164)</f>
        <v>28259724344.333336</v>
      </c>
      <c r="J1164" s="9">
        <f t="shared" ref="J1164:J1227" si="185">SUM(F1155:F1164)</f>
        <v>11383379</v>
      </c>
      <c r="K1164" s="21">
        <f t="shared" ref="K1164:K1227" si="186">I1164/J1164</f>
        <v>2482.5426917906657</v>
      </c>
      <c r="L1164" s="4" t="str">
        <f t="shared" si="182"/>
        <v>BUY</v>
      </c>
      <c r="M1164" s="4">
        <f t="shared" ref="M1164:M1227" si="187">IF(L1164&lt;&gt;L1163,L1164,0)</f>
        <v>0</v>
      </c>
      <c r="N1164" s="4">
        <f t="shared" si="183"/>
        <v>1</v>
      </c>
      <c r="O1164" s="4">
        <f t="shared" ref="O1164:O1227" si="188">IF(M1164&lt;&gt;0,E1164,O1163)</f>
        <v>2522.0500000000002</v>
      </c>
      <c r="P1164" s="4">
        <f t="shared" ref="P1164:P1227" si="189">IF(M1164="BUY",(O1163-O1164)/O1163,IF(M1164="SELL",(O1164-O1163)/O1163,0))</f>
        <v>0</v>
      </c>
    </row>
    <row r="1165" spans="1:16" x14ac:dyDescent="0.25">
      <c r="A1165" s="1">
        <v>42907</v>
      </c>
      <c r="B1165">
        <v>2547</v>
      </c>
      <c r="C1165">
        <v>2549.3000000000002</v>
      </c>
      <c r="D1165">
        <v>2513</v>
      </c>
      <c r="E1165" s="7">
        <v>2522.35</v>
      </c>
      <c r="F1165">
        <v>883144</v>
      </c>
      <c r="G1165" s="8">
        <f t="shared" si="180"/>
        <v>2528.2166666666667</v>
      </c>
      <c r="H1165" s="9">
        <f t="shared" si="181"/>
        <v>2232779379.8666668</v>
      </c>
      <c r="I1165" s="9">
        <f t="shared" si="184"/>
        <v>27032008154.383339</v>
      </c>
      <c r="J1165" s="9">
        <f t="shared" si="185"/>
        <v>10882334</v>
      </c>
      <c r="K1165" s="21">
        <f t="shared" si="186"/>
        <v>2484.0266944924992</v>
      </c>
      <c r="L1165" s="4" t="str">
        <f t="shared" si="182"/>
        <v>BUY</v>
      </c>
      <c r="M1165" s="4">
        <f t="shared" si="187"/>
        <v>0</v>
      </c>
      <c r="N1165" s="4">
        <f t="shared" si="183"/>
        <v>1</v>
      </c>
      <c r="O1165" s="4">
        <f t="shared" si="188"/>
        <v>2522.0500000000002</v>
      </c>
      <c r="P1165" s="4">
        <f t="shared" si="189"/>
        <v>0</v>
      </c>
    </row>
    <row r="1166" spans="1:16" x14ac:dyDescent="0.25">
      <c r="A1166" s="1">
        <v>42908</v>
      </c>
      <c r="B1166">
        <v>2525.4</v>
      </c>
      <c r="C1166">
        <v>2560</v>
      </c>
      <c r="D1166">
        <v>2523.0500000000002</v>
      </c>
      <c r="E1166" s="7">
        <v>2537.15</v>
      </c>
      <c r="F1166">
        <v>405074</v>
      </c>
      <c r="G1166" s="8">
        <f t="shared" si="180"/>
        <v>2540.0666666666671</v>
      </c>
      <c r="H1166" s="9">
        <f t="shared" si="181"/>
        <v>1028914964.9333335</v>
      </c>
      <c r="I1166" s="9">
        <f t="shared" si="184"/>
        <v>26082619515.850006</v>
      </c>
      <c r="J1166" s="9">
        <f t="shared" si="185"/>
        <v>10498380</v>
      </c>
      <c r="K1166" s="21">
        <f t="shared" si="186"/>
        <v>2484.4423154667679</v>
      </c>
      <c r="L1166" s="4" t="str">
        <f t="shared" si="182"/>
        <v>BUY</v>
      </c>
      <c r="M1166" s="4">
        <f t="shared" si="187"/>
        <v>0</v>
      </c>
      <c r="N1166" s="4">
        <f t="shared" si="183"/>
        <v>1</v>
      </c>
      <c r="O1166" s="4">
        <f t="shared" si="188"/>
        <v>2522.0500000000002</v>
      </c>
      <c r="P1166" s="4">
        <f t="shared" si="189"/>
        <v>0</v>
      </c>
    </row>
    <row r="1167" spans="1:16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 s="7">
        <v>2537.9</v>
      </c>
      <c r="F1167">
        <v>703970</v>
      </c>
      <c r="G1167" s="8">
        <f t="shared" si="180"/>
        <v>2535.6</v>
      </c>
      <c r="H1167" s="9">
        <f t="shared" si="181"/>
        <v>1784986332</v>
      </c>
      <c r="I1167" s="9">
        <f t="shared" si="184"/>
        <v>26159590835.183334</v>
      </c>
      <c r="J1167" s="9">
        <f t="shared" si="185"/>
        <v>10515720</v>
      </c>
      <c r="K1167" s="21">
        <f t="shared" si="186"/>
        <v>2487.6652131459696</v>
      </c>
      <c r="L1167" s="4" t="str">
        <f t="shared" si="182"/>
        <v>BUY</v>
      </c>
      <c r="M1167" s="4">
        <f t="shared" si="187"/>
        <v>0</v>
      </c>
      <c r="N1167" s="4">
        <f t="shared" si="183"/>
        <v>1</v>
      </c>
      <c r="O1167" s="4">
        <f t="shared" si="188"/>
        <v>2522.0500000000002</v>
      </c>
      <c r="P1167" s="4">
        <f t="shared" si="189"/>
        <v>0</v>
      </c>
    </row>
    <row r="1168" spans="1:16" x14ac:dyDescent="0.25">
      <c r="A1168" s="1">
        <v>42912</v>
      </c>
      <c r="B1168">
        <v>2539</v>
      </c>
      <c r="C1168">
        <v>2616</v>
      </c>
      <c r="D1168">
        <v>2539</v>
      </c>
      <c r="E1168" s="7">
        <v>2606.4</v>
      </c>
      <c r="F1168">
        <v>1530845</v>
      </c>
      <c r="G1168" s="8">
        <f t="shared" si="180"/>
        <v>2587.1333333333332</v>
      </c>
      <c r="H1168" s="9">
        <f t="shared" si="181"/>
        <v>3960500127.6666665</v>
      </c>
      <c r="I1168" s="9">
        <f t="shared" si="184"/>
        <v>26142941524.450001</v>
      </c>
      <c r="J1168" s="9">
        <f t="shared" si="185"/>
        <v>10429487</v>
      </c>
      <c r="K1168" s="21">
        <f t="shared" si="186"/>
        <v>2506.6373374308823</v>
      </c>
      <c r="L1168" s="4" t="str">
        <f t="shared" si="182"/>
        <v>BUY</v>
      </c>
      <c r="M1168" s="4">
        <f t="shared" si="187"/>
        <v>0</v>
      </c>
      <c r="N1168" s="4">
        <f t="shared" si="183"/>
        <v>1</v>
      </c>
      <c r="O1168" s="4">
        <f t="shared" si="188"/>
        <v>2522.0500000000002</v>
      </c>
      <c r="P1168" s="4">
        <f t="shared" si="189"/>
        <v>0</v>
      </c>
    </row>
    <row r="1169" spans="1:16" x14ac:dyDescent="0.25">
      <c r="A1169" s="1">
        <v>42913</v>
      </c>
      <c r="B1169">
        <v>2622</v>
      </c>
      <c r="C1169">
        <v>2627.45</v>
      </c>
      <c r="D1169">
        <v>2577.4499999999998</v>
      </c>
      <c r="E1169" s="7">
        <v>2584.75</v>
      </c>
      <c r="F1169">
        <v>850799</v>
      </c>
      <c r="G1169" s="8">
        <f t="shared" si="180"/>
        <v>2596.5499999999997</v>
      </c>
      <c r="H1169" s="9">
        <f t="shared" si="181"/>
        <v>2209142143.4499998</v>
      </c>
      <c r="I1169" s="9">
        <f t="shared" si="184"/>
        <v>25842393277</v>
      </c>
      <c r="J1169" s="9">
        <f t="shared" si="185"/>
        <v>10251907</v>
      </c>
      <c r="K1169" s="21">
        <f t="shared" si="186"/>
        <v>2520.7401195699495</v>
      </c>
      <c r="L1169" s="4" t="str">
        <f t="shared" si="182"/>
        <v>BUY</v>
      </c>
      <c r="M1169" s="4">
        <f t="shared" si="187"/>
        <v>0</v>
      </c>
      <c r="N1169" s="4">
        <f t="shared" si="183"/>
        <v>1</v>
      </c>
      <c r="O1169" s="4">
        <f t="shared" si="188"/>
        <v>2522.0500000000002</v>
      </c>
      <c r="P1169" s="4">
        <f t="shared" si="189"/>
        <v>0</v>
      </c>
    </row>
    <row r="1170" spans="1:16" x14ac:dyDescent="0.25">
      <c r="A1170" s="1">
        <v>42914</v>
      </c>
      <c r="B1170">
        <v>2599.9</v>
      </c>
      <c r="C1170">
        <v>2621.8</v>
      </c>
      <c r="D1170">
        <v>2583.0500000000002</v>
      </c>
      <c r="E1170" s="7">
        <v>2598.6</v>
      </c>
      <c r="F1170">
        <v>733530</v>
      </c>
      <c r="G1170" s="8">
        <f t="shared" si="180"/>
        <v>2601.15</v>
      </c>
      <c r="H1170" s="9">
        <f t="shared" si="181"/>
        <v>1908021559.5</v>
      </c>
      <c r="I1170" s="9">
        <f t="shared" si="184"/>
        <v>24985640777.75</v>
      </c>
      <c r="J1170" s="9">
        <f t="shared" si="185"/>
        <v>9852712</v>
      </c>
      <c r="K1170" s="21">
        <f t="shared" si="186"/>
        <v>2535.91506356321</v>
      </c>
      <c r="L1170" s="4" t="str">
        <f t="shared" si="182"/>
        <v>BUY</v>
      </c>
      <c r="M1170" s="4">
        <f t="shared" si="187"/>
        <v>0</v>
      </c>
      <c r="N1170" s="4">
        <f t="shared" si="183"/>
        <v>1</v>
      </c>
      <c r="O1170" s="4">
        <f t="shared" si="188"/>
        <v>2522.0500000000002</v>
      </c>
      <c r="P1170" s="4">
        <f t="shared" si="189"/>
        <v>0</v>
      </c>
    </row>
    <row r="1171" spans="1:16" x14ac:dyDescent="0.25">
      <c r="A1171" s="1">
        <v>42915</v>
      </c>
      <c r="B1171">
        <v>2612</v>
      </c>
      <c r="C1171">
        <v>2650</v>
      </c>
      <c r="D1171">
        <v>2599.0500000000002</v>
      </c>
      <c r="E1171" s="7">
        <v>2642.7</v>
      </c>
      <c r="F1171">
        <v>848671</v>
      </c>
      <c r="G1171" s="8">
        <f t="shared" si="180"/>
        <v>2630.5833333333335</v>
      </c>
      <c r="H1171" s="9">
        <f t="shared" si="181"/>
        <v>2232499788.0833335</v>
      </c>
      <c r="I1171" s="9">
        <f t="shared" si="184"/>
        <v>23415857093.899998</v>
      </c>
      <c r="J1171" s="9">
        <f t="shared" si="185"/>
        <v>9153264</v>
      </c>
      <c r="K1171" s="21">
        <f t="shared" si="186"/>
        <v>2558.1975013394126</v>
      </c>
      <c r="L1171" s="4" t="str">
        <f t="shared" si="182"/>
        <v>BUY</v>
      </c>
      <c r="M1171" s="4">
        <f t="shared" si="187"/>
        <v>0</v>
      </c>
      <c r="N1171" s="4">
        <f t="shared" si="183"/>
        <v>1</v>
      </c>
      <c r="O1171" s="4">
        <f t="shared" si="188"/>
        <v>2522.0500000000002</v>
      </c>
      <c r="P1171" s="4">
        <f t="shared" si="189"/>
        <v>0</v>
      </c>
    </row>
    <row r="1172" spans="1:16" x14ac:dyDescent="0.25">
      <c r="A1172" s="1">
        <v>42916</v>
      </c>
      <c r="B1172">
        <v>2652</v>
      </c>
      <c r="C1172">
        <v>2667</v>
      </c>
      <c r="D1172">
        <v>2625.1</v>
      </c>
      <c r="E1172" s="7">
        <v>2631.25</v>
      </c>
      <c r="F1172">
        <v>709049</v>
      </c>
      <c r="G1172" s="8">
        <f t="shared" si="180"/>
        <v>2641.1166666666668</v>
      </c>
      <c r="H1172" s="9">
        <f t="shared" si="181"/>
        <v>1872681131.3833334</v>
      </c>
      <c r="I1172" s="9">
        <f t="shared" si="184"/>
        <v>21350005844.549999</v>
      </c>
      <c r="J1172" s="9">
        <f t="shared" si="185"/>
        <v>8290557</v>
      </c>
      <c r="K1172" s="21">
        <f t="shared" si="186"/>
        <v>2575.2197161843287</v>
      </c>
      <c r="L1172" s="4" t="str">
        <f t="shared" si="182"/>
        <v>BUY</v>
      </c>
      <c r="M1172" s="4">
        <f t="shared" si="187"/>
        <v>0</v>
      </c>
      <c r="N1172" s="4">
        <f t="shared" si="183"/>
        <v>1</v>
      </c>
      <c r="O1172" s="4">
        <f t="shared" si="188"/>
        <v>2522.0500000000002</v>
      </c>
      <c r="P1172" s="4">
        <f t="shared" si="189"/>
        <v>0</v>
      </c>
    </row>
    <row r="1173" spans="1:16" x14ac:dyDescent="0.25">
      <c r="A1173" s="1">
        <v>42919</v>
      </c>
      <c r="B1173">
        <v>2638</v>
      </c>
      <c r="C1173">
        <v>2642.75</v>
      </c>
      <c r="D1173">
        <v>2591.1999999999998</v>
      </c>
      <c r="E1173" s="7">
        <v>2600.15</v>
      </c>
      <c r="F1173">
        <v>629384</v>
      </c>
      <c r="G1173" s="8">
        <f t="shared" si="180"/>
        <v>2611.3666666666668</v>
      </c>
      <c r="H1173" s="9">
        <f t="shared" si="181"/>
        <v>1643552398.1333334</v>
      </c>
      <c r="I1173" s="9">
        <f t="shared" si="184"/>
        <v>20698839399.01667</v>
      </c>
      <c r="J1173" s="9">
        <f t="shared" si="185"/>
        <v>8012196</v>
      </c>
      <c r="K1173" s="21">
        <f t="shared" si="186"/>
        <v>2583.416506413057</v>
      </c>
      <c r="L1173" s="4" t="str">
        <f t="shared" si="182"/>
        <v>BUY</v>
      </c>
      <c r="M1173" s="4">
        <f t="shared" si="187"/>
        <v>0</v>
      </c>
      <c r="N1173" s="4">
        <f t="shared" si="183"/>
        <v>1</v>
      </c>
      <c r="O1173" s="4">
        <f t="shared" si="188"/>
        <v>2522.0500000000002</v>
      </c>
      <c r="P1173" s="4">
        <f t="shared" si="189"/>
        <v>0</v>
      </c>
    </row>
    <row r="1174" spans="1:16" x14ac:dyDescent="0.25">
      <c r="A1174" s="1">
        <v>42920</v>
      </c>
      <c r="B1174">
        <v>2610</v>
      </c>
      <c r="C1174">
        <v>2624.4</v>
      </c>
      <c r="D1174">
        <v>2591.5</v>
      </c>
      <c r="E1174" s="7">
        <v>2598.35</v>
      </c>
      <c r="F1174">
        <v>537811</v>
      </c>
      <c r="G1174" s="8">
        <f t="shared" si="180"/>
        <v>2604.75</v>
      </c>
      <c r="H1174" s="9">
        <f t="shared" si="181"/>
        <v>1400863202.25</v>
      </c>
      <c r="I1174" s="9">
        <f t="shared" si="184"/>
        <v>20273941027.26667</v>
      </c>
      <c r="J1174" s="9">
        <f t="shared" si="185"/>
        <v>7832277</v>
      </c>
      <c r="K1174" s="21">
        <f t="shared" si="186"/>
        <v>2588.511747894855</v>
      </c>
      <c r="L1174" s="4" t="str">
        <f t="shared" si="182"/>
        <v>BUY</v>
      </c>
      <c r="M1174" s="4">
        <f t="shared" si="187"/>
        <v>0</v>
      </c>
      <c r="N1174" s="4">
        <f t="shared" si="183"/>
        <v>1</v>
      </c>
      <c r="O1174" s="4">
        <f t="shared" si="188"/>
        <v>2522.0500000000002</v>
      </c>
      <c r="P1174" s="4">
        <f t="shared" si="189"/>
        <v>0</v>
      </c>
    </row>
    <row r="1175" spans="1:16" x14ac:dyDescent="0.25">
      <c r="A1175" s="1">
        <v>42921</v>
      </c>
      <c r="B1175">
        <v>2610</v>
      </c>
      <c r="C1175">
        <v>2624.35</v>
      </c>
      <c r="D1175">
        <v>2593.1999999999998</v>
      </c>
      <c r="E1175" s="7">
        <v>2607.6</v>
      </c>
      <c r="F1175">
        <v>598105</v>
      </c>
      <c r="G1175" s="8">
        <f t="shared" si="180"/>
        <v>2608.3833333333332</v>
      </c>
      <c r="H1175" s="9">
        <f t="shared" si="181"/>
        <v>1560087113.5833333</v>
      </c>
      <c r="I1175" s="9">
        <f t="shared" si="184"/>
        <v>19601248760.983334</v>
      </c>
      <c r="J1175" s="9">
        <f t="shared" si="185"/>
        <v>7547238</v>
      </c>
      <c r="K1175" s="21">
        <f t="shared" si="186"/>
        <v>2597.1419956523609</v>
      </c>
      <c r="L1175" s="4" t="str">
        <f t="shared" si="182"/>
        <v>BUY</v>
      </c>
      <c r="M1175" s="4">
        <f t="shared" si="187"/>
        <v>0</v>
      </c>
      <c r="N1175" s="4">
        <f t="shared" si="183"/>
        <v>1</v>
      </c>
      <c r="O1175" s="4">
        <f t="shared" si="188"/>
        <v>2522.0500000000002</v>
      </c>
      <c r="P1175" s="4">
        <f t="shared" si="189"/>
        <v>0</v>
      </c>
    </row>
    <row r="1176" spans="1:16" x14ac:dyDescent="0.25">
      <c r="A1176" s="1">
        <v>42922</v>
      </c>
      <c r="B1176">
        <v>2614</v>
      </c>
      <c r="C1176">
        <v>2618.6</v>
      </c>
      <c r="D1176">
        <v>2554</v>
      </c>
      <c r="E1176" s="7">
        <v>2558.3000000000002</v>
      </c>
      <c r="F1176">
        <v>575772</v>
      </c>
      <c r="G1176" s="8">
        <f t="shared" si="180"/>
        <v>2576.9666666666667</v>
      </c>
      <c r="H1176" s="9">
        <f t="shared" si="181"/>
        <v>1483745251.5999999</v>
      </c>
      <c r="I1176" s="9">
        <f t="shared" si="184"/>
        <v>20056079047.649998</v>
      </c>
      <c r="J1176" s="9">
        <f t="shared" si="185"/>
        <v>7717936</v>
      </c>
      <c r="K1176" s="21">
        <f t="shared" si="186"/>
        <v>2598.6324643855555</v>
      </c>
      <c r="L1176" s="4" t="str">
        <f t="shared" si="182"/>
        <v>SELL</v>
      </c>
      <c r="M1176" s="4" t="str">
        <f t="shared" si="187"/>
        <v>SELL</v>
      </c>
      <c r="N1176" s="4">
        <f t="shared" si="183"/>
        <v>-1</v>
      </c>
      <c r="O1176" s="4">
        <f t="shared" si="188"/>
        <v>2558.3000000000002</v>
      </c>
      <c r="P1176" s="4">
        <f t="shared" si="189"/>
        <v>1.4373228127911817E-2</v>
      </c>
    </row>
    <row r="1177" spans="1:16" x14ac:dyDescent="0.25">
      <c r="A1177" s="1">
        <v>42923</v>
      </c>
      <c r="B1177">
        <v>2566</v>
      </c>
      <c r="C1177">
        <v>2575</v>
      </c>
      <c r="D1177">
        <v>2544</v>
      </c>
      <c r="E1177" s="7">
        <v>2550.85</v>
      </c>
      <c r="F1177">
        <v>767804</v>
      </c>
      <c r="G1177" s="8">
        <f t="shared" si="180"/>
        <v>2556.6166666666668</v>
      </c>
      <c r="H1177" s="9">
        <f t="shared" si="181"/>
        <v>1962980503.1333334</v>
      </c>
      <c r="I1177" s="9">
        <f t="shared" si="184"/>
        <v>20234073218.783337</v>
      </c>
      <c r="J1177" s="9">
        <f t="shared" si="185"/>
        <v>7781770</v>
      </c>
      <c r="K1177" s="21">
        <f t="shared" si="186"/>
        <v>2600.1890596590924</v>
      </c>
      <c r="L1177" s="4" t="str">
        <f t="shared" si="182"/>
        <v>SELL</v>
      </c>
      <c r="M1177" s="4">
        <f t="shared" si="187"/>
        <v>0</v>
      </c>
      <c r="N1177" s="4">
        <f t="shared" si="183"/>
        <v>-1</v>
      </c>
      <c r="O1177" s="4">
        <f t="shared" si="188"/>
        <v>2558.3000000000002</v>
      </c>
      <c r="P1177" s="4">
        <f t="shared" si="189"/>
        <v>0</v>
      </c>
    </row>
    <row r="1178" spans="1:16" x14ac:dyDescent="0.25">
      <c r="A1178" s="1">
        <v>42926</v>
      </c>
      <c r="B1178">
        <v>2561</v>
      </c>
      <c r="C1178">
        <v>2604.75</v>
      </c>
      <c r="D1178">
        <v>2561</v>
      </c>
      <c r="E1178" s="7">
        <v>2591.1999999999998</v>
      </c>
      <c r="F1178">
        <v>828850</v>
      </c>
      <c r="G1178" s="8">
        <f t="shared" si="180"/>
        <v>2585.65</v>
      </c>
      <c r="H1178" s="9">
        <f t="shared" si="181"/>
        <v>2143116002.5</v>
      </c>
      <c r="I1178" s="9">
        <f t="shared" si="184"/>
        <v>18416689093.616669</v>
      </c>
      <c r="J1178" s="9">
        <f t="shared" si="185"/>
        <v>7079775</v>
      </c>
      <c r="K1178" s="21">
        <f t="shared" si="186"/>
        <v>2601.3099418578513</v>
      </c>
      <c r="L1178" s="4" t="str">
        <f t="shared" si="182"/>
        <v>SELL</v>
      </c>
      <c r="M1178" s="4">
        <f t="shared" si="187"/>
        <v>0</v>
      </c>
      <c r="N1178" s="4">
        <f t="shared" si="183"/>
        <v>-1</v>
      </c>
      <c r="O1178" s="4">
        <f t="shared" si="188"/>
        <v>2558.3000000000002</v>
      </c>
      <c r="P1178" s="4">
        <f t="shared" si="189"/>
        <v>0</v>
      </c>
    </row>
    <row r="1179" spans="1:16" x14ac:dyDescent="0.25">
      <c r="A1179" s="1">
        <v>42927</v>
      </c>
      <c r="B1179">
        <v>2591.6999999999998</v>
      </c>
      <c r="C1179">
        <v>2651.8</v>
      </c>
      <c r="D1179">
        <v>2581</v>
      </c>
      <c r="E1179" s="7">
        <v>2642.3</v>
      </c>
      <c r="F1179">
        <v>741539</v>
      </c>
      <c r="G1179" s="8">
        <f t="shared" si="180"/>
        <v>2625.0333333333333</v>
      </c>
      <c r="H1179" s="9">
        <f t="shared" si="181"/>
        <v>1946564592.9666667</v>
      </c>
      <c r="I1179" s="9">
        <f t="shared" si="184"/>
        <v>18154111543.133335</v>
      </c>
      <c r="J1179" s="9">
        <f t="shared" si="185"/>
        <v>6970515</v>
      </c>
      <c r="K1179" s="21">
        <f t="shared" si="186"/>
        <v>2604.4146728230749</v>
      </c>
      <c r="L1179" s="4" t="str">
        <f t="shared" si="182"/>
        <v>BUY</v>
      </c>
      <c r="M1179" s="4" t="str">
        <f t="shared" si="187"/>
        <v>BUY</v>
      </c>
      <c r="N1179" s="4">
        <f t="shared" si="183"/>
        <v>1</v>
      </c>
      <c r="O1179" s="4">
        <f t="shared" si="188"/>
        <v>2642.3</v>
      </c>
      <c r="P1179" s="4">
        <f t="shared" si="189"/>
        <v>-3.2834304030019933E-2</v>
      </c>
    </row>
    <row r="1180" spans="1:16" x14ac:dyDescent="0.25">
      <c r="A1180" s="1">
        <v>42928</v>
      </c>
      <c r="B1180">
        <v>2643</v>
      </c>
      <c r="C1180">
        <v>2740</v>
      </c>
      <c r="D1180">
        <v>2642</v>
      </c>
      <c r="E1180" s="7">
        <v>2714.2</v>
      </c>
      <c r="F1180">
        <v>1793932</v>
      </c>
      <c r="G1180" s="8">
        <f t="shared" si="180"/>
        <v>2698.7333333333331</v>
      </c>
      <c r="H1180" s="9">
        <f t="shared" si="181"/>
        <v>4841344086.1333332</v>
      </c>
      <c r="I1180" s="9">
        <f t="shared" si="184"/>
        <v>21087434069.76667</v>
      </c>
      <c r="J1180" s="9">
        <f t="shared" si="185"/>
        <v>8030917</v>
      </c>
      <c r="K1180" s="21">
        <f t="shared" si="186"/>
        <v>2625.781597514539</v>
      </c>
      <c r="L1180" s="4" t="str">
        <f t="shared" si="182"/>
        <v>BUY</v>
      </c>
      <c r="M1180" s="4">
        <f t="shared" si="187"/>
        <v>0</v>
      </c>
      <c r="N1180" s="4">
        <f t="shared" si="183"/>
        <v>1</v>
      </c>
      <c r="O1180" s="4">
        <f t="shared" si="188"/>
        <v>2642.3</v>
      </c>
      <c r="P1180" s="4">
        <f t="shared" si="189"/>
        <v>0</v>
      </c>
    </row>
    <row r="1181" spans="1:16" x14ac:dyDescent="0.25">
      <c r="A1181" s="1">
        <v>42929</v>
      </c>
      <c r="B1181">
        <v>2714</v>
      </c>
      <c r="C1181">
        <v>2734</v>
      </c>
      <c r="D1181">
        <v>2676.25</v>
      </c>
      <c r="E1181" s="7">
        <v>2721.8</v>
      </c>
      <c r="F1181">
        <v>499792</v>
      </c>
      <c r="G1181" s="8">
        <f t="shared" si="180"/>
        <v>2710.6833333333334</v>
      </c>
      <c r="H1181" s="9">
        <f t="shared" si="181"/>
        <v>1354777844.5333333</v>
      </c>
      <c r="I1181" s="9">
        <f t="shared" si="184"/>
        <v>20209712126.216667</v>
      </c>
      <c r="J1181" s="9">
        <f t="shared" si="185"/>
        <v>7682038</v>
      </c>
      <c r="K1181" s="21">
        <f t="shared" si="186"/>
        <v>2630.774818637537</v>
      </c>
      <c r="L1181" s="4" t="str">
        <f t="shared" si="182"/>
        <v>BUY</v>
      </c>
      <c r="M1181" s="4">
        <f t="shared" si="187"/>
        <v>0</v>
      </c>
      <c r="N1181" s="4">
        <f t="shared" si="183"/>
        <v>1</v>
      </c>
      <c r="O1181" s="4">
        <f t="shared" si="188"/>
        <v>2642.3</v>
      </c>
      <c r="P1181" s="4">
        <f t="shared" si="189"/>
        <v>0</v>
      </c>
    </row>
    <row r="1182" spans="1:16" x14ac:dyDescent="0.25">
      <c r="A1182" s="1">
        <v>42930</v>
      </c>
      <c r="B1182">
        <v>2724</v>
      </c>
      <c r="C1182">
        <v>2782.45</v>
      </c>
      <c r="D1182">
        <v>2683.3</v>
      </c>
      <c r="E1182" s="7">
        <v>2688.2</v>
      </c>
      <c r="F1182">
        <v>1027995</v>
      </c>
      <c r="G1182" s="8">
        <f t="shared" si="180"/>
        <v>2717.9833333333331</v>
      </c>
      <c r="H1182" s="9">
        <f t="shared" si="181"/>
        <v>2794073276.75</v>
      </c>
      <c r="I1182" s="9">
        <f t="shared" si="184"/>
        <v>21131104271.583332</v>
      </c>
      <c r="J1182" s="9">
        <f t="shared" si="185"/>
        <v>8000984</v>
      </c>
      <c r="K1182" s="21">
        <f t="shared" si="186"/>
        <v>2641.0631831763858</v>
      </c>
      <c r="L1182" s="4" t="str">
        <f t="shared" si="182"/>
        <v>BUY</v>
      </c>
      <c r="M1182" s="4">
        <f t="shared" si="187"/>
        <v>0</v>
      </c>
      <c r="N1182" s="4">
        <f t="shared" si="183"/>
        <v>1</v>
      </c>
      <c r="O1182" s="4">
        <f t="shared" si="188"/>
        <v>2642.3</v>
      </c>
      <c r="P1182" s="4">
        <f t="shared" si="189"/>
        <v>0</v>
      </c>
    </row>
    <row r="1183" spans="1:16" x14ac:dyDescent="0.25">
      <c r="A1183" s="1">
        <v>42933</v>
      </c>
      <c r="B1183">
        <v>2693</v>
      </c>
      <c r="C1183">
        <v>2706.95</v>
      </c>
      <c r="D1183">
        <v>2632.75</v>
      </c>
      <c r="E1183" s="7">
        <v>2643</v>
      </c>
      <c r="F1183">
        <v>1221066</v>
      </c>
      <c r="G1183" s="8">
        <f t="shared" si="180"/>
        <v>2660.9</v>
      </c>
      <c r="H1183" s="9">
        <f t="shared" si="181"/>
        <v>3249134519.4000001</v>
      </c>
      <c r="I1183" s="9">
        <f t="shared" si="184"/>
        <v>22736686392.849998</v>
      </c>
      <c r="J1183" s="9">
        <f t="shared" si="185"/>
        <v>8592666</v>
      </c>
      <c r="K1183" s="21">
        <f t="shared" si="186"/>
        <v>2646.0572763854661</v>
      </c>
      <c r="L1183" s="4" t="str">
        <f t="shared" si="182"/>
        <v>SELL</v>
      </c>
      <c r="M1183" s="4" t="str">
        <f t="shared" si="187"/>
        <v>SELL</v>
      </c>
      <c r="N1183" s="4">
        <f t="shared" si="183"/>
        <v>-1</v>
      </c>
      <c r="O1183" s="4">
        <f t="shared" si="188"/>
        <v>2643</v>
      </c>
      <c r="P1183" s="4">
        <f t="shared" si="189"/>
        <v>2.6492071301510733E-4</v>
      </c>
    </row>
    <row r="1184" spans="1:16" x14ac:dyDescent="0.25">
      <c r="A1184" s="1">
        <v>42934</v>
      </c>
      <c r="B1184">
        <v>2660.95</v>
      </c>
      <c r="C1184">
        <v>2725</v>
      </c>
      <c r="D1184">
        <v>2660</v>
      </c>
      <c r="E1184" s="7">
        <v>2708.6</v>
      </c>
      <c r="F1184">
        <v>1236579</v>
      </c>
      <c r="G1184" s="8">
        <f t="shared" si="180"/>
        <v>2697.8666666666668</v>
      </c>
      <c r="H1184" s="9">
        <f t="shared" si="181"/>
        <v>3336125264.8000002</v>
      </c>
      <c r="I1184" s="9">
        <f t="shared" si="184"/>
        <v>24671948455.399998</v>
      </c>
      <c r="J1184" s="9">
        <f t="shared" si="185"/>
        <v>9291434</v>
      </c>
      <c r="K1184" s="21">
        <f t="shared" si="186"/>
        <v>2655.3434545625569</v>
      </c>
      <c r="L1184" s="4" t="str">
        <f t="shared" si="182"/>
        <v>BUY</v>
      </c>
      <c r="M1184" s="4" t="str">
        <f t="shared" si="187"/>
        <v>BUY</v>
      </c>
      <c r="N1184" s="4">
        <f t="shared" si="183"/>
        <v>1</v>
      </c>
      <c r="O1184" s="4">
        <f t="shared" si="188"/>
        <v>2708.6</v>
      </c>
      <c r="P1184" s="4">
        <f t="shared" si="189"/>
        <v>-2.4820279984865648E-2</v>
      </c>
    </row>
    <row r="1185" spans="1:16" x14ac:dyDescent="0.25">
      <c r="A1185" s="1">
        <v>42935</v>
      </c>
      <c r="B1185">
        <v>2710</v>
      </c>
      <c r="C1185">
        <v>2724.9</v>
      </c>
      <c r="D1185">
        <v>2670.1</v>
      </c>
      <c r="E1185" s="7">
        <v>2684</v>
      </c>
      <c r="F1185">
        <v>806356</v>
      </c>
      <c r="G1185" s="8">
        <f t="shared" si="180"/>
        <v>2693</v>
      </c>
      <c r="H1185" s="9">
        <f t="shared" si="181"/>
        <v>2171516708</v>
      </c>
      <c r="I1185" s="9">
        <f t="shared" si="184"/>
        <v>25283378049.816666</v>
      </c>
      <c r="J1185" s="9">
        <f t="shared" si="185"/>
        <v>9499685</v>
      </c>
      <c r="K1185" s="21">
        <f t="shared" si="186"/>
        <v>2661.4964653898173</v>
      </c>
      <c r="L1185" s="4" t="str">
        <f t="shared" si="182"/>
        <v>BUY</v>
      </c>
      <c r="M1185" s="4">
        <f t="shared" si="187"/>
        <v>0</v>
      </c>
      <c r="N1185" s="4">
        <f t="shared" si="183"/>
        <v>1</v>
      </c>
      <c r="O1185" s="4">
        <f t="shared" si="188"/>
        <v>2708.6</v>
      </c>
      <c r="P1185" s="4">
        <f t="shared" si="189"/>
        <v>0</v>
      </c>
    </row>
    <row r="1186" spans="1:16" x14ac:dyDescent="0.25">
      <c r="A1186" s="1">
        <v>42936</v>
      </c>
      <c r="B1186">
        <v>2695.4</v>
      </c>
      <c r="C1186">
        <v>2775.45</v>
      </c>
      <c r="D1186">
        <v>2675.3</v>
      </c>
      <c r="E1186" s="7">
        <v>2767.95</v>
      </c>
      <c r="F1186">
        <v>1044767</v>
      </c>
      <c r="G1186" s="8">
        <f t="shared" si="180"/>
        <v>2739.5666666666671</v>
      </c>
      <c r="H1186" s="9">
        <f t="shared" si="181"/>
        <v>2862208847.6333337</v>
      </c>
      <c r="I1186" s="9">
        <f t="shared" si="184"/>
        <v>26661841645.850002</v>
      </c>
      <c r="J1186" s="9">
        <f t="shared" si="185"/>
        <v>9968680</v>
      </c>
      <c r="K1186" s="21">
        <f t="shared" si="186"/>
        <v>2674.5608892902574</v>
      </c>
      <c r="L1186" s="4" t="str">
        <f t="shared" si="182"/>
        <v>BUY</v>
      </c>
      <c r="M1186" s="4">
        <f t="shared" si="187"/>
        <v>0</v>
      </c>
      <c r="N1186" s="4">
        <f t="shared" si="183"/>
        <v>1</v>
      </c>
      <c r="O1186" s="4">
        <f t="shared" si="188"/>
        <v>2708.6</v>
      </c>
      <c r="P1186" s="4">
        <f t="shared" si="189"/>
        <v>0</v>
      </c>
    </row>
    <row r="1187" spans="1:16" x14ac:dyDescent="0.25">
      <c r="A1187" s="1">
        <v>42937</v>
      </c>
      <c r="B1187">
        <v>2772.95</v>
      </c>
      <c r="C1187">
        <v>2776.65</v>
      </c>
      <c r="D1187">
        <v>2708.15</v>
      </c>
      <c r="E1187" s="7">
        <v>2736.6</v>
      </c>
      <c r="F1187">
        <v>1394477</v>
      </c>
      <c r="G1187" s="8">
        <f t="shared" si="180"/>
        <v>2740.4666666666667</v>
      </c>
      <c r="H1187" s="9">
        <f t="shared" si="181"/>
        <v>3821517735.9333334</v>
      </c>
      <c r="I1187" s="9">
        <f t="shared" si="184"/>
        <v>28520378878.650002</v>
      </c>
      <c r="J1187" s="9">
        <f t="shared" si="185"/>
        <v>10595353</v>
      </c>
      <c r="K1187" s="21">
        <f t="shared" si="186"/>
        <v>2691.7818480092169</v>
      </c>
      <c r="L1187" s="4" t="str">
        <f t="shared" si="182"/>
        <v>BUY</v>
      </c>
      <c r="M1187" s="4">
        <f t="shared" si="187"/>
        <v>0</v>
      </c>
      <c r="N1187" s="4">
        <f t="shared" si="183"/>
        <v>1</v>
      </c>
      <c r="O1187" s="4">
        <f t="shared" si="188"/>
        <v>2708.6</v>
      </c>
      <c r="P1187" s="4">
        <f t="shared" si="189"/>
        <v>0</v>
      </c>
    </row>
    <row r="1188" spans="1:16" x14ac:dyDescent="0.25">
      <c r="A1188" s="1">
        <v>42940</v>
      </c>
      <c r="B1188">
        <v>2752</v>
      </c>
      <c r="C1188">
        <v>2802</v>
      </c>
      <c r="D1188">
        <v>2737</v>
      </c>
      <c r="E1188" s="7">
        <v>2775.6</v>
      </c>
      <c r="F1188">
        <v>1071011</v>
      </c>
      <c r="G1188" s="8">
        <f t="shared" si="180"/>
        <v>2771.5333333333333</v>
      </c>
      <c r="H1188" s="9">
        <f t="shared" si="181"/>
        <v>2968342686.8666668</v>
      </c>
      <c r="I1188" s="9">
        <f t="shared" si="184"/>
        <v>29345605563.01667</v>
      </c>
      <c r="J1188" s="9">
        <f t="shared" si="185"/>
        <v>10837514</v>
      </c>
      <c r="K1188" s="21">
        <f t="shared" si="186"/>
        <v>2707.7801756949675</v>
      </c>
      <c r="L1188" s="4" t="str">
        <f t="shared" si="182"/>
        <v>BUY</v>
      </c>
      <c r="M1188" s="4">
        <f t="shared" si="187"/>
        <v>0</v>
      </c>
      <c r="N1188" s="4">
        <f t="shared" si="183"/>
        <v>1</v>
      </c>
      <c r="O1188" s="4">
        <f t="shared" si="188"/>
        <v>2708.6</v>
      </c>
      <c r="P1188" s="4">
        <f t="shared" si="189"/>
        <v>0</v>
      </c>
    </row>
    <row r="1189" spans="1:16" x14ac:dyDescent="0.25">
      <c r="A1189" s="1">
        <v>42941</v>
      </c>
      <c r="B1189">
        <v>2739.6</v>
      </c>
      <c r="C1189">
        <v>2839.7</v>
      </c>
      <c r="D1189">
        <v>2725.6</v>
      </c>
      <c r="E1189" s="7">
        <v>2731.35</v>
      </c>
      <c r="F1189">
        <v>1728837</v>
      </c>
      <c r="G1189" s="8">
        <f t="shared" si="180"/>
        <v>2765.5499999999997</v>
      </c>
      <c r="H1189" s="9">
        <f t="shared" si="181"/>
        <v>4781185165.3499994</v>
      </c>
      <c r="I1189" s="9">
        <f t="shared" si="184"/>
        <v>32180226135.400002</v>
      </c>
      <c r="J1189" s="9">
        <f t="shared" si="185"/>
        <v>11824812</v>
      </c>
      <c r="K1189" s="21">
        <f t="shared" si="186"/>
        <v>2721.4154555184473</v>
      </c>
      <c r="L1189" s="4" t="str">
        <f t="shared" si="182"/>
        <v>BUY</v>
      </c>
      <c r="M1189" s="4">
        <f t="shared" si="187"/>
        <v>0</v>
      </c>
      <c r="N1189" s="4">
        <f t="shared" si="183"/>
        <v>1</v>
      </c>
      <c r="O1189" s="4">
        <f t="shared" si="188"/>
        <v>2708.6</v>
      </c>
      <c r="P1189" s="4">
        <f t="shared" si="189"/>
        <v>0</v>
      </c>
    </row>
    <row r="1190" spans="1:16" x14ac:dyDescent="0.25">
      <c r="A1190" s="1">
        <v>42942</v>
      </c>
      <c r="B1190">
        <v>2738</v>
      </c>
      <c r="C1190">
        <v>2739.95</v>
      </c>
      <c r="D1190">
        <v>2649.25</v>
      </c>
      <c r="E1190" s="7">
        <v>2683.2</v>
      </c>
      <c r="F1190">
        <v>981221</v>
      </c>
      <c r="G1190" s="8">
        <f t="shared" si="180"/>
        <v>2690.7999999999997</v>
      </c>
      <c r="H1190" s="9">
        <f t="shared" si="181"/>
        <v>2640269466.7999997</v>
      </c>
      <c r="I1190" s="9">
        <f t="shared" si="184"/>
        <v>29979151516.066662</v>
      </c>
      <c r="J1190" s="9">
        <f t="shared" si="185"/>
        <v>11012101</v>
      </c>
      <c r="K1190" s="21">
        <f t="shared" si="186"/>
        <v>2722.3825422657005</v>
      </c>
      <c r="L1190" s="4" t="str">
        <f t="shared" si="182"/>
        <v>SELL</v>
      </c>
      <c r="M1190" s="4" t="str">
        <f t="shared" si="187"/>
        <v>SELL</v>
      </c>
      <c r="N1190" s="4">
        <f t="shared" si="183"/>
        <v>-1</v>
      </c>
      <c r="O1190" s="4">
        <f t="shared" si="188"/>
        <v>2683.2</v>
      </c>
      <c r="P1190" s="4">
        <f t="shared" si="189"/>
        <v>-9.3775382116222748E-3</v>
      </c>
    </row>
    <row r="1191" spans="1:16" x14ac:dyDescent="0.25">
      <c r="A1191" s="1">
        <v>42943</v>
      </c>
      <c r="B1191">
        <v>2708</v>
      </c>
      <c r="C1191">
        <v>2723.3</v>
      </c>
      <c r="D1191">
        <v>2686.5</v>
      </c>
      <c r="E1191" s="7">
        <v>2706.05</v>
      </c>
      <c r="F1191">
        <v>842588</v>
      </c>
      <c r="G1191" s="8">
        <f t="shared" si="180"/>
        <v>2705.2833333333333</v>
      </c>
      <c r="H1191" s="9">
        <f t="shared" si="181"/>
        <v>2279439273.2666664</v>
      </c>
      <c r="I1191" s="9">
        <f t="shared" si="184"/>
        <v>30903812944.799995</v>
      </c>
      <c r="J1191" s="9">
        <f t="shared" si="185"/>
        <v>11354897</v>
      </c>
      <c r="K1191" s="21">
        <f t="shared" si="186"/>
        <v>2721.6286457552187</v>
      </c>
      <c r="L1191" s="4" t="str">
        <f t="shared" si="182"/>
        <v>SELL</v>
      </c>
      <c r="M1191" s="4">
        <f t="shared" si="187"/>
        <v>0</v>
      </c>
      <c r="N1191" s="4">
        <f t="shared" si="183"/>
        <v>-1</v>
      </c>
      <c r="O1191" s="4">
        <f t="shared" si="188"/>
        <v>2683.2</v>
      </c>
      <c r="P1191" s="4">
        <f t="shared" si="189"/>
        <v>0</v>
      </c>
    </row>
    <row r="1192" spans="1:16" x14ac:dyDescent="0.25">
      <c r="A1192" s="1">
        <v>42944</v>
      </c>
      <c r="B1192">
        <v>2706</v>
      </c>
      <c r="C1192">
        <v>2727.45</v>
      </c>
      <c r="D1192">
        <v>2668.5</v>
      </c>
      <c r="E1192" s="7">
        <v>2678.5</v>
      </c>
      <c r="F1192">
        <v>1172181</v>
      </c>
      <c r="G1192" s="8">
        <f t="shared" si="180"/>
        <v>2691.4833333333331</v>
      </c>
      <c r="H1192" s="9">
        <f t="shared" si="181"/>
        <v>3154905625.1499996</v>
      </c>
      <c r="I1192" s="9">
        <f t="shared" si="184"/>
        <v>31264645293.199997</v>
      </c>
      <c r="J1192" s="9">
        <f t="shared" si="185"/>
        <v>11499083</v>
      </c>
      <c r="K1192" s="21">
        <f t="shared" si="186"/>
        <v>2718.8816093596329</v>
      </c>
      <c r="L1192" s="4" t="str">
        <f t="shared" si="182"/>
        <v>SELL</v>
      </c>
      <c r="M1192" s="4">
        <f t="shared" si="187"/>
        <v>0</v>
      </c>
      <c r="N1192" s="4">
        <f t="shared" si="183"/>
        <v>-1</v>
      </c>
      <c r="O1192" s="4">
        <f t="shared" si="188"/>
        <v>2683.2</v>
      </c>
      <c r="P1192" s="4">
        <f t="shared" si="189"/>
        <v>0</v>
      </c>
    </row>
    <row r="1193" spans="1:16" x14ac:dyDescent="0.25">
      <c r="A1193" s="1">
        <v>42947</v>
      </c>
      <c r="B1193">
        <v>2680</v>
      </c>
      <c r="C1193">
        <v>2724.8</v>
      </c>
      <c r="D1193">
        <v>2670</v>
      </c>
      <c r="E1193" s="7">
        <v>2716.55</v>
      </c>
      <c r="F1193">
        <v>1104766</v>
      </c>
      <c r="G1193" s="8">
        <f t="shared" si="180"/>
        <v>2703.7833333333333</v>
      </c>
      <c r="H1193" s="9">
        <f t="shared" si="181"/>
        <v>2987047898.0333333</v>
      </c>
      <c r="I1193" s="9">
        <f t="shared" si="184"/>
        <v>31002558671.833336</v>
      </c>
      <c r="J1193" s="9">
        <f t="shared" si="185"/>
        <v>11382783</v>
      </c>
      <c r="K1193" s="21">
        <f t="shared" si="186"/>
        <v>2723.6360977656636</v>
      </c>
      <c r="L1193" s="4" t="str">
        <f t="shared" si="182"/>
        <v>SELL</v>
      </c>
      <c r="M1193" s="4">
        <f t="shared" si="187"/>
        <v>0</v>
      </c>
      <c r="N1193" s="4">
        <f t="shared" si="183"/>
        <v>-1</v>
      </c>
      <c r="O1193" s="4">
        <f t="shared" si="188"/>
        <v>2683.2</v>
      </c>
      <c r="P1193" s="4">
        <f t="shared" si="189"/>
        <v>0</v>
      </c>
    </row>
    <row r="1194" spans="1:16" x14ac:dyDescent="0.25">
      <c r="A1194" s="1">
        <v>42948</v>
      </c>
      <c r="B1194">
        <v>2730</v>
      </c>
      <c r="C1194">
        <v>2735.7</v>
      </c>
      <c r="D1194">
        <v>2678.8</v>
      </c>
      <c r="E1194" s="7">
        <v>2699.2</v>
      </c>
      <c r="F1194">
        <v>1184703</v>
      </c>
      <c r="G1194" s="8">
        <f t="shared" si="180"/>
        <v>2704.5666666666666</v>
      </c>
      <c r="H1194" s="9">
        <f t="shared" si="181"/>
        <v>3204108243.6999998</v>
      </c>
      <c r="I1194" s="9">
        <f t="shared" si="184"/>
        <v>30870541650.733334</v>
      </c>
      <c r="J1194" s="9">
        <f t="shared" si="185"/>
        <v>11330907</v>
      </c>
      <c r="K1194" s="21">
        <f t="shared" si="186"/>
        <v>2724.4545958000831</v>
      </c>
      <c r="L1194" s="4" t="str">
        <f t="shared" si="182"/>
        <v>SELL</v>
      </c>
      <c r="M1194" s="4">
        <f t="shared" si="187"/>
        <v>0</v>
      </c>
      <c r="N1194" s="4">
        <f t="shared" si="183"/>
        <v>-1</v>
      </c>
      <c r="O1194" s="4">
        <f t="shared" si="188"/>
        <v>2683.2</v>
      </c>
      <c r="P1194" s="4">
        <f t="shared" si="189"/>
        <v>0</v>
      </c>
    </row>
    <row r="1195" spans="1:16" x14ac:dyDescent="0.25">
      <c r="A1195" s="1">
        <v>42949</v>
      </c>
      <c r="B1195">
        <v>2730</v>
      </c>
      <c r="C1195">
        <v>2758.6</v>
      </c>
      <c r="D1195">
        <v>2664.25</v>
      </c>
      <c r="E1195" s="7">
        <v>2678.1</v>
      </c>
      <c r="F1195">
        <v>1924007</v>
      </c>
      <c r="G1195" s="8">
        <f t="shared" si="180"/>
        <v>2700.3166666666671</v>
      </c>
      <c r="H1195" s="9">
        <f t="shared" si="181"/>
        <v>5195428168.8833342</v>
      </c>
      <c r="I1195" s="9">
        <f t="shared" si="184"/>
        <v>33894453111.616669</v>
      </c>
      <c r="J1195" s="9">
        <f t="shared" si="185"/>
        <v>12448558</v>
      </c>
      <c r="K1195" s="21">
        <f t="shared" si="186"/>
        <v>2722.7613922525538</v>
      </c>
      <c r="L1195" s="4" t="str">
        <f t="shared" si="182"/>
        <v>SELL</v>
      </c>
      <c r="M1195" s="4">
        <f t="shared" si="187"/>
        <v>0</v>
      </c>
      <c r="N1195" s="4">
        <f t="shared" si="183"/>
        <v>-1</v>
      </c>
      <c r="O1195" s="4">
        <f t="shared" si="188"/>
        <v>2683.2</v>
      </c>
      <c r="P1195" s="4">
        <f t="shared" si="189"/>
        <v>0</v>
      </c>
    </row>
    <row r="1196" spans="1:16" x14ac:dyDescent="0.25">
      <c r="A1196" s="1">
        <v>42950</v>
      </c>
      <c r="B1196">
        <v>2475</v>
      </c>
      <c r="C1196">
        <v>2511.35</v>
      </c>
      <c r="D1196">
        <v>2430</v>
      </c>
      <c r="E1196" s="7">
        <v>2441.15</v>
      </c>
      <c r="F1196">
        <v>4946406</v>
      </c>
      <c r="G1196" s="8">
        <f t="shared" si="180"/>
        <v>2460.8333333333335</v>
      </c>
      <c r="H1196" s="9">
        <f t="shared" si="181"/>
        <v>12172280765</v>
      </c>
      <c r="I1196" s="9">
        <f t="shared" si="184"/>
        <v>43204525028.983337</v>
      </c>
      <c r="J1196" s="9">
        <f t="shared" si="185"/>
        <v>16350197</v>
      </c>
      <c r="K1196" s="21">
        <f t="shared" si="186"/>
        <v>2642.4467563897447</v>
      </c>
      <c r="L1196" s="4" t="str">
        <f t="shared" si="182"/>
        <v>SELL</v>
      </c>
      <c r="M1196" s="4">
        <f t="shared" si="187"/>
        <v>0</v>
      </c>
      <c r="N1196" s="4">
        <f t="shared" si="183"/>
        <v>-1</v>
      </c>
      <c r="O1196" s="4">
        <f t="shared" si="188"/>
        <v>2683.2</v>
      </c>
      <c r="P1196" s="4">
        <f t="shared" si="189"/>
        <v>0</v>
      </c>
    </row>
    <row r="1197" spans="1:16" x14ac:dyDescent="0.25">
      <c r="A1197" s="1">
        <v>42951</v>
      </c>
      <c r="B1197">
        <v>2490</v>
      </c>
      <c r="C1197">
        <v>2493.6</v>
      </c>
      <c r="D1197">
        <v>2417.9499999999998</v>
      </c>
      <c r="E1197" s="7">
        <v>2423.3000000000002</v>
      </c>
      <c r="F1197">
        <v>1699621</v>
      </c>
      <c r="G1197" s="8">
        <f t="shared" si="180"/>
        <v>2444.9499999999998</v>
      </c>
      <c r="H1197" s="9">
        <f t="shared" si="181"/>
        <v>4155488363.9499998</v>
      </c>
      <c r="I1197" s="9">
        <f t="shared" si="184"/>
        <v>43538495657</v>
      </c>
      <c r="J1197" s="9">
        <f t="shared" si="185"/>
        <v>16655341</v>
      </c>
      <c r="K1197" s="21">
        <f t="shared" si="186"/>
        <v>2614.0861154989261</v>
      </c>
      <c r="L1197" s="4" t="str">
        <f t="shared" si="182"/>
        <v>SELL</v>
      </c>
      <c r="M1197" s="4">
        <f t="shared" si="187"/>
        <v>0</v>
      </c>
      <c r="N1197" s="4">
        <f t="shared" si="183"/>
        <v>-1</v>
      </c>
      <c r="O1197" s="4">
        <f t="shared" si="188"/>
        <v>2683.2</v>
      </c>
      <c r="P1197" s="4">
        <f t="shared" si="189"/>
        <v>0</v>
      </c>
    </row>
    <row r="1198" spans="1:16" x14ac:dyDescent="0.25">
      <c r="A1198" s="1">
        <v>42954</v>
      </c>
      <c r="B1198">
        <v>2425.85</v>
      </c>
      <c r="C1198">
        <v>2443.75</v>
      </c>
      <c r="D1198">
        <v>2415</v>
      </c>
      <c r="E1198" s="7">
        <v>2433.4</v>
      </c>
      <c r="F1198">
        <v>975366</v>
      </c>
      <c r="G1198" s="8">
        <f t="shared" si="180"/>
        <v>2430.7166666666667</v>
      </c>
      <c r="H1198" s="9">
        <f t="shared" si="181"/>
        <v>2370838392.3000002</v>
      </c>
      <c r="I1198" s="9">
        <f t="shared" si="184"/>
        <v>42940991362.433334</v>
      </c>
      <c r="J1198" s="9">
        <f t="shared" si="185"/>
        <v>16559696</v>
      </c>
      <c r="K1198" s="21">
        <f t="shared" si="186"/>
        <v>2593.1026368137032</v>
      </c>
      <c r="L1198" s="4" t="str">
        <f t="shared" si="182"/>
        <v>SELL</v>
      </c>
      <c r="M1198" s="4">
        <f t="shared" si="187"/>
        <v>0</v>
      </c>
      <c r="N1198" s="4">
        <f t="shared" si="183"/>
        <v>-1</v>
      </c>
      <c r="O1198" s="4">
        <f t="shared" si="188"/>
        <v>2683.2</v>
      </c>
      <c r="P1198" s="4">
        <f t="shared" si="189"/>
        <v>0</v>
      </c>
    </row>
    <row r="1199" spans="1:16" x14ac:dyDescent="0.25">
      <c r="A1199" s="1">
        <v>42955</v>
      </c>
      <c r="B1199">
        <v>2485</v>
      </c>
      <c r="C1199">
        <v>2489</v>
      </c>
      <c r="D1199">
        <v>2445.1</v>
      </c>
      <c r="E1199" s="7">
        <v>2451.85</v>
      </c>
      <c r="F1199">
        <v>1033832</v>
      </c>
      <c r="G1199" s="8">
        <f t="shared" si="180"/>
        <v>2461.9833333333336</v>
      </c>
      <c r="H1199" s="9">
        <f t="shared" si="181"/>
        <v>2545277153.4666667</v>
      </c>
      <c r="I1199" s="9">
        <f t="shared" si="184"/>
        <v>40705083350.550003</v>
      </c>
      <c r="J1199" s="9">
        <f t="shared" si="185"/>
        <v>15864691</v>
      </c>
      <c r="K1199" s="21">
        <f t="shared" si="186"/>
        <v>2565.7659106345031</v>
      </c>
      <c r="L1199" s="4" t="str">
        <f t="shared" si="182"/>
        <v>SELL</v>
      </c>
      <c r="M1199" s="4">
        <f t="shared" si="187"/>
        <v>0</v>
      </c>
      <c r="N1199" s="4">
        <f t="shared" si="183"/>
        <v>-1</v>
      </c>
      <c r="O1199" s="4">
        <f t="shared" si="188"/>
        <v>2683.2</v>
      </c>
      <c r="P1199" s="4">
        <f t="shared" si="189"/>
        <v>0</v>
      </c>
    </row>
    <row r="1200" spans="1:16" x14ac:dyDescent="0.25">
      <c r="A1200" s="1">
        <v>42956</v>
      </c>
      <c r="B1200">
        <v>2465</v>
      </c>
      <c r="C1200">
        <v>2468</v>
      </c>
      <c r="D1200">
        <v>2455</v>
      </c>
      <c r="E1200" s="7">
        <v>2465.35</v>
      </c>
      <c r="F1200">
        <v>156299</v>
      </c>
      <c r="G1200" s="8">
        <f t="shared" si="180"/>
        <v>2462.7833333333333</v>
      </c>
      <c r="H1200" s="9">
        <f t="shared" si="181"/>
        <v>384930572.21666664</v>
      </c>
      <c r="I1200" s="9">
        <f t="shared" si="184"/>
        <v>38449744455.966667</v>
      </c>
      <c r="J1200" s="9">
        <f t="shared" si="185"/>
        <v>15039769</v>
      </c>
      <c r="K1200" s="21">
        <f t="shared" si="186"/>
        <v>2556.5382324666466</v>
      </c>
      <c r="L1200" s="4" t="str">
        <f t="shared" si="182"/>
        <v>SELL</v>
      </c>
      <c r="M1200" s="4">
        <f t="shared" si="187"/>
        <v>0</v>
      </c>
      <c r="N1200" s="4">
        <f t="shared" si="183"/>
        <v>-1</v>
      </c>
      <c r="O1200" s="4">
        <f t="shared" si="188"/>
        <v>2683.2</v>
      </c>
      <c r="P1200" s="4">
        <f t="shared" si="189"/>
        <v>0</v>
      </c>
    </row>
    <row r="1201" spans="1:16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 s="7">
        <v>2457.15</v>
      </c>
      <c r="F1201">
        <v>1398604</v>
      </c>
      <c r="G1201" s="8">
        <f t="shared" si="180"/>
        <v>2473.9333333333329</v>
      </c>
      <c r="H1201" s="9">
        <f t="shared" si="181"/>
        <v>3460053055.7333326</v>
      </c>
      <c r="I1201" s="9">
        <f t="shared" si="184"/>
        <v>39630358238.433327</v>
      </c>
      <c r="J1201" s="9">
        <f t="shared" si="185"/>
        <v>15595785</v>
      </c>
      <c r="K1201" s="21">
        <f t="shared" si="186"/>
        <v>2541.0941634828464</v>
      </c>
      <c r="L1201" s="4" t="str">
        <f t="shared" si="182"/>
        <v>SELL</v>
      </c>
      <c r="M1201" s="4">
        <f t="shared" si="187"/>
        <v>0</v>
      </c>
      <c r="N1201" s="4">
        <f t="shared" si="183"/>
        <v>-1</v>
      </c>
      <c r="O1201" s="4">
        <f t="shared" si="188"/>
        <v>2683.2</v>
      </c>
      <c r="P1201" s="4">
        <f t="shared" si="189"/>
        <v>0</v>
      </c>
    </row>
    <row r="1202" spans="1:16" x14ac:dyDescent="0.25">
      <c r="A1202" s="1">
        <v>42958</v>
      </c>
      <c r="B1202">
        <v>2484.9</v>
      </c>
      <c r="C1202">
        <v>2484.9</v>
      </c>
      <c r="D1202">
        <v>2453.4499999999998</v>
      </c>
      <c r="E1202" s="7">
        <v>2478.6</v>
      </c>
      <c r="F1202">
        <v>1144979</v>
      </c>
      <c r="G1202" s="8">
        <f t="shared" si="180"/>
        <v>2472.3166666666671</v>
      </c>
      <c r="H1202" s="9">
        <f t="shared" si="181"/>
        <v>2830750664.6833339</v>
      </c>
      <c r="I1202" s="9">
        <f t="shared" si="184"/>
        <v>39306203277.966667</v>
      </c>
      <c r="J1202" s="9">
        <f t="shared" si="185"/>
        <v>15568583</v>
      </c>
      <c r="K1202" s="21">
        <f t="shared" si="186"/>
        <v>2524.7129605800778</v>
      </c>
      <c r="L1202" s="4" t="str">
        <f t="shared" si="182"/>
        <v>SELL</v>
      </c>
      <c r="M1202" s="4">
        <f t="shared" si="187"/>
        <v>0</v>
      </c>
      <c r="N1202" s="4">
        <f t="shared" si="183"/>
        <v>-1</v>
      </c>
      <c r="O1202" s="4">
        <f t="shared" si="188"/>
        <v>2683.2</v>
      </c>
      <c r="P1202" s="4">
        <f t="shared" si="189"/>
        <v>0</v>
      </c>
    </row>
    <row r="1203" spans="1:16" x14ac:dyDescent="0.25">
      <c r="A1203" s="1">
        <v>42961</v>
      </c>
      <c r="B1203">
        <v>2475</v>
      </c>
      <c r="C1203">
        <v>2514</v>
      </c>
      <c r="D1203">
        <v>2473</v>
      </c>
      <c r="E1203" s="7">
        <v>2506.0500000000002</v>
      </c>
      <c r="F1203">
        <v>1212508</v>
      </c>
      <c r="G1203" s="8">
        <f t="shared" si="180"/>
        <v>2497.6833333333334</v>
      </c>
      <c r="H1203" s="9">
        <f t="shared" si="181"/>
        <v>3028461023.1333332</v>
      </c>
      <c r="I1203" s="9">
        <f t="shared" si="184"/>
        <v>39347616403.066666</v>
      </c>
      <c r="J1203" s="9">
        <f t="shared" si="185"/>
        <v>15676325</v>
      </c>
      <c r="K1203" s="21">
        <f t="shared" si="186"/>
        <v>2510.0025932778676</v>
      </c>
      <c r="L1203" s="4" t="str">
        <f t="shared" si="182"/>
        <v>SELL</v>
      </c>
      <c r="M1203" s="4">
        <f t="shared" si="187"/>
        <v>0</v>
      </c>
      <c r="N1203" s="4">
        <f t="shared" si="183"/>
        <v>-1</v>
      </c>
      <c r="O1203" s="4">
        <f t="shared" si="188"/>
        <v>2683.2</v>
      </c>
      <c r="P1203" s="4">
        <f t="shared" si="189"/>
        <v>0</v>
      </c>
    </row>
    <row r="1204" spans="1:16" x14ac:dyDescent="0.25">
      <c r="A1204" s="1">
        <v>42962</v>
      </c>
      <c r="B1204">
        <v>2521.8000000000002</v>
      </c>
      <c r="C1204">
        <v>2574.9</v>
      </c>
      <c r="D1204">
        <v>2509</v>
      </c>
      <c r="E1204" s="7">
        <v>2558.1999999999998</v>
      </c>
      <c r="F1204">
        <v>2055646</v>
      </c>
      <c r="G1204" s="8">
        <f t="shared" si="180"/>
        <v>2547.3666666666663</v>
      </c>
      <c r="H1204" s="9">
        <f t="shared" si="181"/>
        <v>5236484098.8666658</v>
      </c>
      <c r="I1204" s="9">
        <f t="shared" si="184"/>
        <v>41379992258.233337</v>
      </c>
      <c r="J1204" s="9">
        <f t="shared" si="185"/>
        <v>16547268</v>
      </c>
      <c r="K1204" s="21">
        <f t="shared" si="186"/>
        <v>2500.7144537837507</v>
      </c>
      <c r="L1204" s="4" t="str">
        <f t="shared" si="182"/>
        <v>BUY</v>
      </c>
      <c r="M1204" s="4" t="str">
        <f t="shared" si="187"/>
        <v>BUY</v>
      </c>
      <c r="N1204" s="4">
        <f t="shared" si="183"/>
        <v>1</v>
      </c>
      <c r="O1204" s="4">
        <f t="shared" si="188"/>
        <v>2558.1999999999998</v>
      </c>
      <c r="P1204" s="4">
        <f t="shared" si="189"/>
        <v>4.6586165772212286E-2</v>
      </c>
    </row>
    <row r="1205" spans="1:16" x14ac:dyDescent="0.25">
      <c r="A1205" s="1">
        <v>42963</v>
      </c>
      <c r="B1205">
        <v>2561</v>
      </c>
      <c r="C1205">
        <v>2620</v>
      </c>
      <c r="D1205">
        <v>2561</v>
      </c>
      <c r="E1205" s="7">
        <v>2607.85</v>
      </c>
      <c r="F1205">
        <v>1585035</v>
      </c>
      <c r="G1205" s="8">
        <f t="shared" si="180"/>
        <v>2596.2833333333333</v>
      </c>
      <c r="H1205" s="9">
        <f t="shared" si="181"/>
        <v>4115199953.25</v>
      </c>
      <c r="I1205" s="9">
        <f t="shared" si="184"/>
        <v>40299764042.600006</v>
      </c>
      <c r="J1205" s="9">
        <f t="shared" si="185"/>
        <v>16208296</v>
      </c>
      <c r="K1205" s="21">
        <f t="shared" si="186"/>
        <v>2486.3664905058499</v>
      </c>
      <c r="L1205" s="4" t="str">
        <f t="shared" si="182"/>
        <v>BUY</v>
      </c>
      <c r="M1205" s="4">
        <f t="shared" si="187"/>
        <v>0</v>
      </c>
      <c r="N1205" s="4">
        <f t="shared" si="183"/>
        <v>1</v>
      </c>
      <c r="O1205" s="4">
        <f t="shared" si="188"/>
        <v>2558.1999999999998</v>
      </c>
      <c r="P1205" s="4">
        <f t="shared" si="189"/>
        <v>0</v>
      </c>
    </row>
    <row r="1206" spans="1:16" x14ac:dyDescent="0.25">
      <c r="A1206" s="1">
        <v>42964</v>
      </c>
      <c r="B1206">
        <v>2649</v>
      </c>
      <c r="C1206">
        <v>2649</v>
      </c>
      <c r="D1206">
        <v>2580.5</v>
      </c>
      <c r="E1206" s="7">
        <v>2590.35</v>
      </c>
      <c r="F1206">
        <v>1270816</v>
      </c>
      <c r="G1206" s="8">
        <f t="shared" si="180"/>
        <v>2606.6166666666668</v>
      </c>
      <c r="H1206" s="9">
        <f t="shared" si="181"/>
        <v>3312530165.8666668</v>
      </c>
      <c r="I1206" s="9">
        <f t="shared" si="184"/>
        <v>31440013443.466667</v>
      </c>
      <c r="J1206" s="9">
        <f t="shared" si="185"/>
        <v>12532706</v>
      </c>
      <c r="K1206" s="21">
        <f t="shared" si="186"/>
        <v>2508.6372762168576</v>
      </c>
      <c r="L1206" s="4" t="str">
        <f t="shared" si="182"/>
        <v>BUY</v>
      </c>
      <c r="M1206" s="4">
        <f t="shared" si="187"/>
        <v>0</v>
      </c>
      <c r="N1206" s="4">
        <f t="shared" si="183"/>
        <v>1</v>
      </c>
      <c r="O1206" s="4">
        <f t="shared" si="188"/>
        <v>2558.1999999999998</v>
      </c>
      <c r="P1206" s="4">
        <f t="shared" si="189"/>
        <v>0</v>
      </c>
    </row>
    <row r="1207" spans="1:16" x14ac:dyDescent="0.25">
      <c r="A1207" s="1">
        <v>42965</v>
      </c>
      <c r="B1207">
        <v>2638</v>
      </c>
      <c r="C1207">
        <v>2638</v>
      </c>
      <c r="D1207">
        <v>2590</v>
      </c>
      <c r="E1207" s="7">
        <v>2599.5</v>
      </c>
      <c r="F1207">
        <v>1155321</v>
      </c>
      <c r="G1207" s="8">
        <f t="shared" si="180"/>
        <v>2609.1666666666665</v>
      </c>
      <c r="H1207" s="9">
        <f t="shared" si="181"/>
        <v>3014425042.5</v>
      </c>
      <c r="I1207" s="9">
        <f t="shared" si="184"/>
        <v>30298950122.016663</v>
      </c>
      <c r="J1207" s="9">
        <f t="shared" si="185"/>
        <v>11988406</v>
      </c>
      <c r="K1207" s="21">
        <f t="shared" si="186"/>
        <v>2527.3543557013886</v>
      </c>
      <c r="L1207" s="4" t="str">
        <f t="shared" si="182"/>
        <v>BUY</v>
      </c>
      <c r="M1207" s="4">
        <f t="shared" si="187"/>
        <v>0</v>
      </c>
      <c r="N1207" s="4">
        <f t="shared" si="183"/>
        <v>1</v>
      </c>
      <c r="O1207" s="4">
        <f t="shared" si="188"/>
        <v>2558.1999999999998</v>
      </c>
      <c r="P1207" s="4">
        <f t="shared" si="189"/>
        <v>0</v>
      </c>
    </row>
    <row r="1208" spans="1:16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 s="7">
        <v>2572.85</v>
      </c>
      <c r="F1208">
        <v>1063370</v>
      </c>
      <c r="G1208" s="8">
        <f t="shared" si="180"/>
        <v>2581.85</v>
      </c>
      <c r="H1208" s="9">
        <f t="shared" si="181"/>
        <v>2745461834.5</v>
      </c>
      <c r="I1208" s="9">
        <f t="shared" si="184"/>
        <v>30673573564.216667</v>
      </c>
      <c r="J1208" s="9">
        <f t="shared" si="185"/>
        <v>12076410</v>
      </c>
      <c r="K1208" s="21">
        <f t="shared" si="186"/>
        <v>2539.9579481167557</v>
      </c>
      <c r="L1208" s="4" t="str">
        <f t="shared" si="182"/>
        <v>BUY</v>
      </c>
      <c r="M1208" s="4">
        <f t="shared" si="187"/>
        <v>0</v>
      </c>
      <c r="N1208" s="4">
        <f t="shared" si="183"/>
        <v>1</v>
      </c>
      <c r="O1208" s="4">
        <f t="shared" si="188"/>
        <v>2558.1999999999998</v>
      </c>
      <c r="P1208" s="4">
        <f t="shared" si="189"/>
        <v>0</v>
      </c>
    </row>
    <row r="1209" spans="1:16" x14ac:dyDescent="0.25">
      <c r="A1209" s="1">
        <v>42969</v>
      </c>
      <c r="B1209">
        <v>2575.1</v>
      </c>
      <c r="C1209">
        <v>2582</v>
      </c>
      <c r="D1209">
        <v>2551</v>
      </c>
      <c r="E1209" s="7">
        <v>2569.65</v>
      </c>
      <c r="F1209">
        <v>770982</v>
      </c>
      <c r="G1209" s="8">
        <f t="shared" si="180"/>
        <v>2567.5499999999997</v>
      </c>
      <c r="H1209" s="9">
        <f t="shared" si="181"/>
        <v>1979534834.0999999</v>
      </c>
      <c r="I1209" s="9">
        <f t="shared" si="184"/>
        <v>30107831244.849998</v>
      </c>
      <c r="J1209" s="9">
        <f t="shared" si="185"/>
        <v>11813560</v>
      </c>
      <c r="K1209" s="21">
        <f t="shared" si="186"/>
        <v>2548.5824124861597</v>
      </c>
      <c r="L1209" s="4" t="str">
        <f t="shared" si="182"/>
        <v>BUY</v>
      </c>
      <c r="M1209" s="4">
        <f t="shared" si="187"/>
        <v>0</v>
      </c>
      <c r="N1209" s="4">
        <f t="shared" si="183"/>
        <v>1</v>
      </c>
      <c r="O1209" s="4">
        <f t="shared" si="188"/>
        <v>2558.1999999999998</v>
      </c>
      <c r="P1209" s="4">
        <f t="shared" si="189"/>
        <v>0</v>
      </c>
    </row>
    <row r="1210" spans="1:16" x14ac:dyDescent="0.25">
      <c r="A1210" s="1">
        <v>42970</v>
      </c>
      <c r="B1210">
        <v>2578</v>
      </c>
      <c r="C1210">
        <v>2594</v>
      </c>
      <c r="D1210">
        <v>2555.4</v>
      </c>
      <c r="E1210" s="7">
        <v>2580.6999999999998</v>
      </c>
      <c r="F1210">
        <v>624970</v>
      </c>
      <c r="G1210" s="8">
        <f t="shared" si="180"/>
        <v>2576.6999999999998</v>
      </c>
      <c r="H1210" s="9">
        <f t="shared" si="181"/>
        <v>1610360199</v>
      </c>
      <c r="I1210" s="9">
        <f t="shared" si="184"/>
        <v>31333260871.633331</v>
      </c>
      <c r="J1210" s="9">
        <f t="shared" si="185"/>
        <v>12282231</v>
      </c>
      <c r="K1210" s="21">
        <f t="shared" si="186"/>
        <v>2551.1049964483923</v>
      </c>
      <c r="L1210" s="4" t="str">
        <f t="shared" si="182"/>
        <v>BUY</v>
      </c>
      <c r="M1210" s="4">
        <f t="shared" si="187"/>
        <v>0</v>
      </c>
      <c r="N1210" s="4">
        <f t="shared" si="183"/>
        <v>1</v>
      </c>
      <c r="O1210" s="4">
        <f t="shared" si="188"/>
        <v>2558.1999999999998</v>
      </c>
      <c r="P1210" s="4">
        <f t="shared" si="189"/>
        <v>0</v>
      </c>
    </row>
    <row r="1211" spans="1:16" x14ac:dyDescent="0.25">
      <c r="A1211" s="1">
        <v>42971</v>
      </c>
      <c r="B1211">
        <v>2580</v>
      </c>
      <c r="C1211">
        <v>2611</v>
      </c>
      <c r="D1211">
        <v>2575</v>
      </c>
      <c r="E1211" s="7">
        <v>2591.75</v>
      </c>
      <c r="F1211">
        <v>660291</v>
      </c>
      <c r="G1211" s="8">
        <f t="shared" si="180"/>
        <v>2592.5833333333335</v>
      </c>
      <c r="H1211" s="9">
        <f t="shared" si="181"/>
        <v>1711859441.75</v>
      </c>
      <c r="I1211" s="9">
        <f t="shared" si="184"/>
        <v>29585067257.650002</v>
      </c>
      <c r="J1211" s="9">
        <f t="shared" si="185"/>
        <v>11543918</v>
      </c>
      <c r="K1211" s="21">
        <f t="shared" si="186"/>
        <v>2562.8272184235889</v>
      </c>
      <c r="L1211" s="4" t="str">
        <f t="shared" si="182"/>
        <v>BUY</v>
      </c>
      <c r="M1211" s="4">
        <f t="shared" si="187"/>
        <v>0</v>
      </c>
      <c r="N1211" s="4">
        <f t="shared" si="183"/>
        <v>1</v>
      </c>
      <c r="O1211" s="4">
        <f t="shared" si="188"/>
        <v>2558.1999999999998</v>
      </c>
      <c r="P1211" s="4">
        <f t="shared" si="189"/>
        <v>0</v>
      </c>
    </row>
    <row r="1212" spans="1:16" x14ac:dyDescent="0.25">
      <c r="A1212" s="1">
        <v>42972</v>
      </c>
      <c r="B1212">
        <v>2595</v>
      </c>
      <c r="C1212">
        <v>2604.9</v>
      </c>
      <c r="D1212">
        <v>2565.15</v>
      </c>
      <c r="E1212" s="7">
        <v>2588.4499999999998</v>
      </c>
      <c r="F1212">
        <v>822770</v>
      </c>
      <c r="G1212" s="8">
        <f t="shared" si="180"/>
        <v>2586.1666666666665</v>
      </c>
      <c r="H1212" s="9">
        <f t="shared" si="181"/>
        <v>2127820348.3333333</v>
      </c>
      <c r="I1212" s="9">
        <f t="shared" si="184"/>
        <v>28882136941.299999</v>
      </c>
      <c r="J1212" s="9">
        <f t="shared" si="185"/>
        <v>11221709</v>
      </c>
      <c r="K1212" s="21">
        <f t="shared" si="186"/>
        <v>2573.7734725878204</v>
      </c>
      <c r="L1212" s="4" t="str">
        <f t="shared" si="182"/>
        <v>BUY</v>
      </c>
      <c r="M1212" s="4">
        <f t="shared" si="187"/>
        <v>0</v>
      </c>
      <c r="N1212" s="4">
        <f t="shared" si="183"/>
        <v>1</v>
      </c>
      <c r="O1212" s="4">
        <f t="shared" si="188"/>
        <v>2558.1999999999998</v>
      </c>
      <c r="P1212" s="4">
        <f t="shared" si="189"/>
        <v>0</v>
      </c>
    </row>
    <row r="1213" spans="1:16" x14ac:dyDescent="0.25">
      <c r="A1213" s="1">
        <v>42975</v>
      </c>
      <c r="B1213">
        <v>2585.1999999999998</v>
      </c>
      <c r="C1213">
        <v>2611.15</v>
      </c>
      <c r="D1213">
        <v>2575</v>
      </c>
      <c r="E1213" s="7">
        <v>2606.4499999999998</v>
      </c>
      <c r="F1213">
        <v>728587</v>
      </c>
      <c r="G1213" s="8">
        <f t="shared" si="180"/>
        <v>2597.5333333333333</v>
      </c>
      <c r="H1213" s="9">
        <f t="shared" si="181"/>
        <v>1892529018.7333333</v>
      </c>
      <c r="I1213" s="9">
        <f t="shared" si="184"/>
        <v>27746204936.899994</v>
      </c>
      <c r="J1213" s="9">
        <f t="shared" si="185"/>
        <v>10737788</v>
      </c>
      <c r="K1213" s="21">
        <f t="shared" si="186"/>
        <v>2583.9777183997294</v>
      </c>
      <c r="L1213" s="4" t="str">
        <f t="shared" si="182"/>
        <v>BUY</v>
      </c>
      <c r="M1213" s="4">
        <f t="shared" si="187"/>
        <v>0</v>
      </c>
      <c r="N1213" s="4">
        <f t="shared" si="183"/>
        <v>1</v>
      </c>
      <c r="O1213" s="4">
        <f t="shared" si="188"/>
        <v>2558.1999999999998</v>
      </c>
      <c r="P1213" s="4">
        <f t="shared" si="189"/>
        <v>0</v>
      </c>
    </row>
    <row r="1214" spans="1:16" x14ac:dyDescent="0.25">
      <c r="A1214" s="1">
        <v>42976</v>
      </c>
      <c r="B1214">
        <v>2595.1</v>
      </c>
      <c r="C1214">
        <v>2625</v>
      </c>
      <c r="D1214">
        <v>2592.25</v>
      </c>
      <c r="E1214" s="7">
        <v>2618.3000000000002</v>
      </c>
      <c r="F1214">
        <v>785276</v>
      </c>
      <c r="G1214" s="8">
        <f t="shared" si="180"/>
        <v>2611.85</v>
      </c>
      <c r="H1214" s="9">
        <f t="shared" si="181"/>
        <v>2051023120.5999999</v>
      </c>
      <c r="I1214" s="9">
        <f t="shared" si="184"/>
        <v>24560743958.633331</v>
      </c>
      <c r="J1214" s="9">
        <f t="shared" si="185"/>
        <v>9467418</v>
      </c>
      <c r="K1214" s="21">
        <f t="shared" si="186"/>
        <v>2594.2388894874325</v>
      </c>
      <c r="L1214" s="4" t="str">
        <f t="shared" si="182"/>
        <v>BUY</v>
      </c>
      <c r="M1214" s="4">
        <f t="shared" si="187"/>
        <v>0</v>
      </c>
      <c r="N1214" s="4">
        <f t="shared" si="183"/>
        <v>1</v>
      </c>
      <c r="O1214" s="4">
        <f t="shared" si="188"/>
        <v>2558.1999999999998</v>
      </c>
      <c r="P1214" s="4">
        <f t="shared" si="189"/>
        <v>0</v>
      </c>
    </row>
    <row r="1215" spans="1:16" x14ac:dyDescent="0.25">
      <c r="A1215" s="1">
        <v>42977</v>
      </c>
      <c r="B1215">
        <v>2620</v>
      </c>
      <c r="C1215">
        <v>2626.65</v>
      </c>
      <c r="D1215">
        <v>2579.75</v>
      </c>
      <c r="E1215" s="7">
        <v>2585.85</v>
      </c>
      <c r="F1215">
        <v>733513</v>
      </c>
      <c r="G1215" s="8">
        <f t="shared" si="180"/>
        <v>2597.4166666666665</v>
      </c>
      <c r="H1215" s="9">
        <f t="shared" si="181"/>
        <v>1905238891.4166665</v>
      </c>
      <c r="I1215" s="9">
        <f t="shared" si="184"/>
        <v>22350782896.799999</v>
      </c>
      <c r="J1215" s="9">
        <f t="shared" si="185"/>
        <v>8615896</v>
      </c>
      <c r="K1215" s="21">
        <f t="shared" si="186"/>
        <v>2594.1333201793523</v>
      </c>
      <c r="L1215" s="4" t="str">
        <f t="shared" si="182"/>
        <v>SELL</v>
      </c>
      <c r="M1215" s="4" t="str">
        <f t="shared" si="187"/>
        <v>SELL</v>
      </c>
      <c r="N1215" s="4">
        <f t="shared" si="183"/>
        <v>-1</v>
      </c>
      <c r="O1215" s="4">
        <f t="shared" si="188"/>
        <v>2585.85</v>
      </c>
      <c r="P1215" s="4">
        <f t="shared" si="189"/>
        <v>1.0808380892815297E-2</v>
      </c>
    </row>
    <row r="1216" spans="1:16" x14ac:dyDescent="0.25">
      <c r="A1216" s="1">
        <v>42978</v>
      </c>
      <c r="B1216">
        <v>2598</v>
      </c>
      <c r="C1216">
        <v>2598</v>
      </c>
      <c r="D1216">
        <v>2557.4499999999998</v>
      </c>
      <c r="E1216" s="7">
        <v>2573.75</v>
      </c>
      <c r="F1216">
        <v>932873</v>
      </c>
      <c r="G1216" s="8">
        <f t="shared" si="180"/>
        <v>2576.4</v>
      </c>
      <c r="H1216" s="9">
        <f t="shared" si="181"/>
        <v>2403453997.2000003</v>
      </c>
      <c r="I1216" s="9">
        <f t="shared" si="184"/>
        <v>21441706728.133335</v>
      </c>
      <c r="J1216" s="9">
        <f t="shared" si="185"/>
        <v>8277953</v>
      </c>
      <c r="K1216" s="21">
        <f t="shared" si="186"/>
        <v>2590.2184668278901</v>
      </c>
      <c r="L1216" s="4" t="str">
        <f t="shared" si="182"/>
        <v>SELL</v>
      </c>
      <c r="M1216" s="4">
        <f t="shared" si="187"/>
        <v>0</v>
      </c>
      <c r="N1216" s="4">
        <f t="shared" si="183"/>
        <v>-1</v>
      </c>
      <c r="O1216" s="4">
        <f t="shared" si="188"/>
        <v>2585.85</v>
      </c>
      <c r="P1216" s="4">
        <f t="shared" si="189"/>
        <v>0</v>
      </c>
    </row>
    <row r="1217" spans="1:16" x14ac:dyDescent="0.25">
      <c r="A1217" s="1">
        <v>42979</v>
      </c>
      <c r="B1217">
        <v>2588</v>
      </c>
      <c r="C1217">
        <v>2610.25</v>
      </c>
      <c r="D1217">
        <v>2560.5500000000002</v>
      </c>
      <c r="E1217" s="7">
        <v>2605.4499999999998</v>
      </c>
      <c r="F1217">
        <v>897693</v>
      </c>
      <c r="G1217" s="8">
        <f t="shared" si="180"/>
        <v>2592.0833333333335</v>
      </c>
      <c r="H1217" s="9">
        <f t="shared" si="181"/>
        <v>2326895063.75</v>
      </c>
      <c r="I1217" s="9">
        <f t="shared" si="184"/>
        <v>20754176749.383335</v>
      </c>
      <c r="J1217" s="9">
        <f t="shared" si="185"/>
        <v>8020325</v>
      </c>
      <c r="K1217" s="21">
        <f t="shared" si="186"/>
        <v>2587.6977241425175</v>
      </c>
      <c r="L1217" s="4" t="str">
        <f t="shared" si="182"/>
        <v>BUY</v>
      </c>
      <c r="M1217" s="4" t="str">
        <f t="shared" si="187"/>
        <v>BUY</v>
      </c>
      <c r="N1217" s="4">
        <f t="shared" si="183"/>
        <v>1</v>
      </c>
      <c r="O1217" s="4">
        <f t="shared" si="188"/>
        <v>2605.4499999999998</v>
      </c>
      <c r="P1217" s="4">
        <f t="shared" si="189"/>
        <v>-7.5797126670146802E-3</v>
      </c>
    </row>
    <row r="1218" spans="1:16" x14ac:dyDescent="0.25">
      <c r="A1218" s="1">
        <v>42982</v>
      </c>
      <c r="B1218">
        <v>2608</v>
      </c>
      <c r="C1218">
        <v>2640</v>
      </c>
      <c r="D1218">
        <v>2586.65</v>
      </c>
      <c r="E1218" s="7">
        <v>2622.15</v>
      </c>
      <c r="F1218">
        <v>1000797</v>
      </c>
      <c r="G1218" s="8">
        <f t="shared" ref="G1218:G1281" si="190">AVERAGE(C1218:E1218)</f>
        <v>2616.2666666666664</v>
      </c>
      <c r="H1218" s="9">
        <f t="shared" si="181"/>
        <v>2618351831.1999998</v>
      </c>
      <c r="I1218" s="9">
        <f t="shared" si="184"/>
        <v>20627066746.083332</v>
      </c>
      <c r="J1218" s="9">
        <f t="shared" si="185"/>
        <v>7957752</v>
      </c>
      <c r="K1218" s="21">
        <f t="shared" si="186"/>
        <v>2592.0720758932084</v>
      </c>
      <c r="L1218" s="4" t="str">
        <f t="shared" si="182"/>
        <v>BUY</v>
      </c>
      <c r="M1218" s="4">
        <f t="shared" si="187"/>
        <v>0</v>
      </c>
      <c r="N1218" s="4">
        <f t="shared" si="183"/>
        <v>1</v>
      </c>
      <c r="O1218" s="4">
        <f t="shared" si="188"/>
        <v>2605.4499999999998</v>
      </c>
      <c r="P1218" s="4">
        <f t="shared" si="189"/>
        <v>0</v>
      </c>
    </row>
    <row r="1219" spans="1:16" x14ac:dyDescent="0.25">
      <c r="A1219" s="1">
        <v>42983</v>
      </c>
      <c r="B1219">
        <v>2622</v>
      </c>
      <c r="C1219">
        <v>2665</v>
      </c>
      <c r="D1219">
        <v>2622</v>
      </c>
      <c r="E1219" s="7">
        <v>2657.7</v>
      </c>
      <c r="F1219">
        <v>971383</v>
      </c>
      <c r="G1219" s="8">
        <f t="shared" si="190"/>
        <v>2648.2333333333331</v>
      </c>
      <c r="H1219" s="9">
        <f t="shared" ref="H1219:H1282" si="191">G1219*F1219</f>
        <v>2572448840.0333333</v>
      </c>
      <c r="I1219" s="9">
        <f t="shared" si="184"/>
        <v>21219980752.016666</v>
      </c>
      <c r="J1219" s="9">
        <f t="shared" si="185"/>
        <v>8158153</v>
      </c>
      <c r="K1219" s="21">
        <f t="shared" si="186"/>
        <v>2601.0765858419995</v>
      </c>
      <c r="L1219" s="4" t="str">
        <f t="shared" si="182"/>
        <v>BUY</v>
      </c>
      <c r="M1219" s="4">
        <f t="shared" si="187"/>
        <v>0</v>
      </c>
      <c r="N1219" s="4">
        <f t="shared" si="183"/>
        <v>1</v>
      </c>
      <c r="O1219" s="4">
        <f t="shared" si="188"/>
        <v>2605.4499999999998</v>
      </c>
      <c r="P1219" s="4">
        <f t="shared" si="189"/>
        <v>0</v>
      </c>
    </row>
    <row r="1220" spans="1:16" x14ac:dyDescent="0.25">
      <c r="A1220" s="1">
        <v>42984</v>
      </c>
      <c r="B1220">
        <v>2660</v>
      </c>
      <c r="C1220">
        <v>2679.4</v>
      </c>
      <c r="D1220">
        <v>2616</v>
      </c>
      <c r="E1220" s="7">
        <v>2636</v>
      </c>
      <c r="F1220">
        <v>1185842</v>
      </c>
      <c r="G1220" s="8">
        <f t="shared" si="190"/>
        <v>2643.7999999999997</v>
      </c>
      <c r="H1220" s="9">
        <f t="shared" si="191"/>
        <v>3135129079.5999999</v>
      </c>
      <c r="I1220" s="9">
        <f t="shared" si="184"/>
        <v>22744749632.616665</v>
      </c>
      <c r="J1220" s="9">
        <f t="shared" si="185"/>
        <v>8719025</v>
      </c>
      <c r="K1220" s="21">
        <f t="shared" si="186"/>
        <v>2608.634524229104</v>
      </c>
      <c r="L1220" s="4" t="str">
        <f t="shared" si="182"/>
        <v>BUY</v>
      </c>
      <c r="M1220" s="4">
        <f t="shared" si="187"/>
        <v>0</v>
      </c>
      <c r="N1220" s="4">
        <f t="shared" si="183"/>
        <v>1</v>
      </c>
      <c r="O1220" s="4">
        <f t="shared" si="188"/>
        <v>2605.4499999999998</v>
      </c>
      <c r="P1220" s="4">
        <f t="shared" si="189"/>
        <v>0</v>
      </c>
    </row>
    <row r="1221" spans="1:16" x14ac:dyDescent="0.25">
      <c r="A1221" s="1">
        <v>42985</v>
      </c>
      <c r="B1221">
        <v>2630.05</v>
      </c>
      <c r="C1221">
        <v>2656.35</v>
      </c>
      <c r="D1221">
        <v>2615</v>
      </c>
      <c r="E1221" s="7">
        <v>2627.3</v>
      </c>
      <c r="F1221">
        <v>792400</v>
      </c>
      <c r="G1221" s="8">
        <f t="shared" si="190"/>
        <v>2632.8833333333337</v>
      </c>
      <c r="H1221" s="9">
        <f t="shared" si="191"/>
        <v>2086296753.3333335</v>
      </c>
      <c r="I1221" s="9">
        <f t="shared" si="184"/>
        <v>23119186944.199997</v>
      </c>
      <c r="J1221" s="9">
        <f t="shared" si="185"/>
        <v>8851134</v>
      </c>
      <c r="K1221" s="21">
        <f t="shared" si="186"/>
        <v>2612.0028172887223</v>
      </c>
      <c r="L1221" s="4" t="str">
        <f t="shared" si="182"/>
        <v>BUY</v>
      </c>
      <c r="M1221" s="4">
        <f t="shared" si="187"/>
        <v>0</v>
      </c>
      <c r="N1221" s="4">
        <f t="shared" si="183"/>
        <v>1</v>
      </c>
      <c r="O1221" s="4">
        <f t="shared" si="188"/>
        <v>2605.4499999999998</v>
      </c>
      <c r="P1221" s="4">
        <f t="shared" si="189"/>
        <v>0</v>
      </c>
    </row>
    <row r="1222" spans="1:16" x14ac:dyDescent="0.25">
      <c r="A1222" s="1">
        <v>42986</v>
      </c>
      <c r="B1222">
        <v>2627.3</v>
      </c>
      <c r="C1222">
        <v>2668</v>
      </c>
      <c r="D1222">
        <v>2625.3</v>
      </c>
      <c r="E1222" s="7">
        <v>2653.3</v>
      </c>
      <c r="F1222">
        <v>866209</v>
      </c>
      <c r="G1222" s="8">
        <f t="shared" si="190"/>
        <v>2648.8666666666668</v>
      </c>
      <c r="H1222" s="9">
        <f t="shared" si="191"/>
        <v>2294472146.4666667</v>
      </c>
      <c r="I1222" s="9">
        <f t="shared" si="184"/>
        <v>23285838742.333332</v>
      </c>
      <c r="J1222" s="9">
        <f t="shared" si="185"/>
        <v>8894573</v>
      </c>
      <c r="K1222" s="21">
        <f t="shared" si="186"/>
        <v>2617.9827567139346</v>
      </c>
      <c r="L1222" s="4" t="str">
        <f t="shared" si="182"/>
        <v>BUY</v>
      </c>
      <c r="M1222" s="4">
        <f t="shared" si="187"/>
        <v>0</v>
      </c>
      <c r="N1222" s="4">
        <f t="shared" si="183"/>
        <v>1</v>
      </c>
      <c r="O1222" s="4">
        <f t="shared" si="188"/>
        <v>2605.4499999999998</v>
      </c>
      <c r="P1222" s="4">
        <f t="shared" si="189"/>
        <v>0</v>
      </c>
    </row>
    <row r="1223" spans="1:16" x14ac:dyDescent="0.25">
      <c r="A1223" s="1">
        <v>42989</v>
      </c>
      <c r="B1223">
        <v>2658.35</v>
      </c>
      <c r="C1223">
        <v>2691.9</v>
      </c>
      <c r="D1223">
        <v>2635.35</v>
      </c>
      <c r="E1223" s="7">
        <v>2643</v>
      </c>
      <c r="F1223">
        <v>994884</v>
      </c>
      <c r="G1223" s="8">
        <f t="shared" si="190"/>
        <v>2656.75</v>
      </c>
      <c r="H1223" s="9">
        <f t="shared" si="191"/>
        <v>2643158067</v>
      </c>
      <c r="I1223" s="9">
        <f t="shared" si="184"/>
        <v>24036467790.600002</v>
      </c>
      <c r="J1223" s="9">
        <f t="shared" si="185"/>
        <v>9160870</v>
      </c>
      <c r="K1223" s="21">
        <f t="shared" si="186"/>
        <v>2623.8193305439331</v>
      </c>
      <c r="L1223" s="4" t="str">
        <f t="shared" si="182"/>
        <v>BUY</v>
      </c>
      <c r="M1223" s="4">
        <f t="shared" si="187"/>
        <v>0</v>
      </c>
      <c r="N1223" s="4">
        <f t="shared" si="183"/>
        <v>1</v>
      </c>
      <c r="O1223" s="4">
        <f t="shared" si="188"/>
        <v>2605.4499999999998</v>
      </c>
      <c r="P1223" s="4">
        <f t="shared" si="189"/>
        <v>0</v>
      </c>
    </row>
    <row r="1224" spans="1:16" x14ac:dyDescent="0.25">
      <c r="A1224" s="1">
        <v>42990</v>
      </c>
      <c r="B1224">
        <v>2650.5</v>
      </c>
      <c r="C1224">
        <v>2700</v>
      </c>
      <c r="D1224">
        <v>2645.25</v>
      </c>
      <c r="E1224" s="7">
        <v>2692.95</v>
      </c>
      <c r="F1224">
        <v>948177</v>
      </c>
      <c r="G1224" s="8">
        <f t="shared" si="190"/>
        <v>2679.4</v>
      </c>
      <c r="H1224" s="9">
        <f t="shared" si="191"/>
        <v>2540545453.8000002</v>
      </c>
      <c r="I1224" s="9">
        <f t="shared" si="184"/>
        <v>24525990123.799999</v>
      </c>
      <c r="J1224" s="9">
        <f t="shared" si="185"/>
        <v>9323771</v>
      </c>
      <c r="K1224" s="21">
        <f t="shared" si="186"/>
        <v>2630.4796764957009</v>
      </c>
      <c r="L1224" s="4" t="str">
        <f t="shared" si="182"/>
        <v>BUY</v>
      </c>
      <c r="M1224" s="4">
        <f t="shared" si="187"/>
        <v>0</v>
      </c>
      <c r="N1224" s="4">
        <f t="shared" si="183"/>
        <v>1</v>
      </c>
      <c r="O1224" s="4">
        <f t="shared" si="188"/>
        <v>2605.4499999999998</v>
      </c>
      <c r="P1224" s="4">
        <f t="shared" si="189"/>
        <v>0</v>
      </c>
    </row>
    <row r="1225" spans="1:16" x14ac:dyDescent="0.25">
      <c r="A1225" s="1">
        <v>42991</v>
      </c>
      <c r="B1225">
        <v>2693</v>
      </c>
      <c r="C1225">
        <v>2710.95</v>
      </c>
      <c r="D1225">
        <v>2649.35</v>
      </c>
      <c r="E1225" s="7">
        <v>2657.3</v>
      </c>
      <c r="F1225">
        <v>718286</v>
      </c>
      <c r="G1225" s="8">
        <f t="shared" si="190"/>
        <v>2672.5333333333333</v>
      </c>
      <c r="H1225" s="9">
        <f t="shared" si="191"/>
        <v>1919643277.8666666</v>
      </c>
      <c r="I1225" s="9">
        <f t="shared" si="184"/>
        <v>24540394510.25</v>
      </c>
      <c r="J1225" s="9">
        <f t="shared" si="185"/>
        <v>9308544</v>
      </c>
      <c r="K1225" s="21">
        <f t="shared" si="186"/>
        <v>2636.3300759227222</v>
      </c>
      <c r="L1225" s="4" t="str">
        <f t="shared" si="182"/>
        <v>BUY</v>
      </c>
      <c r="M1225" s="4">
        <f t="shared" si="187"/>
        <v>0</v>
      </c>
      <c r="N1225" s="4">
        <f t="shared" si="183"/>
        <v>1</v>
      </c>
      <c r="O1225" s="4">
        <f t="shared" si="188"/>
        <v>2605.4499999999998</v>
      </c>
      <c r="P1225" s="4">
        <f t="shared" si="189"/>
        <v>0</v>
      </c>
    </row>
    <row r="1226" spans="1:16" x14ac:dyDescent="0.25">
      <c r="A1226" s="1">
        <v>42992</v>
      </c>
      <c r="B1226">
        <v>2671.9</v>
      </c>
      <c r="C1226">
        <v>2673.4</v>
      </c>
      <c r="D1226">
        <v>2618.5</v>
      </c>
      <c r="E1226" s="7">
        <v>2635.35</v>
      </c>
      <c r="F1226">
        <v>1547335</v>
      </c>
      <c r="G1226" s="8">
        <f t="shared" si="190"/>
        <v>2642.4166666666665</v>
      </c>
      <c r="H1226" s="9">
        <f t="shared" si="191"/>
        <v>4088703792.9166665</v>
      </c>
      <c r="I1226" s="9">
        <f t="shared" si="184"/>
        <v>26225644305.966667</v>
      </c>
      <c r="J1226" s="9">
        <f t="shared" si="185"/>
        <v>9923006</v>
      </c>
      <c r="K1226" s="21">
        <f t="shared" si="186"/>
        <v>2642.9132770822339</v>
      </c>
      <c r="L1226" s="4" t="str">
        <f t="shared" si="182"/>
        <v>SELL</v>
      </c>
      <c r="M1226" s="4" t="str">
        <f t="shared" si="187"/>
        <v>SELL</v>
      </c>
      <c r="N1226" s="4">
        <f t="shared" si="183"/>
        <v>-1</v>
      </c>
      <c r="O1226" s="4">
        <f t="shared" si="188"/>
        <v>2635.35</v>
      </c>
      <c r="P1226" s="4">
        <f t="shared" si="189"/>
        <v>1.1475944654474312E-2</v>
      </c>
    </row>
    <row r="1227" spans="1:16" x14ac:dyDescent="0.25">
      <c r="A1227" s="1">
        <v>42993</v>
      </c>
      <c r="B1227">
        <v>2664</v>
      </c>
      <c r="C1227">
        <v>2667</v>
      </c>
      <c r="D1227">
        <v>2629.9</v>
      </c>
      <c r="E1227" s="7">
        <v>2637.95</v>
      </c>
      <c r="F1227">
        <v>642654</v>
      </c>
      <c r="G1227" s="8">
        <f t="shared" si="190"/>
        <v>2644.95</v>
      </c>
      <c r="H1227" s="9">
        <f t="shared" si="191"/>
        <v>1699787697.3</v>
      </c>
      <c r="I1227" s="9">
        <f t="shared" si="184"/>
        <v>25598536939.516666</v>
      </c>
      <c r="J1227" s="9">
        <f t="shared" si="185"/>
        <v>9667967</v>
      </c>
      <c r="K1227" s="21">
        <f t="shared" si="186"/>
        <v>2647.7683404915083</v>
      </c>
      <c r="L1227" s="4" t="str">
        <f t="shared" ref="L1227:L1290" si="192">IF(E1227&gt;K1227,"BUY",IF(E1227&lt;K1227,"SELL",0))</f>
        <v>SELL</v>
      </c>
      <c r="M1227" s="4">
        <f t="shared" si="187"/>
        <v>0</v>
      </c>
      <c r="N1227" s="4">
        <f t="shared" ref="N1227:N1290" si="193">IF(M1227="BUY",1,IF(M1227="SELL",-1,N1226))</f>
        <v>-1</v>
      </c>
      <c r="O1227" s="4">
        <f t="shared" si="188"/>
        <v>2635.35</v>
      </c>
      <c r="P1227" s="4">
        <f t="shared" si="189"/>
        <v>0</v>
      </c>
    </row>
    <row r="1228" spans="1:16" x14ac:dyDescent="0.25">
      <c r="A1228" s="1">
        <v>42996</v>
      </c>
      <c r="B1228">
        <v>2640.9</v>
      </c>
      <c r="C1228">
        <v>2649.8</v>
      </c>
      <c r="D1228">
        <v>2572.15</v>
      </c>
      <c r="E1228" s="7">
        <v>2578.9499999999998</v>
      </c>
      <c r="F1228">
        <v>1179838</v>
      </c>
      <c r="G1228" s="8">
        <f t="shared" si="190"/>
        <v>2600.3000000000002</v>
      </c>
      <c r="H1228" s="9">
        <f t="shared" si="191"/>
        <v>3067932751.4000001</v>
      </c>
      <c r="I1228" s="9">
        <f t="shared" ref="I1228:I1291" si="194">SUM(H1219:H1228)</f>
        <v>26048117859.716667</v>
      </c>
      <c r="J1228" s="9">
        <f t="shared" ref="J1228:J1291" si="195">SUM(F1219:F1228)</f>
        <v>9847008</v>
      </c>
      <c r="K1228" s="21">
        <f t="shared" ref="K1228:K1291" si="196">I1228/J1228</f>
        <v>2645.282491871304</v>
      </c>
      <c r="L1228" s="4" t="str">
        <f t="shared" si="192"/>
        <v>SELL</v>
      </c>
      <c r="M1228" s="4">
        <f t="shared" ref="M1228:M1291" si="197">IF(L1228&lt;&gt;L1227,L1228,0)</f>
        <v>0</v>
      </c>
      <c r="N1228" s="4">
        <f t="shared" si="193"/>
        <v>-1</v>
      </c>
      <c r="O1228" s="4">
        <f t="shared" ref="O1228:O1291" si="198">IF(M1228&lt;&gt;0,E1228,O1227)</f>
        <v>2635.35</v>
      </c>
      <c r="P1228" s="4">
        <f t="shared" ref="P1228:P1291" si="199">IF(M1228="BUY",(O1227-O1228)/O1227,IF(M1228="SELL",(O1228-O1227)/O1227,0))</f>
        <v>0</v>
      </c>
    </row>
    <row r="1229" spans="1:16" x14ac:dyDescent="0.25">
      <c r="A1229" s="1">
        <v>42997</v>
      </c>
      <c r="B1229">
        <v>2595</v>
      </c>
      <c r="C1229">
        <v>2595</v>
      </c>
      <c r="D1229">
        <v>2501.65</v>
      </c>
      <c r="E1229" s="7">
        <v>2512.8000000000002</v>
      </c>
      <c r="F1229">
        <v>1616287</v>
      </c>
      <c r="G1229" s="8">
        <f t="shared" si="190"/>
        <v>2536.4833333333331</v>
      </c>
      <c r="H1229" s="9">
        <f t="shared" si="191"/>
        <v>4099685037.3833332</v>
      </c>
      <c r="I1229" s="9">
        <f t="shared" si="194"/>
        <v>27575354057.066666</v>
      </c>
      <c r="J1229" s="9">
        <f t="shared" si="195"/>
        <v>10491912</v>
      </c>
      <c r="K1229" s="21">
        <f t="shared" si="196"/>
        <v>2628.24869833703</v>
      </c>
      <c r="L1229" s="4" t="str">
        <f t="shared" si="192"/>
        <v>SELL</v>
      </c>
      <c r="M1229" s="4">
        <f t="shared" si="197"/>
        <v>0</v>
      </c>
      <c r="N1229" s="4">
        <f t="shared" si="193"/>
        <v>-1</v>
      </c>
      <c r="O1229" s="4">
        <f t="shared" si="198"/>
        <v>2635.35</v>
      </c>
      <c r="P1229" s="4">
        <f t="shared" si="199"/>
        <v>0</v>
      </c>
    </row>
    <row r="1230" spans="1:16" x14ac:dyDescent="0.25">
      <c r="A1230" s="1">
        <v>42998</v>
      </c>
      <c r="B1230">
        <v>2516</v>
      </c>
      <c r="C1230">
        <v>2559</v>
      </c>
      <c r="D1230">
        <v>2509.1</v>
      </c>
      <c r="E1230" s="7">
        <v>2514.85</v>
      </c>
      <c r="F1230">
        <v>1243970</v>
      </c>
      <c r="G1230" s="8">
        <f t="shared" si="190"/>
        <v>2527.65</v>
      </c>
      <c r="H1230" s="9">
        <f t="shared" si="191"/>
        <v>3144320770.5</v>
      </c>
      <c r="I1230" s="9">
        <f t="shared" si="194"/>
        <v>27584545747.966667</v>
      </c>
      <c r="J1230" s="9">
        <f t="shared" si="195"/>
        <v>10550040</v>
      </c>
      <c r="K1230" s="21">
        <f t="shared" si="196"/>
        <v>2614.6389727400719</v>
      </c>
      <c r="L1230" s="4" t="str">
        <f t="shared" si="192"/>
        <v>SELL</v>
      </c>
      <c r="M1230" s="4">
        <f t="shared" si="197"/>
        <v>0</v>
      </c>
      <c r="N1230" s="4">
        <f t="shared" si="193"/>
        <v>-1</v>
      </c>
      <c r="O1230" s="4">
        <f t="shared" si="198"/>
        <v>2635.35</v>
      </c>
      <c r="P1230" s="4">
        <f t="shared" si="199"/>
        <v>0</v>
      </c>
    </row>
    <row r="1231" spans="1:16" x14ac:dyDescent="0.25">
      <c r="A1231" s="1">
        <v>42999</v>
      </c>
      <c r="B1231">
        <v>2515</v>
      </c>
      <c r="C1231">
        <v>2531.9</v>
      </c>
      <c r="D1231">
        <v>2496.1999999999998</v>
      </c>
      <c r="E1231" s="7">
        <v>2507.9</v>
      </c>
      <c r="F1231">
        <v>1043985</v>
      </c>
      <c r="G1231" s="8">
        <f t="shared" si="190"/>
        <v>2512</v>
      </c>
      <c r="H1231" s="9">
        <f t="shared" si="191"/>
        <v>2622490320</v>
      </c>
      <c r="I1231" s="9">
        <f t="shared" si="194"/>
        <v>28120739314.633331</v>
      </c>
      <c r="J1231" s="9">
        <f t="shared" si="195"/>
        <v>10801625</v>
      </c>
      <c r="K1231" s="21">
        <f t="shared" si="196"/>
        <v>2603.3804464266564</v>
      </c>
      <c r="L1231" s="4" t="str">
        <f t="shared" si="192"/>
        <v>SELL</v>
      </c>
      <c r="M1231" s="4">
        <f t="shared" si="197"/>
        <v>0</v>
      </c>
      <c r="N1231" s="4">
        <f t="shared" si="193"/>
        <v>-1</v>
      </c>
      <c r="O1231" s="4">
        <f t="shared" si="198"/>
        <v>2635.35</v>
      </c>
      <c r="P1231" s="4">
        <f t="shared" si="199"/>
        <v>0</v>
      </c>
    </row>
    <row r="1232" spans="1:16" x14ac:dyDescent="0.25">
      <c r="A1232" s="1">
        <v>43000</v>
      </c>
      <c r="B1232">
        <v>2500.6</v>
      </c>
      <c r="C1232">
        <v>2522.9</v>
      </c>
      <c r="D1232">
        <v>2487</v>
      </c>
      <c r="E1232" s="7">
        <v>2492.15</v>
      </c>
      <c r="F1232">
        <v>969411</v>
      </c>
      <c r="G1232" s="8">
        <f t="shared" si="190"/>
        <v>2500.6833333333329</v>
      </c>
      <c r="H1232" s="9">
        <f t="shared" si="191"/>
        <v>2424189930.8499994</v>
      </c>
      <c r="I1232" s="9">
        <f t="shared" si="194"/>
        <v>28250457099.016663</v>
      </c>
      <c r="J1232" s="9">
        <f t="shared" si="195"/>
        <v>10904827</v>
      </c>
      <c r="K1232" s="21">
        <f t="shared" si="196"/>
        <v>2590.6378064518276</v>
      </c>
      <c r="L1232" s="4" t="str">
        <f t="shared" si="192"/>
        <v>SELL</v>
      </c>
      <c r="M1232" s="4">
        <f t="shared" si="197"/>
        <v>0</v>
      </c>
      <c r="N1232" s="4">
        <f t="shared" si="193"/>
        <v>-1</v>
      </c>
      <c r="O1232" s="4">
        <f t="shared" si="198"/>
        <v>2635.35</v>
      </c>
      <c r="P1232" s="4">
        <f t="shared" si="199"/>
        <v>0</v>
      </c>
    </row>
    <row r="1233" spans="1:16" x14ac:dyDescent="0.25">
      <c r="A1233" s="1">
        <v>43003</v>
      </c>
      <c r="B1233">
        <v>2500</v>
      </c>
      <c r="C1233">
        <v>2520</v>
      </c>
      <c r="D1233">
        <v>2422.65</v>
      </c>
      <c r="E1233" s="7">
        <v>2450.6999999999998</v>
      </c>
      <c r="F1233">
        <v>1190393</v>
      </c>
      <c r="G1233" s="8">
        <f t="shared" si="190"/>
        <v>2464.4499999999998</v>
      </c>
      <c r="H1233" s="9">
        <f t="shared" si="191"/>
        <v>2933664028.8499999</v>
      </c>
      <c r="I1233" s="9">
        <f t="shared" si="194"/>
        <v>28540963060.866661</v>
      </c>
      <c r="J1233" s="9">
        <f t="shared" si="195"/>
        <v>11100336</v>
      </c>
      <c r="K1233" s="21">
        <f t="shared" si="196"/>
        <v>2571.1801030947768</v>
      </c>
      <c r="L1233" s="4" t="str">
        <f t="shared" si="192"/>
        <v>SELL</v>
      </c>
      <c r="M1233" s="4">
        <f t="shared" si="197"/>
        <v>0</v>
      </c>
      <c r="N1233" s="4">
        <f t="shared" si="193"/>
        <v>-1</v>
      </c>
      <c r="O1233" s="4">
        <f t="shared" si="198"/>
        <v>2635.35</v>
      </c>
      <c r="P1233" s="4">
        <f t="shared" si="199"/>
        <v>0</v>
      </c>
    </row>
    <row r="1234" spans="1:16" x14ac:dyDescent="0.25">
      <c r="A1234" s="1">
        <v>43004</v>
      </c>
      <c r="B1234">
        <v>2384.9</v>
      </c>
      <c r="C1234">
        <v>2385</v>
      </c>
      <c r="D1234">
        <v>2352.25</v>
      </c>
      <c r="E1234" s="7">
        <v>2358.65</v>
      </c>
      <c r="F1234">
        <v>1743894</v>
      </c>
      <c r="G1234" s="8">
        <f t="shared" si="190"/>
        <v>2365.2999999999997</v>
      </c>
      <c r="H1234" s="9">
        <f t="shared" si="191"/>
        <v>4124832478.1999993</v>
      </c>
      <c r="I1234" s="9">
        <f t="shared" si="194"/>
        <v>30125250085.266666</v>
      </c>
      <c r="J1234" s="9">
        <f t="shared" si="195"/>
        <v>11896053</v>
      </c>
      <c r="K1234" s="21">
        <f t="shared" si="196"/>
        <v>2532.3735599754527</v>
      </c>
      <c r="L1234" s="4" t="str">
        <f t="shared" si="192"/>
        <v>SELL</v>
      </c>
      <c r="M1234" s="4">
        <f t="shared" si="197"/>
        <v>0</v>
      </c>
      <c r="N1234" s="4">
        <f t="shared" si="193"/>
        <v>-1</v>
      </c>
      <c r="O1234" s="4">
        <f t="shared" si="198"/>
        <v>2635.35</v>
      </c>
      <c r="P1234" s="4">
        <f t="shared" si="199"/>
        <v>0</v>
      </c>
    </row>
    <row r="1235" spans="1:16" x14ac:dyDescent="0.25">
      <c r="A1235" s="1">
        <v>43005</v>
      </c>
      <c r="B1235">
        <v>2350</v>
      </c>
      <c r="C1235">
        <v>2459.25</v>
      </c>
      <c r="D1235">
        <v>2345</v>
      </c>
      <c r="E1235" s="7">
        <v>2443.0500000000002</v>
      </c>
      <c r="F1235">
        <v>1669570</v>
      </c>
      <c r="G1235" s="8">
        <f t="shared" si="190"/>
        <v>2415.7666666666669</v>
      </c>
      <c r="H1235" s="9">
        <f t="shared" si="191"/>
        <v>4033291553.666667</v>
      </c>
      <c r="I1235" s="9">
        <f t="shared" si="194"/>
        <v>32238898361.066666</v>
      </c>
      <c r="J1235" s="9">
        <f t="shared" si="195"/>
        <v>12847337</v>
      </c>
      <c r="K1235" s="21">
        <f t="shared" si="196"/>
        <v>2509.3837237294128</v>
      </c>
      <c r="L1235" s="4" t="str">
        <f t="shared" si="192"/>
        <v>SELL</v>
      </c>
      <c r="M1235" s="4">
        <f t="shared" si="197"/>
        <v>0</v>
      </c>
      <c r="N1235" s="4">
        <f t="shared" si="193"/>
        <v>-1</v>
      </c>
      <c r="O1235" s="4">
        <f t="shared" si="198"/>
        <v>2635.35</v>
      </c>
      <c r="P1235" s="4">
        <f t="shared" si="199"/>
        <v>0</v>
      </c>
    </row>
    <row r="1236" spans="1:16" x14ac:dyDescent="0.25">
      <c r="A1236" s="1">
        <v>43006</v>
      </c>
      <c r="B1236">
        <v>2453.4</v>
      </c>
      <c r="C1236">
        <v>2470</v>
      </c>
      <c r="D1236">
        <v>2405.25</v>
      </c>
      <c r="E1236" s="7">
        <v>2444.1</v>
      </c>
      <c r="F1236">
        <v>1143538</v>
      </c>
      <c r="G1236" s="8">
        <f t="shared" si="190"/>
        <v>2439.7833333333333</v>
      </c>
      <c r="H1236" s="9">
        <f t="shared" si="191"/>
        <v>2789984953.4333334</v>
      </c>
      <c r="I1236" s="9">
        <f t="shared" si="194"/>
        <v>30940179521.583332</v>
      </c>
      <c r="J1236" s="9">
        <f t="shared" si="195"/>
        <v>12443540</v>
      </c>
      <c r="K1236" s="21">
        <f t="shared" si="196"/>
        <v>2486.4451371220193</v>
      </c>
      <c r="L1236" s="4" t="str">
        <f t="shared" si="192"/>
        <v>SELL</v>
      </c>
      <c r="M1236" s="4">
        <f t="shared" si="197"/>
        <v>0</v>
      </c>
      <c r="N1236" s="4">
        <f t="shared" si="193"/>
        <v>-1</v>
      </c>
      <c r="O1236" s="4">
        <f t="shared" si="198"/>
        <v>2635.35</v>
      </c>
      <c r="P1236" s="4">
        <f t="shared" si="199"/>
        <v>0</v>
      </c>
    </row>
    <row r="1237" spans="1:16" x14ac:dyDescent="0.25">
      <c r="A1237" s="1">
        <v>43007</v>
      </c>
      <c r="B1237">
        <v>2455.1</v>
      </c>
      <c r="C1237">
        <v>2468.5</v>
      </c>
      <c r="D1237">
        <v>2434.8000000000002</v>
      </c>
      <c r="E1237" s="7">
        <v>2460.6999999999998</v>
      </c>
      <c r="F1237">
        <v>740722</v>
      </c>
      <c r="G1237" s="8">
        <f t="shared" si="190"/>
        <v>2454.6666666666665</v>
      </c>
      <c r="H1237" s="9">
        <f t="shared" si="191"/>
        <v>1818225602.6666665</v>
      </c>
      <c r="I1237" s="9">
        <f t="shared" si="194"/>
        <v>31058617426.950001</v>
      </c>
      <c r="J1237" s="9">
        <f t="shared" si="195"/>
        <v>12541608</v>
      </c>
      <c r="K1237" s="21">
        <f t="shared" si="196"/>
        <v>2476.4461962891842</v>
      </c>
      <c r="L1237" s="4" t="str">
        <f t="shared" si="192"/>
        <v>SELL</v>
      </c>
      <c r="M1237" s="4">
        <f t="shared" si="197"/>
        <v>0</v>
      </c>
      <c r="N1237" s="4">
        <f t="shared" si="193"/>
        <v>-1</v>
      </c>
      <c r="O1237" s="4">
        <f t="shared" si="198"/>
        <v>2635.35</v>
      </c>
      <c r="P1237" s="4">
        <f t="shared" si="199"/>
        <v>0</v>
      </c>
    </row>
    <row r="1238" spans="1:16" x14ac:dyDescent="0.25">
      <c r="A1238" s="1">
        <v>43010</v>
      </c>
      <c r="B1238">
        <v>2471.3000000000002</v>
      </c>
      <c r="C1238">
        <v>2523.75</v>
      </c>
      <c r="D1238">
        <v>2468</v>
      </c>
      <c r="E1238" s="7">
        <v>2510.5500000000002</v>
      </c>
      <c r="F1238">
        <v>951565</v>
      </c>
      <c r="G1238" s="8">
        <f t="shared" si="190"/>
        <v>2500.7666666666669</v>
      </c>
      <c r="H1238" s="9">
        <f t="shared" si="191"/>
        <v>2379642033.166667</v>
      </c>
      <c r="I1238" s="9">
        <f t="shared" si="194"/>
        <v>30370326708.716671</v>
      </c>
      <c r="J1238" s="9">
        <f t="shared" si="195"/>
        <v>12313335</v>
      </c>
      <c r="K1238" s="21">
        <f t="shared" si="196"/>
        <v>2466.4582510519426</v>
      </c>
      <c r="L1238" s="4" t="str">
        <f t="shared" si="192"/>
        <v>BUY</v>
      </c>
      <c r="M1238" s="4" t="str">
        <f t="shared" si="197"/>
        <v>BUY</v>
      </c>
      <c r="N1238" s="4">
        <f t="shared" si="193"/>
        <v>1</v>
      </c>
      <c r="O1238" s="4">
        <f t="shared" si="198"/>
        <v>2510.5500000000002</v>
      </c>
      <c r="P1238" s="4">
        <f t="shared" si="199"/>
        <v>4.7356138653309704E-2</v>
      </c>
    </row>
    <row r="1239" spans="1:16" x14ac:dyDescent="0.25">
      <c r="A1239" s="1">
        <v>43011</v>
      </c>
      <c r="B1239">
        <v>2526</v>
      </c>
      <c r="C1239">
        <v>2529</v>
      </c>
      <c r="D1239">
        <v>2474.4</v>
      </c>
      <c r="E1239" s="7">
        <v>2513.4</v>
      </c>
      <c r="F1239">
        <v>821977</v>
      </c>
      <c r="G1239" s="8">
        <f t="shared" si="190"/>
        <v>2505.6</v>
      </c>
      <c r="H1239" s="9">
        <f t="shared" si="191"/>
        <v>2059545571.1999998</v>
      </c>
      <c r="I1239" s="9">
        <f t="shared" si="194"/>
        <v>28330187242.533337</v>
      </c>
      <c r="J1239" s="9">
        <f t="shared" si="195"/>
        <v>11519025</v>
      </c>
      <c r="K1239" s="21">
        <f t="shared" si="196"/>
        <v>2459.4257971081179</v>
      </c>
      <c r="L1239" s="4" t="str">
        <f t="shared" si="192"/>
        <v>BUY</v>
      </c>
      <c r="M1239" s="4">
        <f t="shared" si="197"/>
        <v>0</v>
      </c>
      <c r="N1239" s="4">
        <f t="shared" si="193"/>
        <v>1</v>
      </c>
      <c r="O1239" s="4">
        <f t="shared" si="198"/>
        <v>2510.5500000000002</v>
      </c>
      <c r="P1239" s="4">
        <f t="shared" si="199"/>
        <v>0</v>
      </c>
    </row>
    <row r="1240" spans="1:16" x14ac:dyDescent="0.25">
      <c r="A1240" s="1">
        <v>43012</v>
      </c>
      <c r="B1240">
        <v>2500</v>
      </c>
      <c r="C1240">
        <v>2536.65</v>
      </c>
      <c r="D1240">
        <v>2494.6</v>
      </c>
      <c r="E1240" s="7">
        <v>2516.6999999999998</v>
      </c>
      <c r="F1240">
        <v>633238</v>
      </c>
      <c r="G1240" s="8">
        <f t="shared" si="190"/>
        <v>2515.9833333333331</v>
      </c>
      <c r="H1240" s="9">
        <f t="shared" si="191"/>
        <v>1593216254.0333333</v>
      </c>
      <c r="I1240" s="9">
        <f t="shared" si="194"/>
        <v>26779082726.066669</v>
      </c>
      <c r="J1240" s="9">
        <f t="shared" si="195"/>
        <v>10908293</v>
      </c>
      <c r="K1240" s="21">
        <f t="shared" si="196"/>
        <v>2454.9288074739716</v>
      </c>
      <c r="L1240" s="4" t="str">
        <f t="shared" si="192"/>
        <v>BUY</v>
      </c>
      <c r="M1240" s="4">
        <f t="shared" si="197"/>
        <v>0</v>
      </c>
      <c r="N1240" s="4">
        <f t="shared" si="193"/>
        <v>1</v>
      </c>
      <c r="O1240" s="4">
        <f t="shared" si="198"/>
        <v>2510.5500000000002</v>
      </c>
      <c r="P1240" s="4">
        <f t="shared" si="199"/>
        <v>0</v>
      </c>
    </row>
    <row r="1241" spans="1:16" x14ac:dyDescent="0.25">
      <c r="A1241" s="1">
        <v>43013</v>
      </c>
      <c r="B1241">
        <v>2515</v>
      </c>
      <c r="C1241">
        <v>2520.85</v>
      </c>
      <c r="D1241">
        <v>2465.65</v>
      </c>
      <c r="E1241" s="7">
        <v>2479.9</v>
      </c>
      <c r="F1241">
        <v>1644486</v>
      </c>
      <c r="G1241" s="8">
        <f t="shared" si="190"/>
        <v>2488.7999999999997</v>
      </c>
      <c r="H1241" s="9">
        <f t="shared" si="191"/>
        <v>4092796756.7999997</v>
      </c>
      <c r="I1241" s="9">
        <f t="shared" si="194"/>
        <v>28249389162.866669</v>
      </c>
      <c r="J1241" s="9">
        <f t="shared" si="195"/>
        <v>11508794</v>
      </c>
      <c r="K1241" s="21">
        <f t="shared" si="196"/>
        <v>2454.591607327985</v>
      </c>
      <c r="L1241" s="4" t="str">
        <f t="shared" si="192"/>
        <v>BUY</v>
      </c>
      <c r="M1241" s="4">
        <f t="shared" si="197"/>
        <v>0</v>
      </c>
      <c r="N1241" s="4">
        <f t="shared" si="193"/>
        <v>1</v>
      </c>
      <c r="O1241" s="4">
        <f t="shared" si="198"/>
        <v>2510.5500000000002</v>
      </c>
      <c r="P1241" s="4">
        <f t="shared" si="199"/>
        <v>0</v>
      </c>
    </row>
    <row r="1242" spans="1:16" x14ac:dyDescent="0.25">
      <c r="A1242" s="1">
        <v>43014</v>
      </c>
      <c r="B1242">
        <v>2486</v>
      </c>
      <c r="C1242">
        <v>2510</v>
      </c>
      <c r="D1242">
        <v>2465</v>
      </c>
      <c r="E1242" s="7">
        <v>2505</v>
      </c>
      <c r="F1242">
        <v>313103</v>
      </c>
      <c r="G1242" s="8">
        <f t="shared" si="190"/>
        <v>2493.3333333333335</v>
      </c>
      <c r="H1242" s="9">
        <f t="shared" si="191"/>
        <v>780670146.66666675</v>
      </c>
      <c r="I1242" s="9">
        <f t="shared" si="194"/>
        <v>26605869378.683334</v>
      </c>
      <c r="J1242" s="9">
        <f t="shared" si="195"/>
        <v>10852486</v>
      </c>
      <c r="K1242" s="21">
        <f t="shared" si="196"/>
        <v>2451.592140149578</v>
      </c>
      <c r="L1242" s="4" t="str">
        <f t="shared" si="192"/>
        <v>BUY</v>
      </c>
      <c r="M1242" s="4">
        <f t="shared" si="197"/>
        <v>0</v>
      </c>
      <c r="N1242" s="4">
        <f t="shared" si="193"/>
        <v>1</v>
      </c>
      <c r="O1242" s="4">
        <f t="shared" si="198"/>
        <v>2510.5500000000002</v>
      </c>
      <c r="P1242" s="4">
        <f t="shared" si="199"/>
        <v>0</v>
      </c>
    </row>
    <row r="1243" spans="1:16" x14ac:dyDescent="0.25">
      <c r="A1243" s="1">
        <v>43017</v>
      </c>
      <c r="B1243">
        <v>2508</v>
      </c>
      <c r="C1243">
        <v>2536.9499999999998</v>
      </c>
      <c r="D1243">
        <v>2507</v>
      </c>
      <c r="E1243" s="7">
        <v>2522.9</v>
      </c>
      <c r="F1243">
        <v>389460</v>
      </c>
      <c r="G1243" s="8">
        <f t="shared" si="190"/>
        <v>2522.2833333333333</v>
      </c>
      <c r="H1243" s="9">
        <f t="shared" si="191"/>
        <v>982328467</v>
      </c>
      <c r="I1243" s="9">
        <f t="shared" si="194"/>
        <v>24654533816.833332</v>
      </c>
      <c r="J1243" s="9">
        <f t="shared" si="195"/>
        <v>10051553</v>
      </c>
      <c r="K1243" s="21">
        <f t="shared" si="196"/>
        <v>2452.8084184437303</v>
      </c>
      <c r="L1243" s="4" t="str">
        <f t="shared" si="192"/>
        <v>BUY</v>
      </c>
      <c r="M1243" s="4">
        <f t="shared" si="197"/>
        <v>0</v>
      </c>
      <c r="N1243" s="4">
        <f t="shared" si="193"/>
        <v>1</v>
      </c>
      <c r="O1243" s="4">
        <f t="shared" si="198"/>
        <v>2510.5500000000002</v>
      </c>
      <c r="P1243" s="4">
        <f t="shared" si="199"/>
        <v>0</v>
      </c>
    </row>
    <row r="1244" spans="1:16" x14ac:dyDescent="0.25">
      <c r="A1244" s="1">
        <v>43018</v>
      </c>
      <c r="B1244">
        <v>2525</v>
      </c>
      <c r="C1244">
        <v>2542.4499999999998</v>
      </c>
      <c r="D1244">
        <v>2516</v>
      </c>
      <c r="E1244" s="7">
        <v>2530.0500000000002</v>
      </c>
      <c r="F1244">
        <v>350671</v>
      </c>
      <c r="G1244" s="8">
        <f t="shared" si="190"/>
        <v>2529.5</v>
      </c>
      <c r="H1244" s="9">
        <f t="shared" si="191"/>
        <v>887022294.5</v>
      </c>
      <c r="I1244" s="9">
        <f t="shared" si="194"/>
        <v>21416723633.133335</v>
      </c>
      <c r="J1244" s="9">
        <f t="shared" si="195"/>
        <v>8658330</v>
      </c>
      <c r="K1244" s="21">
        <f t="shared" si="196"/>
        <v>2473.539774198181</v>
      </c>
      <c r="L1244" s="4" t="str">
        <f t="shared" si="192"/>
        <v>BUY</v>
      </c>
      <c r="M1244" s="4">
        <f t="shared" si="197"/>
        <v>0</v>
      </c>
      <c r="N1244" s="4">
        <f t="shared" si="193"/>
        <v>1</v>
      </c>
      <c r="O1244" s="4">
        <f t="shared" si="198"/>
        <v>2510.5500000000002</v>
      </c>
      <c r="P1244" s="4">
        <f t="shared" si="199"/>
        <v>0</v>
      </c>
    </row>
    <row r="1245" spans="1:16" x14ac:dyDescent="0.25">
      <c r="A1245" s="1">
        <v>43019</v>
      </c>
      <c r="B1245">
        <v>2532.6999999999998</v>
      </c>
      <c r="C1245">
        <v>2566.4</v>
      </c>
      <c r="D1245">
        <v>2525</v>
      </c>
      <c r="E1245" s="7">
        <v>2558.25</v>
      </c>
      <c r="F1245">
        <v>786896</v>
      </c>
      <c r="G1245" s="8">
        <f t="shared" si="190"/>
        <v>2549.8833333333332</v>
      </c>
      <c r="H1245" s="9">
        <f t="shared" si="191"/>
        <v>2006492995.4666665</v>
      </c>
      <c r="I1245" s="9">
        <f t="shared" si="194"/>
        <v>19389925074.933334</v>
      </c>
      <c r="J1245" s="9">
        <f t="shared" si="195"/>
        <v>7775656</v>
      </c>
      <c r="K1245" s="21">
        <f t="shared" si="196"/>
        <v>2493.6706401277697</v>
      </c>
      <c r="L1245" s="4" t="str">
        <f t="shared" si="192"/>
        <v>BUY</v>
      </c>
      <c r="M1245" s="4">
        <f t="shared" si="197"/>
        <v>0</v>
      </c>
      <c r="N1245" s="4">
        <f t="shared" si="193"/>
        <v>1</v>
      </c>
      <c r="O1245" s="4">
        <f t="shared" si="198"/>
        <v>2510.5500000000002</v>
      </c>
      <c r="P1245" s="4">
        <f t="shared" si="199"/>
        <v>0</v>
      </c>
    </row>
    <row r="1246" spans="1:16" x14ac:dyDescent="0.25">
      <c r="A1246" s="1">
        <v>43020</v>
      </c>
      <c r="B1246">
        <v>2567</v>
      </c>
      <c r="C1246">
        <v>2567</v>
      </c>
      <c r="D1246">
        <v>2541</v>
      </c>
      <c r="E1246" s="7">
        <v>2545.5500000000002</v>
      </c>
      <c r="F1246">
        <v>183415</v>
      </c>
      <c r="G1246" s="8">
        <f t="shared" si="190"/>
        <v>2551.1833333333334</v>
      </c>
      <c r="H1246" s="9">
        <f t="shared" si="191"/>
        <v>467925291.08333337</v>
      </c>
      <c r="I1246" s="9">
        <f t="shared" si="194"/>
        <v>17067865412.583332</v>
      </c>
      <c r="J1246" s="9">
        <f t="shared" si="195"/>
        <v>6815533</v>
      </c>
      <c r="K1246" s="21">
        <f t="shared" si="196"/>
        <v>2504.2598154221146</v>
      </c>
      <c r="L1246" s="4" t="str">
        <f t="shared" si="192"/>
        <v>BUY</v>
      </c>
      <c r="M1246" s="4">
        <f t="shared" si="197"/>
        <v>0</v>
      </c>
      <c r="N1246" s="4">
        <f t="shared" si="193"/>
        <v>1</v>
      </c>
      <c r="O1246" s="4">
        <f t="shared" si="198"/>
        <v>2510.5500000000002</v>
      </c>
      <c r="P1246" s="4">
        <f t="shared" si="199"/>
        <v>0</v>
      </c>
    </row>
    <row r="1247" spans="1:16" x14ac:dyDescent="0.25">
      <c r="A1247" s="1">
        <v>43021</v>
      </c>
      <c r="B1247">
        <v>2551</v>
      </c>
      <c r="C1247">
        <v>2590.9499999999998</v>
      </c>
      <c r="D1247">
        <v>2550.6</v>
      </c>
      <c r="E1247" s="7">
        <v>2579.4499999999998</v>
      </c>
      <c r="F1247">
        <v>462870</v>
      </c>
      <c r="G1247" s="8">
        <f t="shared" si="190"/>
        <v>2573.6666666666665</v>
      </c>
      <c r="H1247" s="9">
        <f t="shared" si="191"/>
        <v>1191273090</v>
      </c>
      <c r="I1247" s="9">
        <f t="shared" si="194"/>
        <v>16440912899.916666</v>
      </c>
      <c r="J1247" s="9">
        <f t="shared" si="195"/>
        <v>6537681</v>
      </c>
      <c r="K1247" s="21">
        <f t="shared" si="196"/>
        <v>2514.7927682486597</v>
      </c>
      <c r="L1247" s="4" t="str">
        <f t="shared" si="192"/>
        <v>BUY</v>
      </c>
      <c r="M1247" s="4">
        <f t="shared" si="197"/>
        <v>0</v>
      </c>
      <c r="N1247" s="4">
        <f t="shared" si="193"/>
        <v>1</v>
      </c>
      <c r="O1247" s="4">
        <f t="shared" si="198"/>
        <v>2510.5500000000002</v>
      </c>
      <c r="P1247" s="4">
        <f t="shared" si="199"/>
        <v>0</v>
      </c>
    </row>
    <row r="1248" spans="1:16" x14ac:dyDescent="0.25">
      <c r="A1248" s="1">
        <v>43024</v>
      </c>
      <c r="B1248">
        <v>2581</v>
      </c>
      <c r="C1248">
        <v>2599.9</v>
      </c>
      <c r="D1248">
        <v>2524.65</v>
      </c>
      <c r="E1248" s="7">
        <v>2540.25</v>
      </c>
      <c r="F1248">
        <v>877121</v>
      </c>
      <c r="G1248" s="8">
        <f t="shared" si="190"/>
        <v>2554.9333333333334</v>
      </c>
      <c r="H1248" s="9">
        <f t="shared" si="191"/>
        <v>2240985680.2666669</v>
      </c>
      <c r="I1248" s="9">
        <f t="shared" si="194"/>
        <v>16302256547.016668</v>
      </c>
      <c r="J1248" s="9">
        <f t="shared" si="195"/>
        <v>6463237</v>
      </c>
      <c r="K1248" s="21">
        <f t="shared" si="196"/>
        <v>2522.3052391575102</v>
      </c>
      <c r="L1248" s="4" t="str">
        <f t="shared" si="192"/>
        <v>BUY</v>
      </c>
      <c r="M1248" s="4">
        <f t="shared" si="197"/>
        <v>0</v>
      </c>
      <c r="N1248" s="4">
        <f t="shared" si="193"/>
        <v>1</v>
      </c>
      <c r="O1248" s="4">
        <f t="shared" si="198"/>
        <v>2510.5500000000002</v>
      </c>
      <c r="P1248" s="4">
        <f t="shared" si="199"/>
        <v>0</v>
      </c>
    </row>
    <row r="1249" spans="1:16" x14ac:dyDescent="0.25">
      <c r="A1249" s="1">
        <v>43025</v>
      </c>
      <c r="B1249">
        <v>2529.1</v>
      </c>
      <c r="C1249">
        <v>2529.1</v>
      </c>
      <c r="D1249">
        <v>2440</v>
      </c>
      <c r="E1249" s="7">
        <v>2446.6</v>
      </c>
      <c r="F1249">
        <v>1211892</v>
      </c>
      <c r="G1249" s="8">
        <f t="shared" si="190"/>
        <v>2471.9</v>
      </c>
      <c r="H1249" s="9">
        <f t="shared" si="191"/>
        <v>2995675834.8000002</v>
      </c>
      <c r="I1249" s="9">
        <f t="shared" si="194"/>
        <v>17238386810.616669</v>
      </c>
      <c r="J1249" s="9">
        <f t="shared" si="195"/>
        <v>6853152</v>
      </c>
      <c r="K1249" s="21">
        <f t="shared" si="196"/>
        <v>2515.3953699869298</v>
      </c>
      <c r="L1249" s="4" t="str">
        <f t="shared" si="192"/>
        <v>SELL</v>
      </c>
      <c r="M1249" s="4" t="str">
        <f t="shared" si="197"/>
        <v>SELL</v>
      </c>
      <c r="N1249" s="4">
        <f t="shared" si="193"/>
        <v>-1</v>
      </c>
      <c r="O1249" s="4">
        <f t="shared" si="198"/>
        <v>2446.6</v>
      </c>
      <c r="P1249" s="4">
        <f t="shared" si="199"/>
        <v>-2.5472506024576395E-2</v>
      </c>
    </row>
    <row r="1250" spans="1:16" x14ac:dyDescent="0.25">
      <c r="A1250" s="1">
        <v>43026</v>
      </c>
      <c r="B1250">
        <v>2470</v>
      </c>
      <c r="C1250">
        <v>2479.15</v>
      </c>
      <c r="D1250">
        <v>2407.4499999999998</v>
      </c>
      <c r="E1250" s="7">
        <v>2417.6999999999998</v>
      </c>
      <c r="F1250">
        <v>1318166</v>
      </c>
      <c r="G1250" s="8">
        <f t="shared" si="190"/>
        <v>2434.7666666666669</v>
      </c>
      <c r="H1250" s="9">
        <f t="shared" si="191"/>
        <v>3209426637.9333334</v>
      </c>
      <c r="I1250" s="9">
        <f t="shared" si="194"/>
        <v>18854597194.516666</v>
      </c>
      <c r="J1250" s="9">
        <f t="shared" si="195"/>
        <v>7538080</v>
      </c>
      <c r="K1250" s="21">
        <f t="shared" si="196"/>
        <v>2501.246629714286</v>
      </c>
      <c r="L1250" s="4" t="str">
        <f t="shared" si="192"/>
        <v>SELL</v>
      </c>
      <c r="M1250" s="4">
        <f t="shared" si="197"/>
        <v>0</v>
      </c>
      <c r="N1250" s="4">
        <f t="shared" si="193"/>
        <v>-1</v>
      </c>
      <c r="O1250" s="4">
        <f t="shared" si="198"/>
        <v>2446.6</v>
      </c>
      <c r="P1250" s="4">
        <f t="shared" si="199"/>
        <v>0</v>
      </c>
    </row>
    <row r="1251" spans="1:16" x14ac:dyDescent="0.25">
      <c r="A1251" s="1">
        <v>43027</v>
      </c>
      <c r="B1251">
        <v>2442.4</v>
      </c>
      <c r="C1251">
        <v>2449</v>
      </c>
      <c r="D1251">
        <v>2420.5500000000002</v>
      </c>
      <c r="E1251" s="7">
        <v>2443.8000000000002</v>
      </c>
      <c r="F1251">
        <v>782704</v>
      </c>
      <c r="G1251" s="8">
        <f t="shared" si="190"/>
        <v>2437.7833333333333</v>
      </c>
      <c r="H1251" s="9">
        <f t="shared" si="191"/>
        <v>1908062766.1333332</v>
      </c>
      <c r="I1251" s="9">
        <f t="shared" si="194"/>
        <v>16669863203.85</v>
      </c>
      <c r="J1251" s="9">
        <f t="shared" si="195"/>
        <v>6676298</v>
      </c>
      <c r="K1251" s="21">
        <f t="shared" si="196"/>
        <v>2496.8722492390243</v>
      </c>
      <c r="L1251" s="4" t="str">
        <f t="shared" si="192"/>
        <v>SELL</v>
      </c>
      <c r="M1251" s="4">
        <f t="shared" si="197"/>
        <v>0</v>
      </c>
      <c r="N1251" s="4">
        <f t="shared" si="193"/>
        <v>-1</v>
      </c>
      <c r="O1251" s="4">
        <f t="shared" si="198"/>
        <v>2446.6</v>
      </c>
      <c r="P1251" s="4">
        <f t="shared" si="199"/>
        <v>0</v>
      </c>
    </row>
    <row r="1252" spans="1:16" x14ac:dyDescent="0.25">
      <c r="A1252" s="1">
        <v>43028</v>
      </c>
      <c r="B1252">
        <v>2455</v>
      </c>
      <c r="C1252">
        <v>2519.9</v>
      </c>
      <c r="D1252">
        <v>2450</v>
      </c>
      <c r="E1252" s="7">
        <v>2512.3000000000002</v>
      </c>
      <c r="F1252">
        <v>1598821</v>
      </c>
      <c r="G1252" s="8">
        <f t="shared" si="190"/>
        <v>2494.0666666666666</v>
      </c>
      <c r="H1252" s="9">
        <f t="shared" si="191"/>
        <v>3987566162.0666666</v>
      </c>
      <c r="I1252" s="9">
        <f t="shared" si="194"/>
        <v>19876759219.25</v>
      </c>
      <c r="J1252" s="9">
        <f t="shared" si="195"/>
        <v>7962016</v>
      </c>
      <c r="K1252" s="21">
        <f t="shared" si="196"/>
        <v>2496.4480376891984</v>
      </c>
      <c r="L1252" s="4" t="str">
        <f t="shared" si="192"/>
        <v>BUY</v>
      </c>
      <c r="M1252" s="4" t="str">
        <f t="shared" si="197"/>
        <v>BUY</v>
      </c>
      <c r="N1252" s="4">
        <f t="shared" si="193"/>
        <v>1</v>
      </c>
      <c r="O1252" s="4">
        <f t="shared" si="198"/>
        <v>2512.3000000000002</v>
      </c>
      <c r="P1252" s="4">
        <f t="shared" si="199"/>
        <v>-2.6853592740946734E-2</v>
      </c>
    </row>
    <row r="1253" spans="1:16" x14ac:dyDescent="0.25">
      <c r="A1253" s="1">
        <v>43031</v>
      </c>
      <c r="B1253">
        <v>2517</v>
      </c>
      <c r="C1253">
        <v>2528</v>
      </c>
      <c r="D1253">
        <v>2480.25</v>
      </c>
      <c r="E1253" s="7">
        <v>2509.6999999999998</v>
      </c>
      <c r="F1253">
        <v>798003</v>
      </c>
      <c r="G1253" s="8">
        <f t="shared" si="190"/>
        <v>2505.9833333333331</v>
      </c>
      <c r="H1253" s="9">
        <f t="shared" si="191"/>
        <v>1999782217.9499998</v>
      </c>
      <c r="I1253" s="9">
        <f t="shared" si="194"/>
        <v>20894212970.200001</v>
      </c>
      <c r="J1253" s="9">
        <f t="shared" si="195"/>
        <v>8370559</v>
      </c>
      <c r="K1253" s="21">
        <f t="shared" si="196"/>
        <v>2496.1550322027479</v>
      </c>
      <c r="L1253" s="4" t="str">
        <f t="shared" si="192"/>
        <v>BUY</v>
      </c>
      <c r="M1253" s="4">
        <f t="shared" si="197"/>
        <v>0</v>
      </c>
      <c r="N1253" s="4">
        <f t="shared" si="193"/>
        <v>1</v>
      </c>
      <c r="O1253" s="4">
        <f t="shared" si="198"/>
        <v>2512.3000000000002</v>
      </c>
      <c r="P1253" s="4">
        <f t="shared" si="199"/>
        <v>0</v>
      </c>
    </row>
    <row r="1254" spans="1:16" x14ac:dyDescent="0.25">
      <c r="A1254" s="1">
        <v>43032</v>
      </c>
      <c r="B1254">
        <v>2520</v>
      </c>
      <c r="C1254">
        <v>2530.4</v>
      </c>
      <c r="D1254">
        <v>2480.1</v>
      </c>
      <c r="E1254" s="7">
        <v>2497.9</v>
      </c>
      <c r="F1254">
        <v>734216</v>
      </c>
      <c r="G1254" s="8">
        <f t="shared" si="190"/>
        <v>2502.7999999999997</v>
      </c>
      <c r="H1254" s="9">
        <f t="shared" si="191"/>
        <v>1837595804.7999997</v>
      </c>
      <c r="I1254" s="9">
        <f t="shared" si="194"/>
        <v>21844786480.5</v>
      </c>
      <c r="J1254" s="9">
        <f t="shared" si="195"/>
        <v>8754104</v>
      </c>
      <c r="K1254" s="21">
        <f t="shared" si="196"/>
        <v>2495.376623410003</v>
      </c>
      <c r="L1254" s="4" t="str">
        <f t="shared" si="192"/>
        <v>BUY</v>
      </c>
      <c r="M1254" s="4">
        <f t="shared" si="197"/>
        <v>0</v>
      </c>
      <c r="N1254" s="4">
        <f t="shared" si="193"/>
        <v>1</v>
      </c>
      <c r="O1254" s="4">
        <f t="shared" si="198"/>
        <v>2512.3000000000002</v>
      </c>
      <c r="P1254" s="4">
        <f t="shared" si="199"/>
        <v>0</v>
      </c>
    </row>
    <row r="1255" spans="1:16" x14ac:dyDescent="0.25">
      <c r="A1255" s="1">
        <v>43033</v>
      </c>
      <c r="B1255">
        <v>2516</v>
      </c>
      <c r="C1255">
        <v>2531.8000000000002</v>
      </c>
      <c r="D1255">
        <v>2500.5</v>
      </c>
      <c r="E1255" s="7">
        <v>2521.9499999999998</v>
      </c>
      <c r="F1255">
        <v>893548</v>
      </c>
      <c r="G1255" s="8">
        <f t="shared" si="190"/>
        <v>2518.0833333333335</v>
      </c>
      <c r="H1255" s="9">
        <f t="shared" si="191"/>
        <v>2250028326.3333335</v>
      </c>
      <c r="I1255" s="9">
        <f t="shared" si="194"/>
        <v>22088321811.366665</v>
      </c>
      <c r="J1255" s="9">
        <f t="shared" si="195"/>
        <v>8860756</v>
      </c>
      <c r="K1255" s="21">
        <f t="shared" si="196"/>
        <v>2492.825873025582</v>
      </c>
      <c r="L1255" s="4" t="str">
        <f t="shared" si="192"/>
        <v>BUY</v>
      </c>
      <c r="M1255" s="4">
        <f t="shared" si="197"/>
        <v>0</v>
      </c>
      <c r="N1255" s="4">
        <f t="shared" si="193"/>
        <v>1</v>
      </c>
      <c r="O1255" s="4">
        <f t="shared" si="198"/>
        <v>2512.3000000000002</v>
      </c>
      <c r="P1255" s="4">
        <f t="shared" si="199"/>
        <v>0</v>
      </c>
    </row>
    <row r="1256" spans="1:16" x14ac:dyDescent="0.25">
      <c r="A1256" s="1">
        <v>43034</v>
      </c>
      <c r="B1256">
        <v>2533</v>
      </c>
      <c r="C1256">
        <v>2581.75</v>
      </c>
      <c r="D1256">
        <v>2523.25</v>
      </c>
      <c r="E1256" s="7">
        <v>2539.1</v>
      </c>
      <c r="F1256">
        <v>2504960</v>
      </c>
      <c r="G1256" s="8">
        <f t="shared" si="190"/>
        <v>2548.0333333333333</v>
      </c>
      <c r="H1256" s="9">
        <f t="shared" si="191"/>
        <v>6382721578.666667</v>
      </c>
      <c r="I1256" s="9">
        <f t="shared" si="194"/>
        <v>28003118098.950001</v>
      </c>
      <c r="J1256" s="9">
        <f t="shared" si="195"/>
        <v>11182301</v>
      </c>
      <c r="K1256" s="21">
        <f t="shared" si="196"/>
        <v>2504.2357649780665</v>
      </c>
      <c r="L1256" s="4" t="str">
        <f t="shared" si="192"/>
        <v>BUY</v>
      </c>
      <c r="M1256" s="4">
        <f t="shared" si="197"/>
        <v>0</v>
      </c>
      <c r="N1256" s="4">
        <f t="shared" si="193"/>
        <v>1</v>
      </c>
      <c r="O1256" s="4">
        <f t="shared" si="198"/>
        <v>2512.3000000000002</v>
      </c>
      <c r="P1256" s="4">
        <f t="shared" si="199"/>
        <v>0</v>
      </c>
    </row>
    <row r="1257" spans="1:16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 s="7">
        <v>2532.15</v>
      </c>
      <c r="F1257">
        <v>2646915</v>
      </c>
      <c r="G1257" s="8">
        <f t="shared" si="190"/>
        <v>2520.4833333333336</v>
      </c>
      <c r="H1257" s="9">
        <f t="shared" si="191"/>
        <v>6671505142.250001</v>
      </c>
      <c r="I1257" s="9">
        <f t="shared" si="194"/>
        <v>33483350151.200001</v>
      </c>
      <c r="J1257" s="9">
        <f t="shared" si="195"/>
        <v>13366346</v>
      </c>
      <c r="K1257" s="21">
        <f t="shared" si="196"/>
        <v>2505.0488855518179</v>
      </c>
      <c r="L1257" s="4" t="str">
        <f t="shared" si="192"/>
        <v>BUY</v>
      </c>
      <c r="M1257" s="4">
        <f t="shared" si="197"/>
        <v>0</v>
      </c>
      <c r="N1257" s="4">
        <f t="shared" si="193"/>
        <v>1</v>
      </c>
      <c r="O1257" s="4">
        <f t="shared" si="198"/>
        <v>2512.3000000000002</v>
      </c>
      <c r="P1257" s="4">
        <f t="shared" si="199"/>
        <v>0</v>
      </c>
    </row>
    <row r="1258" spans="1:16" x14ac:dyDescent="0.25">
      <c r="A1258" s="1">
        <v>43038</v>
      </c>
      <c r="B1258">
        <v>2536</v>
      </c>
      <c r="C1258">
        <v>2551</v>
      </c>
      <c r="D1258">
        <v>2503</v>
      </c>
      <c r="E1258" s="7">
        <v>2511</v>
      </c>
      <c r="F1258">
        <v>567537</v>
      </c>
      <c r="G1258" s="8">
        <f t="shared" si="190"/>
        <v>2521.6666666666665</v>
      </c>
      <c r="H1258" s="9">
        <f t="shared" si="191"/>
        <v>1431139135</v>
      </c>
      <c r="I1258" s="9">
        <f t="shared" si="194"/>
        <v>32673503605.933334</v>
      </c>
      <c r="J1258" s="9">
        <f t="shared" si="195"/>
        <v>13056762</v>
      </c>
      <c r="K1258" s="21">
        <f t="shared" si="196"/>
        <v>2502.4200951149555</v>
      </c>
      <c r="L1258" s="4" t="str">
        <f t="shared" si="192"/>
        <v>BUY</v>
      </c>
      <c r="M1258" s="4">
        <f t="shared" si="197"/>
        <v>0</v>
      </c>
      <c r="N1258" s="4">
        <f t="shared" si="193"/>
        <v>1</v>
      </c>
      <c r="O1258" s="4">
        <f t="shared" si="198"/>
        <v>2512.3000000000002</v>
      </c>
      <c r="P1258" s="4">
        <f t="shared" si="199"/>
        <v>0</v>
      </c>
    </row>
    <row r="1259" spans="1:16" x14ac:dyDescent="0.25">
      <c r="A1259" s="1">
        <v>43039</v>
      </c>
      <c r="B1259">
        <v>2520</v>
      </c>
      <c r="C1259">
        <v>2530</v>
      </c>
      <c r="D1259">
        <v>2483.25</v>
      </c>
      <c r="E1259" s="7">
        <v>2500.4499999999998</v>
      </c>
      <c r="F1259">
        <v>1029283</v>
      </c>
      <c r="G1259" s="8">
        <f t="shared" si="190"/>
        <v>2504.5666666666666</v>
      </c>
      <c r="H1259" s="9">
        <f t="shared" si="191"/>
        <v>2577907892.3666668</v>
      </c>
      <c r="I1259" s="9">
        <f t="shared" si="194"/>
        <v>32255735663.5</v>
      </c>
      <c r="J1259" s="9">
        <f t="shared" si="195"/>
        <v>12874153</v>
      </c>
      <c r="K1259" s="21">
        <f t="shared" si="196"/>
        <v>2505.4646828804971</v>
      </c>
      <c r="L1259" s="4" t="str">
        <f t="shared" si="192"/>
        <v>SELL</v>
      </c>
      <c r="M1259" s="4" t="str">
        <f t="shared" si="197"/>
        <v>SELL</v>
      </c>
      <c r="N1259" s="4">
        <f t="shared" si="193"/>
        <v>-1</v>
      </c>
      <c r="O1259" s="4">
        <f t="shared" si="198"/>
        <v>2500.4499999999998</v>
      </c>
      <c r="P1259" s="4">
        <f t="shared" si="199"/>
        <v>-4.7167933765873355E-3</v>
      </c>
    </row>
    <row r="1260" spans="1:16" x14ac:dyDescent="0.25">
      <c r="A1260" s="1">
        <v>43040</v>
      </c>
      <c r="B1260">
        <v>2522</v>
      </c>
      <c r="C1260">
        <v>2522</v>
      </c>
      <c r="D1260">
        <v>2488.25</v>
      </c>
      <c r="E1260" s="7">
        <v>2513.8000000000002</v>
      </c>
      <c r="F1260">
        <v>1155240</v>
      </c>
      <c r="G1260" s="8">
        <f t="shared" si="190"/>
        <v>2508.0166666666669</v>
      </c>
      <c r="H1260" s="9">
        <f t="shared" si="191"/>
        <v>2897361174.0000005</v>
      </c>
      <c r="I1260" s="9">
        <f t="shared" si="194"/>
        <v>31943670199.566666</v>
      </c>
      <c r="J1260" s="9">
        <f t="shared" si="195"/>
        <v>12711227</v>
      </c>
      <c r="K1260" s="21">
        <f t="shared" si="196"/>
        <v>2513.0280656278633</v>
      </c>
      <c r="L1260" s="4" t="str">
        <f t="shared" si="192"/>
        <v>BUY</v>
      </c>
      <c r="M1260" s="4" t="str">
        <f t="shared" si="197"/>
        <v>BUY</v>
      </c>
      <c r="N1260" s="4">
        <f t="shared" si="193"/>
        <v>1</v>
      </c>
      <c r="O1260" s="4">
        <f t="shared" si="198"/>
        <v>2513.8000000000002</v>
      </c>
      <c r="P1260" s="4">
        <f t="shared" si="199"/>
        <v>-5.3390389729850085E-3</v>
      </c>
    </row>
    <row r="1261" spans="1:16" x14ac:dyDescent="0.25">
      <c r="A1261" s="1">
        <v>43041</v>
      </c>
      <c r="B1261">
        <v>2516.5</v>
      </c>
      <c r="C1261">
        <v>2521.25</v>
      </c>
      <c r="D1261">
        <v>2495.5</v>
      </c>
      <c r="E1261" s="7">
        <v>2513.5500000000002</v>
      </c>
      <c r="F1261">
        <v>1056607</v>
      </c>
      <c r="G1261" s="8">
        <f t="shared" si="190"/>
        <v>2510.1</v>
      </c>
      <c r="H1261" s="9">
        <f t="shared" si="191"/>
        <v>2652189230.6999998</v>
      </c>
      <c r="I1261" s="9">
        <f t="shared" si="194"/>
        <v>32687796664.133335</v>
      </c>
      <c r="J1261" s="9">
        <f t="shared" si="195"/>
        <v>12985130</v>
      </c>
      <c r="K1261" s="21">
        <f t="shared" si="196"/>
        <v>2517.3253301378836</v>
      </c>
      <c r="L1261" s="4" t="str">
        <f t="shared" si="192"/>
        <v>SELL</v>
      </c>
      <c r="M1261" s="4" t="str">
        <f t="shared" si="197"/>
        <v>SELL</v>
      </c>
      <c r="N1261" s="4">
        <f t="shared" si="193"/>
        <v>-1</v>
      </c>
      <c r="O1261" s="4">
        <f t="shared" si="198"/>
        <v>2513.5500000000002</v>
      </c>
      <c r="P1261" s="4">
        <f t="shared" si="199"/>
        <v>-9.9451030312674036E-5</v>
      </c>
    </row>
    <row r="1262" spans="1:16" x14ac:dyDescent="0.25">
      <c r="A1262" s="1">
        <v>43042</v>
      </c>
      <c r="B1262">
        <v>2514</v>
      </c>
      <c r="C1262">
        <v>2532.0500000000002</v>
      </c>
      <c r="D1262">
        <v>2496.1</v>
      </c>
      <c r="E1262" s="7">
        <v>2503.6</v>
      </c>
      <c r="F1262">
        <v>1575190</v>
      </c>
      <c r="G1262" s="8">
        <f t="shared" si="190"/>
        <v>2510.5833333333335</v>
      </c>
      <c r="H1262" s="9">
        <f t="shared" si="191"/>
        <v>3954645760.8333335</v>
      </c>
      <c r="I1262" s="9">
        <f t="shared" si="194"/>
        <v>32654876262.900002</v>
      </c>
      <c r="J1262" s="9">
        <f t="shared" si="195"/>
        <v>12961499</v>
      </c>
      <c r="K1262" s="21">
        <f t="shared" si="196"/>
        <v>2519.3749783802014</v>
      </c>
      <c r="L1262" s="4" t="str">
        <f t="shared" si="192"/>
        <v>SELL</v>
      </c>
      <c r="M1262" s="4">
        <f t="shared" si="197"/>
        <v>0</v>
      </c>
      <c r="N1262" s="4">
        <f t="shared" si="193"/>
        <v>-1</v>
      </c>
      <c r="O1262" s="4">
        <f t="shared" si="198"/>
        <v>2513.5500000000002</v>
      </c>
      <c r="P1262" s="4">
        <f t="shared" si="199"/>
        <v>0</v>
      </c>
    </row>
    <row r="1263" spans="1:16" x14ac:dyDescent="0.25">
      <c r="A1263" s="1">
        <v>43045</v>
      </c>
      <c r="B1263">
        <v>2512.35</v>
      </c>
      <c r="C1263">
        <v>2515</v>
      </c>
      <c r="D1263">
        <v>2489.5500000000002</v>
      </c>
      <c r="E1263" s="7">
        <v>2502.0500000000002</v>
      </c>
      <c r="F1263">
        <v>1369368</v>
      </c>
      <c r="G1263" s="8">
        <f t="shared" si="190"/>
        <v>2502.2000000000003</v>
      </c>
      <c r="H1263" s="9">
        <f t="shared" si="191"/>
        <v>3426432609.6000004</v>
      </c>
      <c r="I1263" s="9">
        <f t="shared" si="194"/>
        <v>34081526654.549995</v>
      </c>
      <c r="J1263" s="9">
        <f t="shared" si="195"/>
        <v>13532864</v>
      </c>
      <c r="K1263" s="21">
        <f t="shared" si="196"/>
        <v>2518.4267465150019</v>
      </c>
      <c r="L1263" s="4" t="str">
        <f t="shared" si="192"/>
        <v>SELL</v>
      </c>
      <c r="M1263" s="4">
        <f t="shared" si="197"/>
        <v>0</v>
      </c>
      <c r="N1263" s="4">
        <f t="shared" si="193"/>
        <v>-1</v>
      </c>
      <c r="O1263" s="4">
        <f t="shared" si="198"/>
        <v>2513.5500000000002</v>
      </c>
      <c r="P1263" s="4">
        <f t="shared" si="199"/>
        <v>0</v>
      </c>
    </row>
    <row r="1264" spans="1:16" x14ac:dyDescent="0.25">
      <c r="A1264" s="1">
        <v>43046</v>
      </c>
      <c r="B1264">
        <v>2503</v>
      </c>
      <c r="C1264">
        <v>2544.9</v>
      </c>
      <c r="D1264">
        <v>2502.9</v>
      </c>
      <c r="E1264" s="7">
        <v>2539.6</v>
      </c>
      <c r="F1264">
        <v>1560990</v>
      </c>
      <c r="G1264" s="8">
        <f t="shared" si="190"/>
        <v>2529.1333333333332</v>
      </c>
      <c r="H1264" s="9">
        <f t="shared" si="191"/>
        <v>3947951842</v>
      </c>
      <c r="I1264" s="9">
        <f t="shared" si="194"/>
        <v>36191882691.75</v>
      </c>
      <c r="J1264" s="9">
        <f t="shared" si="195"/>
        <v>14359638</v>
      </c>
      <c r="K1264" s="21">
        <f t="shared" si="196"/>
        <v>2520.3896290247708</v>
      </c>
      <c r="L1264" s="4" t="str">
        <f t="shared" si="192"/>
        <v>BUY</v>
      </c>
      <c r="M1264" s="4" t="str">
        <f t="shared" si="197"/>
        <v>BUY</v>
      </c>
      <c r="N1264" s="4">
        <f t="shared" si="193"/>
        <v>1</v>
      </c>
      <c r="O1264" s="4">
        <f t="shared" si="198"/>
        <v>2539.6</v>
      </c>
      <c r="P1264" s="4">
        <f t="shared" si="199"/>
        <v>-1.0363828051958276E-2</v>
      </c>
    </row>
    <row r="1265" spans="1:16" x14ac:dyDescent="0.25">
      <c r="A1265" s="1">
        <v>43047</v>
      </c>
      <c r="B1265">
        <v>2538</v>
      </c>
      <c r="C1265">
        <v>2568.6999999999998</v>
      </c>
      <c r="D1265">
        <v>2512.9</v>
      </c>
      <c r="E1265" s="7">
        <v>2544.65</v>
      </c>
      <c r="F1265">
        <v>1867196</v>
      </c>
      <c r="G1265" s="8">
        <f t="shared" si="190"/>
        <v>2542.0833333333335</v>
      </c>
      <c r="H1265" s="9">
        <f t="shared" si="191"/>
        <v>4746567831.666667</v>
      </c>
      <c r="I1265" s="9">
        <f t="shared" si="194"/>
        <v>38688422197.083336</v>
      </c>
      <c r="J1265" s="9">
        <f t="shared" si="195"/>
        <v>15333286</v>
      </c>
      <c r="K1265" s="21">
        <f t="shared" si="196"/>
        <v>2523.1657582779931</v>
      </c>
      <c r="L1265" s="4" t="str">
        <f t="shared" si="192"/>
        <v>BUY</v>
      </c>
      <c r="M1265" s="4">
        <f t="shared" si="197"/>
        <v>0</v>
      </c>
      <c r="N1265" s="4">
        <f t="shared" si="193"/>
        <v>1</v>
      </c>
      <c r="O1265" s="4">
        <f t="shared" si="198"/>
        <v>2539.6</v>
      </c>
      <c r="P1265" s="4">
        <f t="shared" si="199"/>
        <v>0</v>
      </c>
    </row>
    <row r="1266" spans="1:16" x14ac:dyDescent="0.25">
      <c r="A1266" s="1">
        <v>43048</v>
      </c>
      <c r="B1266">
        <v>2560.6999999999998</v>
      </c>
      <c r="C1266">
        <v>2575</v>
      </c>
      <c r="D1266">
        <v>2470</v>
      </c>
      <c r="E1266" s="7">
        <v>2482.0500000000002</v>
      </c>
      <c r="F1266">
        <v>2908701</v>
      </c>
      <c r="G1266" s="8">
        <f t="shared" si="190"/>
        <v>2509.0166666666669</v>
      </c>
      <c r="H1266" s="9">
        <f t="shared" si="191"/>
        <v>7297979287.3500004</v>
      </c>
      <c r="I1266" s="9">
        <f t="shared" si="194"/>
        <v>39603679905.76667</v>
      </c>
      <c r="J1266" s="9">
        <f t="shared" si="195"/>
        <v>15737027</v>
      </c>
      <c r="K1266" s="21">
        <f t="shared" si="196"/>
        <v>2516.5922321774419</v>
      </c>
      <c r="L1266" s="4" t="str">
        <f t="shared" si="192"/>
        <v>SELL</v>
      </c>
      <c r="M1266" s="4" t="str">
        <f t="shared" si="197"/>
        <v>SELL</v>
      </c>
      <c r="N1266" s="4">
        <f t="shared" si="193"/>
        <v>-1</v>
      </c>
      <c r="O1266" s="4">
        <f t="shared" si="198"/>
        <v>2482.0500000000002</v>
      </c>
      <c r="P1266" s="4">
        <f t="shared" si="199"/>
        <v>-2.2661048984091877E-2</v>
      </c>
    </row>
    <row r="1267" spans="1:16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 s="7">
        <v>2514.1999999999998</v>
      </c>
      <c r="F1267">
        <v>1590901</v>
      </c>
      <c r="G1267" s="8">
        <f t="shared" si="190"/>
        <v>2499.2333333333331</v>
      </c>
      <c r="H1267" s="9">
        <f t="shared" si="191"/>
        <v>3976032809.2333331</v>
      </c>
      <c r="I1267" s="9">
        <f t="shared" si="194"/>
        <v>36908207572.75</v>
      </c>
      <c r="J1267" s="9">
        <f t="shared" si="195"/>
        <v>14681013</v>
      </c>
      <c r="K1267" s="21">
        <f t="shared" si="196"/>
        <v>2514.0095968003025</v>
      </c>
      <c r="L1267" s="4" t="str">
        <f t="shared" si="192"/>
        <v>BUY</v>
      </c>
      <c r="M1267" s="4" t="str">
        <f t="shared" si="197"/>
        <v>BUY</v>
      </c>
      <c r="N1267" s="4">
        <f t="shared" si="193"/>
        <v>1</v>
      </c>
      <c r="O1267" s="4">
        <f t="shared" si="198"/>
        <v>2514.1999999999998</v>
      </c>
      <c r="P1267" s="4">
        <f t="shared" si="199"/>
        <v>-1.2953002558368943E-2</v>
      </c>
    </row>
    <row r="1268" spans="1:16" x14ac:dyDescent="0.25">
      <c r="A1268" s="1">
        <v>43052</v>
      </c>
      <c r="B1268">
        <v>2511.65</v>
      </c>
      <c r="C1268">
        <v>2565</v>
      </c>
      <c r="D1268">
        <v>2507.1</v>
      </c>
      <c r="E1268" s="7">
        <v>2558.25</v>
      </c>
      <c r="F1268">
        <v>1172527</v>
      </c>
      <c r="G1268" s="8">
        <f t="shared" si="190"/>
        <v>2543.4500000000003</v>
      </c>
      <c r="H1268" s="9">
        <f t="shared" si="191"/>
        <v>2982263798.1500001</v>
      </c>
      <c r="I1268" s="9">
        <f t="shared" si="194"/>
        <v>38459332235.900002</v>
      </c>
      <c r="J1268" s="9">
        <f t="shared" si="195"/>
        <v>15286003</v>
      </c>
      <c r="K1268" s="21">
        <f t="shared" si="196"/>
        <v>2515.9835593320245</v>
      </c>
      <c r="L1268" s="4" t="str">
        <f t="shared" si="192"/>
        <v>BUY</v>
      </c>
      <c r="M1268" s="4">
        <f t="shared" si="197"/>
        <v>0</v>
      </c>
      <c r="N1268" s="4">
        <f t="shared" si="193"/>
        <v>1</v>
      </c>
      <c r="O1268" s="4">
        <f t="shared" si="198"/>
        <v>2514.1999999999998</v>
      </c>
      <c r="P1268" s="4">
        <f t="shared" si="199"/>
        <v>0</v>
      </c>
    </row>
    <row r="1269" spans="1:16" x14ac:dyDescent="0.25">
      <c r="A1269" s="1">
        <v>43053</v>
      </c>
      <c r="B1269">
        <v>2568</v>
      </c>
      <c r="C1269">
        <v>2571.6999999999998</v>
      </c>
      <c r="D1269">
        <v>2502.1</v>
      </c>
      <c r="E1269" s="7">
        <v>2514.3000000000002</v>
      </c>
      <c r="F1269">
        <v>1122709</v>
      </c>
      <c r="G1269" s="8">
        <f t="shared" si="190"/>
        <v>2529.3666666666663</v>
      </c>
      <c r="H1269" s="9">
        <f t="shared" si="191"/>
        <v>2839742720.9666662</v>
      </c>
      <c r="I1269" s="9">
        <f t="shared" si="194"/>
        <v>38721167064.5</v>
      </c>
      <c r="J1269" s="9">
        <f t="shared" si="195"/>
        <v>15379429</v>
      </c>
      <c r="K1269" s="21">
        <f t="shared" si="196"/>
        <v>2517.7246219284216</v>
      </c>
      <c r="L1269" s="4" t="str">
        <f t="shared" si="192"/>
        <v>SELL</v>
      </c>
      <c r="M1269" s="4" t="str">
        <f t="shared" si="197"/>
        <v>SELL</v>
      </c>
      <c r="N1269" s="4">
        <f t="shared" si="193"/>
        <v>-1</v>
      </c>
      <c r="O1269" s="4">
        <f t="shared" si="198"/>
        <v>2514.3000000000002</v>
      </c>
      <c r="P1269" s="4">
        <f t="shared" si="199"/>
        <v>3.9774083207526768E-5</v>
      </c>
    </row>
    <row r="1270" spans="1:16" x14ac:dyDescent="0.25">
      <c r="A1270" s="1">
        <v>43054</v>
      </c>
      <c r="B1270">
        <v>2520</v>
      </c>
      <c r="C1270">
        <v>2591.6999999999998</v>
      </c>
      <c r="D1270">
        <v>2519</v>
      </c>
      <c r="E1270" s="7">
        <v>2552.4</v>
      </c>
      <c r="F1270">
        <v>2265084</v>
      </c>
      <c r="G1270" s="8">
        <f t="shared" si="190"/>
        <v>2554.3666666666668</v>
      </c>
      <c r="H1270" s="9">
        <f t="shared" si="191"/>
        <v>5785855066.8000002</v>
      </c>
      <c r="I1270" s="9">
        <f t="shared" si="194"/>
        <v>41609660957.300003</v>
      </c>
      <c r="J1270" s="9">
        <f t="shared" si="195"/>
        <v>16489273</v>
      </c>
      <c r="K1270" s="21">
        <f t="shared" si="196"/>
        <v>2523.4381744604511</v>
      </c>
      <c r="L1270" s="4" t="str">
        <f t="shared" si="192"/>
        <v>BUY</v>
      </c>
      <c r="M1270" s="4" t="str">
        <f t="shared" si="197"/>
        <v>BUY</v>
      </c>
      <c r="N1270" s="4">
        <f t="shared" si="193"/>
        <v>1</v>
      </c>
      <c r="O1270" s="4">
        <f t="shared" si="198"/>
        <v>2552.4</v>
      </c>
      <c r="P1270" s="4">
        <f t="shared" si="199"/>
        <v>-1.5153322992482961E-2</v>
      </c>
    </row>
    <row r="1271" spans="1:16" x14ac:dyDescent="0.25">
      <c r="A1271" s="1">
        <v>43055</v>
      </c>
      <c r="B1271">
        <v>2553</v>
      </c>
      <c r="C1271">
        <v>2594.8000000000002</v>
      </c>
      <c r="D1271">
        <v>2550.85</v>
      </c>
      <c r="E1271" s="7">
        <v>2575.75</v>
      </c>
      <c r="F1271">
        <v>1068208</v>
      </c>
      <c r="G1271" s="8">
        <f t="shared" si="190"/>
        <v>2573.7999999999997</v>
      </c>
      <c r="H1271" s="9">
        <f t="shared" si="191"/>
        <v>2749353750.3999996</v>
      </c>
      <c r="I1271" s="9">
        <f t="shared" si="194"/>
        <v>41706825477.000008</v>
      </c>
      <c r="J1271" s="9">
        <f t="shared" si="195"/>
        <v>16500874</v>
      </c>
      <c r="K1271" s="21">
        <f t="shared" si="196"/>
        <v>2527.5525088549862</v>
      </c>
      <c r="L1271" s="4" t="str">
        <f t="shared" si="192"/>
        <v>BUY</v>
      </c>
      <c r="M1271" s="4">
        <f t="shared" si="197"/>
        <v>0</v>
      </c>
      <c r="N1271" s="4">
        <f t="shared" si="193"/>
        <v>1</v>
      </c>
      <c r="O1271" s="4">
        <f t="shared" si="198"/>
        <v>2552.4</v>
      </c>
      <c r="P1271" s="4">
        <f t="shared" si="199"/>
        <v>0</v>
      </c>
    </row>
    <row r="1272" spans="1:16" x14ac:dyDescent="0.25">
      <c r="A1272" s="1">
        <v>43056</v>
      </c>
      <c r="B1272">
        <v>2561.5</v>
      </c>
      <c r="C1272">
        <v>2569.1</v>
      </c>
      <c r="D1272">
        <v>2500</v>
      </c>
      <c r="E1272" s="7">
        <v>2512.9</v>
      </c>
      <c r="F1272">
        <v>1038216</v>
      </c>
      <c r="G1272" s="8">
        <f t="shared" si="190"/>
        <v>2527.3333333333335</v>
      </c>
      <c r="H1272" s="9">
        <f t="shared" si="191"/>
        <v>2623917904</v>
      </c>
      <c r="I1272" s="9">
        <f t="shared" si="194"/>
        <v>40376097620.166672</v>
      </c>
      <c r="J1272" s="9">
        <f t="shared" si="195"/>
        <v>15963900</v>
      </c>
      <c r="K1272" s="21">
        <f t="shared" si="196"/>
        <v>2529.2126372732646</v>
      </c>
      <c r="L1272" s="4" t="str">
        <f t="shared" si="192"/>
        <v>SELL</v>
      </c>
      <c r="M1272" s="4" t="str">
        <f t="shared" si="197"/>
        <v>SELL</v>
      </c>
      <c r="N1272" s="4">
        <f t="shared" si="193"/>
        <v>-1</v>
      </c>
      <c r="O1272" s="4">
        <f t="shared" si="198"/>
        <v>2512.9</v>
      </c>
      <c r="P1272" s="4">
        <f t="shared" si="199"/>
        <v>-1.5475630778874785E-2</v>
      </c>
    </row>
    <row r="1273" spans="1:16" x14ac:dyDescent="0.25">
      <c r="A1273" s="1">
        <v>43059</v>
      </c>
      <c r="B1273">
        <v>2510</v>
      </c>
      <c r="C1273">
        <v>2526.25</v>
      </c>
      <c r="D1273">
        <v>2433</v>
      </c>
      <c r="E1273" s="7">
        <v>2441.15</v>
      </c>
      <c r="F1273">
        <v>1899527</v>
      </c>
      <c r="G1273" s="8">
        <f t="shared" si="190"/>
        <v>2466.7999999999997</v>
      </c>
      <c r="H1273" s="9">
        <f t="shared" si="191"/>
        <v>4685753203.5999994</v>
      </c>
      <c r="I1273" s="9">
        <f t="shared" si="194"/>
        <v>41635418214.166664</v>
      </c>
      <c r="J1273" s="9">
        <f t="shared" si="195"/>
        <v>16494059</v>
      </c>
      <c r="K1273" s="21">
        <f t="shared" si="196"/>
        <v>2524.2675689572025</v>
      </c>
      <c r="L1273" s="4" t="str">
        <f t="shared" si="192"/>
        <v>SELL</v>
      </c>
      <c r="M1273" s="4">
        <f t="shared" si="197"/>
        <v>0</v>
      </c>
      <c r="N1273" s="4">
        <f t="shared" si="193"/>
        <v>-1</v>
      </c>
      <c r="O1273" s="4">
        <f t="shared" si="198"/>
        <v>2512.9</v>
      </c>
      <c r="P1273" s="4">
        <f t="shared" si="199"/>
        <v>0</v>
      </c>
    </row>
    <row r="1274" spans="1:16" x14ac:dyDescent="0.25">
      <c r="A1274" s="1">
        <v>43060</v>
      </c>
      <c r="B1274">
        <v>2455.0500000000002</v>
      </c>
      <c r="C1274">
        <v>2487.25</v>
      </c>
      <c r="D1274">
        <v>2447.25</v>
      </c>
      <c r="E1274" s="7">
        <v>2459.9</v>
      </c>
      <c r="F1274">
        <v>1468761</v>
      </c>
      <c r="G1274" s="8">
        <f t="shared" si="190"/>
        <v>2464.7999999999997</v>
      </c>
      <c r="H1274" s="9">
        <f t="shared" si="191"/>
        <v>3620202112.7999997</v>
      </c>
      <c r="I1274" s="9">
        <f t="shared" si="194"/>
        <v>41307668484.966667</v>
      </c>
      <c r="J1274" s="9">
        <f t="shared" si="195"/>
        <v>16401830</v>
      </c>
      <c r="K1274" s="21">
        <f t="shared" si="196"/>
        <v>2518.4792480452893</v>
      </c>
      <c r="L1274" s="4" t="str">
        <f t="shared" si="192"/>
        <v>SELL</v>
      </c>
      <c r="M1274" s="4">
        <f t="shared" si="197"/>
        <v>0</v>
      </c>
      <c r="N1274" s="4">
        <f t="shared" si="193"/>
        <v>-1</v>
      </c>
      <c r="O1274" s="4">
        <f t="shared" si="198"/>
        <v>2512.9</v>
      </c>
      <c r="P1274" s="4">
        <f t="shared" si="199"/>
        <v>0</v>
      </c>
    </row>
    <row r="1275" spans="1:16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 s="7">
        <v>2462.15</v>
      </c>
      <c r="F1275">
        <v>1553990</v>
      </c>
      <c r="G1275" s="8">
        <f t="shared" si="190"/>
        <v>2462.9833333333336</v>
      </c>
      <c r="H1275" s="9">
        <f t="shared" si="191"/>
        <v>3827451470.166667</v>
      </c>
      <c r="I1275" s="9">
        <f t="shared" si="194"/>
        <v>40388552123.466667</v>
      </c>
      <c r="J1275" s="9">
        <f t="shared" si="195"/>
        <v>16088624</v>
      </c>
      <c r="K1275" s="21">
        <f t="shared" si="196"/>
        <v>2510.3795155798698</v>
      </c>
      <c r="L1275" s="4" t="str">
        <f t="shared" si="192"/>
        <v>SELL</v>
      </c>
      <c r="M1275" s="4">
        <f t="shared" si="197"/>
        <v>0</v>
      </c>
      <c r="N1275" s="4">
        <f t="shared" si="193"/>
        <v>-1</v>
      </c>
      <c r="O1275" s="4">
        <f t="shared" si="198"/>
        <v>2512.9</v>
      </c>
      <c r="P1275" s="4">
        <f t="shared" si="199"/>
        <v>0</v>
      </c>
    </row>
    <row r="1276" spans="1:16" x14ac:dyDescent="0.25">
      <c r="A1276" s="1">
        <v>43062</v>
      </c>
      <c r="B1276">
        <v>2470</v>
      </c>
      <c r="C1276">
        <v>2547.75</v>
      </c>
      <c r="D1276">
        <v>2460.25</v>
      </c>
      <c r="E1276" s="7">
        <v>2538.75</v>
      </c>
      <c r="F1276">
        <v>2079163</v>
      </c>
      <c r="G1276" s="8">
        <f t="shared" si="190"/>
        <v>2515.5833333333335</v>
      </c>
      <c r="H1276" s="9">
        <f t="shared" si="191"/>
        <v>5230307790.083334</v>
      </c>
      <c r="I1276" s="9">
        <f t="shared" si="194"/>
        <v>38320880626.199997</v>
      </c>
      <c r="J1276" s="9">
        <f t="shared" si="195"/>
        <v>15259086</v>
      </c>
      <c r="K1276" s="21">
        <f t="shared" si="196"/>
        <v>2511.348361638436</v>
      </c>
      <c r="L1276" s="4" t="str">
        <f t="shared" si="192"/>
        <v>BUY</v>
      </c>
      <c r="M1276" s="4" t="str">
        <f t="shared" si="197"/>
        <v>BUY</v>
      </c>
      <c r="N1276" s="4">
        <f t="shared" si="193"/>
        <v>1</v>
      </c>
      <c r="O1276" s="4">
        <f t="shared" si="198"/>
        <v>2538.75</v>
      </c>
      <c r="P1276" s="4">
        <f t="shared" si="199"/>
        <v>-1.028691949540368E-2</v>
      </c>
    </row>
    <row r="1277" spans="1:16" x14ac:dyDescent="0.25">
      <c r="A1277" s="1">
        <v>43063</v>
      </c>
      <c r="B1277">
        <v>2560</v>
      </c>
      <c r="C1277">
        <v>2595</v>
      </c>
      <c r="D1277">
        <v>2555</v>
      </c>
      <c r="E1277" s="7">
        <v>2584.8000000000002</v>
      </c>
      <c r="F1277">
        <v>1182196</v>
      </c>
      <c r="G1277" s="8">
        <f t="shared" si="190"/>
        <v>2578.2666666666669</v>
      </c>
      <c r="H1277" s="9">
        <f t="shared" si="191"/>
        <v>3048016540.2666669</v>
      </c>
      <c r="I1277" s="9">
        <f t="shared" si="194"/>
        <v>37392864357.233337</v>
      </c>
      <c r="J1277" s="9">
        <f t="shared" si="195"/>
        <v>14850381</v>
      </c>
      <c r="K1277" s="21">
        <f t="shared" si="196"/>
        <v>2517.9734013042048</v>
      </c>
      <c r="L1277" s="4" t="str">
        <f t="shared" si="192"/>
        <v>BUY</v>
      </c>
      <c r="M1277" s="4">
        <f t="shared" si="197"/>
        <v>0</v>
      </c>
      <c r="N1277" s="4">
        <f t="shared" si="193"/>
        <v>1</v>
      </c>
      <c r="O1277" s="4">
        <f t="shared" si="198"/>
        <v>2538.75</v>
      </c>
      <c r="P1277" s="4">
        <f t="shared" si="199"/>
        <v>0</v>
      </c>
    </row>
    <row r="1278" spans="1:16" x14ac:dyDescent="0.25">
      <c r="A1278" s="1">
        <v>43066</v>
      </c>
      <c r="B1278">
        <v>2585.0500000000002</v>
      </c>
      <c r="C1278">
        <v>2643</v>
      </c>
      <c r="D1278">
        <v>2565.25</v>
      </c>
      <c r="E1278" s="7">
        <v>2635.65</v>
      </c>
      <c r="F1278">
        <v>1330007</v>
      </c>
      <c r="G1278" s="8">
        <f t="shared" si="190"/>
        <v>2614.6333333333332</v>
      </c>
      <c r="H1278" s="9">
        <f t="shared" si="191"/>
        <v>3477480635.7666664</v>
      </c>
      <c r="I1278" s="9">
        <f t="shared" si="194"/>
        <v>37888081194.850006</v>
      </c>
      <c r="J1278" s="9">
        <f t="shared" si="195"/>
        <v>15007861</v>
      </c>
      <c r="K1278" s="21">
        <f t="shared" si="196"/>
        <v>2524.5490476524274</v>
      </c>
      <c r="L1278" s="4" t="str">
        <f t="shared" si="192"/>
        <v>BUY</v>
      </c>
      <c r="M1278" s="4">
        <f t="shared" si="197"/>
        <v>0</v>
      </c>
      <c r="N1278" s="4">
        <f t="shared" si="193"/>
        <v>1</v>
      </c>
      <c r="O1278" s="4">
        <f t="shared" si="198"/>
        <v>2538.75</v>
      </c>
      <c r="P1278" s="4">
        <f t="shared" si="199"/>
        <v>0</v>
      </c>
    </row>
    <row r="1279" spans="1:16" x14ac:dyDescent="0.25">
      <c r="A1279" s="1">
        <v>43067</v>
      </c>
      <c r="B1279">
        <v>2636</v>
      </c>
      <c r="C1279">
        <v>2687.3</v>
      </c>
      <c r="D1279">
        <v>2635</v>
      </c>
      <c r="E1279" s="7">
        <v>2681.05</v>
      </c>
      <c r="F1279">
        <v>1309001</v>
      </c>
      <c r="G1279" s="8">
        <f t="shared" si="190"/>
        <v>2667.7833333333333</v>
      </c>
      <c r="H1279" s="9">
        <f t="shared" si="191"/>
        <v>3492131051.1166668</v>
      </c>
      <c r="I1279" s="9">
        <f t="shared" si="194"/>
        <v>38540469525</v>
      </c>
      <c r="J1279" s="9">
        <f t="shared" si="195"/>
        <v>15194153</v>
      </c>
      <c r="K1279" s="21">
        <f t="shared" si="196"/>
        <v>2536.53293638678</v>
      </c>
      <c r="L1279" s="4" t="str">
        <f t="shared" si="192"/>
        <v>BUY</v>
      </c>
      <c r="M1279" s="4">
        <f t="shared" si="197"/>
        <v>0</v>
      </c>
      <c r="N1279" s="4">
        <f t="shared" si="193"/>
        <v>1</v>
      </c>
      <c r="O1279" s="4">
        <f t="shared" si="198"/>
        <v>2538.75</v>
      </c>
      <c r="P1279" s="4">
        <f t="shared" si="199"/>
        <v>0</v>
      </c>
    </row>
    <row r="1280" spans="1:16" x14ac:dyDescent="0.25">
      <c r="A1280" s="1">
        <v>43068</v>
      </c>
      <c r="B1280">
        <v>2698.8</v>
      </c>
      <c r="C1280">
        <v>2698.8</v>
      </c>
      <c r="D1280">
        <v>2642.25</v>
      </c>
      <c r="E1280" s="7">
        <v>2675.55</v>
      </c>
      <c r="F1280">
        <v>900794</v>
      </c>
      <c r="G1280" s="8">
        <f t="shared" si="190"/>
        <v>2672.2000000000003</v>
      </c>
      <c r="H1280" s="9">
        <f t="shared" si="191"/>
        <v>2407101726.8000002</v>
      </c>
      <c r="I1280" s="9">
        <f t="shared" si="194"/>
        <v>35161716185.000008</v>
      </c>
      <c r="J1280" s="9">
        <f t="shared" si="195"/>
        <v>13829863</v>
      </c>
      <c r="K1280" s="21">
        <f t="shared" si="196"/>
        <v>2542.4486262083728</v>
      </c>
      <c r="L1280" s="4" t="str">
        <f t="shared" si="192"/>
        <v>BUY</v>
      </c>
      <c r="M1280" s="4">
        <f t="shared" si="197"/>
        <v>0</v>
      </c>
      <c r="N1280" s="4">
        <f t="shared" si="193"/>
        <v>1</v>
      </c>
      <c r="O1280" s="4">
        <f t="shared" si="198"/>
        <v>2538.75</v>
      </c>
      <c r="P1280" s="4">
        <f t="shared" si="199"/>
        <v>0</v>
      </c>
    </row>
    <row r="1281" spans="1:16" x14ac:dyDescent="0.25">
      <c r="A1281" s="1">
        <v>43069</v>
      </c>
      <c r="B1281">
        <v>2671</v>
      </c>
      <c r="C1281">
        <v>2722</v>
      </c>
      <c r="D1281">
        <v>2671</v>
      </c>
      <c r="E1281" s="7">
        <v>2696.65</v>
      </c>
      <c r="F1281">
        <v>807446</v>
      </c>
      <c r="G1281" s="8">
        <f t="shared" si="190"/>
        <v>2696.5499999999997</v>
      </c>
      <c r="H1281" s="9">
        <f t="shared" si="191"/>
        <v>2177318511.2999997</v>
      </c>
      <c r="I1281" s="9">
        <f t="shared" si="194"/>
        <v>34589680945.900002</v>
      </c>
      <c r="J1281" s="9">
        <f t="shared" si="195"/>
        <v>13569101</v>
      </c>
      <c r="K1281" s="21">
        <f t="shared" si="196"/>
        <v>2549.1505255875095</v>
      </c>
      <c r="L1281" s="4" t="str">
        <f t="shared" si="192"/>
        <v>BUY</v>
      </c>
      <c r="M1281" s="4">
        <f t="shared" si="197"/>
        <v>0</v>
      </c>
      <c r="N1281" s="4">
        <f t="shared" si="193"/>
        <v>1</v>
      </c>
      <c r="O1281" s="4">
        <f t="shared" si="198"/>
        <v>2538.75</v>
      </c>
      <c r="P1281" s="4">
        <f t="shared" si="199"/>
        <v>0</v>
      </c>
    </row>
    <row r="1282" spans="1:16" x14ac:dyDescent="0.25">
      <c r="A1282" s="1">
        <v>43070</v>
      </c>
      <c r="B1282">
        <v>2694</v>
      </c>
      <c r="C1282">
        <v>2730</v>
      </c>
      <c r="D1282">
        <v>2679</v>
      </c>
      <c r="E1282" s="7">
        <v>2704.75</v>
      </c>
      <c r="F1282">
        <v>1099961</v>
      </c>
      <c r="G1282" s="8">
        <f t="shared" ref="G1282:G1345" si="200">AVERAGE(C1282:E1282)</f>
        <v>2704.5833333333335</v>
      </c>
      <c r="H1282" s="9">
        <f t="shared" si="191"/>
        <v>2974936187.916667</v>
      </c>
      <c r="I1282" s="9">
        <f t="shared" si="194"/>
        <v>34940699229.816666</v>
      </c>
      <c r="J1282" s="9">
        <f t="shared" si="195"/>
        <v>13630846</v>
      </c>
      <c r="K1282" s="21">
        <f t="shared" si="196"/>
        <v>2563.3551453678419</v>
      </c>
      <c r="L1282" s="4" t="str">
        <f t="shared" si="192"/>
        <v>BUY</v>
      </c>
      <c r="M1282" s="4">
        <f t="shared" si="197"/>
        <v>0</v>
      </c>
      <c r="N1282" s="4">
        <f t="shared" si="193"/>
        <v>1</v>
      </c>
      <c r="O1282" s="4">
        <f t="shared" si="198"/>
        <v>2538.75</v>
      </c>
      <c r="P1282" s="4">
        <f t="shared" si="199"/>
        <v>0</v>
      </c>
    </row>
    <row r="1283" spans="1:16" x14ac:dyDescent="0.25">
      <c r="A1283" s="1">
        <v>43073</v>
      </c>
      <c r="B1283">
        <v>2710</v>
      </c>
      <c r="C1283">
        <v>2722</v>
      </c>
      <c r="D1283">
        <v>2667.85</v>
      </c>
      <c r="E1283" s="7">
        <v>2672.2</v>
      </c>
      <c r="F1283">
        <v>883997</v>
      </c>
      <c r="G1283" s="8">
        <f t="shared" si="200"/>
        <v>2687.35</v>
      </c>
      <c r="H1283" s="9">
        <f t="shared" ref="H1283:H1346" si="201">G1283*F1283</f>
        <v>2375609337.9499998</v>
      </c>
      <c r="I1283" s="9">
        <f t="shared" si="194"/>
        <v>32630555364.166672</v>
      </c>
      <c r="J1283" s="9">
        <f t="shared" si="195"/>
        <v>12615316</v>
      </c>
      <c r="K1283" s="21">
        <f t="shared" si="196"/>
        <v>2586.5824814984162</v>
      </c>
      <c r="L1283" s="4" t="str">
        <f t="shared" si="192"/>
        <v>BUY</v>
      </c>
      <c r="M1283" s="4">
        <f t="shared" si="197"/>
        <v>0</v>
      </c>
      <c r="N1283" s="4">
        <f t="shared" si="193"/>
        <v>1</v>
      </c>
      <c r="O1283" s="4">
        <f t="shared" si="198"/>
        <v>2538.75</v>
      </c>
      <c r="P1283" s="4">
        <f t="shared" si="199"/>
        <v>0</v>
      </c>
    </row>
    <row r="1284" spans="1:16" x14ac:dyDescent="0.25">
      <c r="A1284" s="1">
        <v>43074</v>
      </c>
      <c r="B1284">
        <v>2679</v>
      </c>
      <c r="C1284">
        <v>2692.75</v>
      </c>
      <c r="D1284">
        <v>2625.35</v>
      </c>
      <c r="E1284" s="7">
        <v>2656.45</v>
      </c>
      <c r="F1284">
        <v>995997</v>
      </c>
      <c r="G1284" s="8">
        <f t="shared" si="200"/>
        <v>2658.1833333333334</v>
      </c>
      <c r="H1284" s="9">
        <f t="shared" si="201"/>
        <v>2647542625.4500003</v>
      </c>
      <c r="I1284" s="9">
        <f t="shared" si="194"/>
        <v>31657895876.816669</v>
      </c>
      <c r="J1284" s="9">
        <f t="shared" si="195"/>
        <v>12142552</v>
      </c>
      <c r="K1284" s="21">
        <f t="shared" si="196"/>
        <v>2607.1863539737501</v>
      </c>
      <c r="L1284" s="4" t="str">
        <f t="shared" si="192"/>
        <v>BUY</v>
      </c>
      <c r="M1284" s="4">
        <f t="shared" si="197"/>
        <v>0</v>
      </c>
      <c r="N1284" s="4">
        <f t="shared" si="193"/>
        <v>1</v>
      </c>
      <c r="O1284" s="4">
        <f t="shared" si="198"/>
        <v>2538.75</v>
      </c>
      <c r="P1284" s="4">
        <f t="shared" si="199"/>
        <v>0</v>
      </c>
    </row>
    <row r="1285" spans="1:16" x14ac:dyDescent="0.25">
      <c r="A1285" s="1">
        <v>43075</v>
      </c>
      <c r="B1285">
        <v>2659.45</v>
      </c>
      <c r="C1285">
        <v>2675.75</v>
      </c>
      <c r="D1285">
        <v>2616.3000000000002</v>
      </c>
      <c r="E1285" s="7">
        <v>2662.35</v>
      </c>
      <c r="F1285">
        <v>1438688</v>
      </c>
      <c r="G1285" s="8">
        <f t="shared" si="200"/>
        <v>2651.4666666666667</v>
      </c>
      <c r="H1285" s="9">
        <f t="shared" si="201"/>
        <v>3814633275.7333336</v>
      </c>
      <c r="I1285" s="9">
        <f t="shared" si="194"/>
        <v>31645077682.383335</v>
      </c>
      <c r="J1285" s="9">
        <f t="shared" si="195"/>
        <v>12027250</v>
      </c>
      <c r="K1285" s="21">
        <f t="shared" si="196"/>
        <v>2631.1149832574642</v>
      </c>
      <c r="L1285" s="4" t="str">
        <f t="shared" si="192"/>
        <v>BUY</v>
      </c>
      <c r="M1285" s="4">
        <f t="shared" si="197"/>
        <v>0</v>
      </c>
      <c r="N1285" s="4">
        <f t="shared" si="193"/>
        <v>1</v>
      </c>
      <c r="O1285" s="4">
        <f t="shared" si="198"/>
        <v>2538.75</v>
      </c>
      <c r="P1285" s="4">
        <f t="shared" si="199"/>
        <v>0</v>
      </c>
    </row>
    <row r="1286" spans="1:16" x14ac:dyDescent="0.25">
      <c r="A1286" s="1">
        <v>43076</v>
      </c>
      <c r="B1286">
        <v>2677</v>
      </c>
      <c r="C1286">
        <v>2687.1</v>
      </c>
      <c r="D1286">
        <v>2643</v>
      </c>
      <c r="E1286" s="7">
        <v>2675.25</v>
      </c>
      <c r="F1286">
        <v>589498</v>
      </c>
      <c r="G1286" s="8">
        <f t="shared" si="200"/>
        <v>2668.4500000000003</v>
      </c>
      <c r="H1286" s="9">
        <f t="shared" si="201"/>
        <v>1573045938.1000001</v>
      </c>
      <c r="I1286" s="9">
        <f t="shared" si="194"/>
        <v>27987815830.400002</v>
      </c>
      <c r="J1286" s="9">
        <f t="shared" si="195"/>
        <v>10537585</v>
      </c>
      <c r="K1286" s="21">
        <f t="shared" si="196"/>
        <v>2655.9990576968062</v>
      </c>
      <c r="L1286" s="4" t="str">
        <f t="shared" si="192"/>
        <v>BUY</v>
      </c>
      <c r="M1286" s="4">
        <f t="shared" si="197"/>
        <v>0</v>
      </c>
      <c r="N1286" s="4">
        <f t="shared" si="193"/>
        <v>1</v>
      </c>
      <c r="O1286" s="4">
        <f t="shared" si="198"/>
        <v>2538.75</v>
      </c>
      <c r="P1286" s="4">
        <f t="shared" si="199"/>
        <v>0</v>
      </c>
    </row>
    <row r="1287" spans="1:16" x14ac:dyDescent="0.25">
      <c r="A1287" s="1">
        <v>43077</v>
      </c>
      <c r="B1287">
        <v>2679.7</v>
      </c>
      <c r="C1287">
        <v>2708.95</v>
      </c>
      <c r="D1287">
        <v>2652.55</v>
      </c>
      <c r="E1287" s="7">
        <v>2669.4</v>
      </c>
      <c r="F1287">
        <v>1088019</v>
      </c>
      <c r="G1287" s="8">
        <f t="shared" si="200"/>
        <v>2676.9666666666667</v>
      </c>
      <c r="H1287" s="9">
        <f t="shared" si="201"/>
        <v>2912590595.6999998</v>
      </c>
      <c r="I1287" s="9">
        <f t="shared" si="194"/>
        <v>27852389885.833336</v>
      </c>
      <c r="J1287" s="9">
        <f t="shared" si="195"/>
        <v>10443408</v>
      </c>
      <c r="K1287" s="21">
        <f t="shared" si="196"/>
        <v>2666.9828360467518</v>
      </c>
      <c r="L1287" s="4" t="str">
        <f t="shared" si="192"/>
        <v>BUY</v>
      </c>
      <c r="M1287" s="4">
        <f t="shared" si="197"/>
        <v>0</v>
      </c>
      <c r="N1287" s="4">
        <f t="shared" si="193"/>
        <v>1</v>
      </c>
      <c r="O1287" s="4">
        <f t="shared" si="198"/>
        <v>2538.75</v>
      </c>
      <c r="P1287" s="4">
        <f t="shared" si="199"/>
        <v>0</v>
      </c>
    </row>
    <row r="1288" spans="1:16" x14ac:dyDescent="0.25">
      <c r="A1288" s="1">
        <v>43080</v>
      </c>
      <c r="B1288">
        <v>2682</v>
      </c>
      <c r="C1288">
        <v>2790</v>
      </c>
      <c r="D1288">
        <v>2676.15</v>
      </c>
      <c r="E1288" s="7">
        <v>2776</v>
      </c>
      <c r="F1288">
        <v>1712154</v>
      </c>
      <c r="G1288" s="8">
        <f t="shared" si="200"/>
        <v>2747.3833333333332</v>
      </c>
      <c r="H1288" s="9">
        <f t="shared" si="201"/>
        <v>4703943363.6999998</v>
      </c>
      <c r="I1288" s="9">
        <f t="shared" si="194"/>
        <v>29078852613.76667</v>
      </c>
      <c r="J1288" s="9">
        <f t="shared" si="195"/>
        <v>10825555</v>
      </c>
      <c r="K1288" s="21">
        <f t="shared" si="196"/>
        <v>2686.1304213748554</v>
      </c>
      <c r="L1288" s="4" t="str">
        <f t="shared" si="192"/>
        <v>BUY</v>
      </c>
      <c r="M1288" s="4">
        <f t="shared" si="197"/>
        <v>0</v>
      </c>
      <c r="N1288" s="4">
        <f t="shared" si="193"/>
        <v>1</v>
      </c>
      <c r="O1288" s="4">
        <f t="shared" si="198"/>
        <v>2538.75</v>
      </c>
      <c r="P1288" s="4">
        <f t="shared" si="199"/>
        <v>0</v>
      </c>
    </row>
    <row r="1289" spans="1:16" x14ac:dyDescent="0.25">
      <c r="A1289" s="1">
        <v>43081</v>
      </c>
      <c r="B1289">
        <v>2788</v>
      </c>
      <c r="C1289">
        <v>2812.1</v>
      </c>
      <c r="D1289">
        <v>2715.65</v>
      </c>
      <c r="E1289" s="7">
        <v>2746</v>
      </c>
      <c r="F1289">
        <v>1931497</v>
      </c>
      <c r="G1289" s="8">
        <f t="shared" si="200"/>
        <v>2757.9166666666665</v>
      </c>
      <c r="H1289" s="9">
        <f t="shared" si="201"/>
        <v>5326907767.916666</v>
      </c>
      <c r="I1289" s="9">
        <f t="shared" si="194"/>
        <v>30913629330.566666</v>
      </c>
      <c r="J1289" s="9">
        <f t="shared" si="195"/>
        <v>11448051</v>
      </c>
      <c r="K1289" s="21">
        <f t="shared" si="196"/>
        <v>2700.3399382625626</v>
      </c>
      <c r="L1289" s="4" t="str">
        <f t="shared" si="192"/>
        <v>BUY</v>
      </c>
      <c r="M1289" s="4">
        <f t="shared" si="197"/>
        <v>0</v>
      </c>
      <c r="N1289" s="4">
        <f t="shared" si="193"/>
        <v>1</v>
      </c>
      <c r="O1289" s="4">
        <f t="shared" si="198"/>
        <v>2538.75</v>
      </c>
      <c r="P1289" s="4">
        <f t="shared" si="199"/>
        <v>0</v>
      </c>
    </row>
    <row r="1290" spans="1:16" x14ac:dyDescent="0.25">
      <c r="A1290" s="1">
        <v>43082</v>
      </c>
      <c r="B1290">
        <v>2750</v>
      </c>
      <c r="C1290">
        <v>2770.7</v>
      </c>
      <c r="D1290">
        <v>2681.05</v>
      </c>
      <c r="E1290" s="7">
        <v>2696.45</v>
      </c>
      <c r="F1290">
        <v>1086757</v>
      </c>
      <c r="G1290" s="8">
        <f t="shared" si="200"/>
        <v>2716.0666666666666</v>
      </c>
      <c r="H1290" s="9">
        <f t="shared" si="201"/>
        <v>2951704462.4666667</v>
      </c>
      <c r="I1290" s="9">
        <f t="shared" si="194"/>
        <v>31458232066.233337</v>
      </c>
      <c r="J1290" s="9">
        <f t="shared" si="195"/>
        <v>11634014</v>
      </c>
      <c r="K1290" s="21">
        <f t="shared" si="196"/>
        <v>2703.9878124810007</v>
      </c>
      <c r="L1290" s="4" t="str">
        <f t="shared" si="192"/>
        <v>SELL</v>
      </c>
      <c r="M1290" s="4" t="str">
        <f t="shared" si="197"/>
        <v>SELL</v>
      </c>
      <c r="N1290" s="4">
        <f t="shared" si="193"/>
        <v>-1</v>
      </c>
      <c r="O1290" s="4">
        <f t="shared" si="198"/>
        <v>2696.45</v>
      </c>
      <c r="P1290" s="4">
        <f t="shared" si="199"/>
        <v>6.2117183653372654E-2</v>
      </c>
    </row>
    <row r="1291" spans="1:16" x14ac:dyDescent="0.25">
      <c r="A1291" s="1">
        <v>43083</v>
      </c>
      <c r="B1291">
        <v>2640</v>
      </c>
      <c r="C1291">
        <v>2679.8</v>
      </c>
      <c r="D1291">
        <v>2610</v>
      </c>
      <c r="E1291" s="7">
        <v>2646.8</v>
      </c>
      <c r="F1291">
        <v>1441587</v>
      </c>
      <c r="G1291" s="8">
        <f t="shared" si="200"/>
        <v>2645.5333333333333</v>
      </c>
      <c r="H1291" s="9">
        <f t="shared" si="201"/>
        <v>3813766461.4000001</v>
      </c>
      <c r="I1291" s="9">
        <f t="shared" si="194"/>
        <v>33094680016.333336</v>
      </c>
      <c r="J1291" s="9">
        <f t="shared" si="195"/>
        <v>12268155</v>
      </c>
      <c r="K1291" s="21">
        <f t="shared" si="196"/>
        <v>2697.608565944377</v>
      </c>
      <c r="L1291" s="4" t="str">
        <f t="shared" ref="L1291:L1354" si="202">IF(E1291&gt;K1291,"BUY",IF(E1291&lt;K1291,"SELL",0))</f>
        <v>SELL</v>
      </c>
      <c r="M1291" s="4">
        <f t="shared" si="197"/>
        <v>0</v>
      </c>
      <c r="N1291" s="4">
        <f t="shared" ref="N1291:N1354" si="203">IF(M1291="BUY",1,IF(M1291="SELL",-1,N1290))</f>
        <v>-1</v>
      </c>
      <c r="O1291" s="4">
        <f t="shared" si="198"/>
        <v>2696.45</v>
      </c>
      <c r="P1291" s="4">
        <f t="shared" si="199"/>
        <v>0</v>
      </c>
    </row>
    <row r="1292" spans="1:16" x14ac:dyDescent="0.25">
      <c r="A1292" s="1">
        <v>43084</v>
      </c>
      <c r="B1292">
        <v>2648.9</v>
      </c>
      <c r="C1292">
        <v>2678.25</v>
      </c>
      <c r="D1292">
        <v>2595.25</v>
      </c>
      <c r="E1292" s="7">
        <v>2642.7</v>
      </c>
      <c r="F1292">
        <v>1518526</v>
      </c>
      <c r="G1292" s="8">
        <f t="shared" si="200"/>
        <v>2638.7333333333331</v>
      </c>
      <c r="H1292" s="9">
        <f t="shared" si="201"/>
        <v>4006985173.7333331</v>
      </c>
      <c r="I1292" s="9">
        <f t="shared" ref="I1292:I1355" si="204">SUM(H1283:H1292)</f>
        <v>34126729002.150005</v>
      </c>
      <c r="J1292" s="9">
        <f t="shared" ref="J1292:J1355" si="205">SUM(F1283:F1292)</f>
        <v>12686720</v>
      </c>
      <c r="K1292" s="21">
        <f t="shared" ref="K1292:K1355" si="206">I1292/J1292</f>
        <v>2689.9568211602373</v>
      </c>
      <c r="L1292" s="4" t="str">
        <f t="shared" si="202"/>
        <v>SELL</v>
      </c>
      <c r="M1292" s="4">
        <f t="shared" ref="M1292:M1355" si="207">IF(L1292&lt;&gt;L1291,L1292,0)</f>
        <v>0</v>
      </c>
      <c r="N1292" s="4">
        <f t="shared" si="203"/>
        <v>-1</v>
      </c>
      <c r="O1292" s="4">
        <f t="shared" ref="O1292:O1355" si="208">IF(M1292&lt;&gt;0,E1292,O1291)</f>
        <v>2696.45</v>
      </c>
      <c r="P1292" s="4">
        <f t="shared" ref="P1292:P1355" si="209">IF(M1292="BUY",(O1291-O1292)/O1291,IF(M1292="SELL",(O1292-O1291)/O1291,0))</f>
        <v>0</v>
      </c>
    </row>
    <row r="1293" spans="1:16" x14ac:dyDescent="0.25">
      <c r="A1293" s="1">
        <v>43087</v>
      </c>
      <c r="B1293">
        <v>2642</v>
      </c>
      <c r="C1293">
        <v>2659.95</v>
      </c>
      <c r="D1293">
        <v>2597.8000000000002</v>
      </c>
      <c r="E1293" s="7">
        <v>2606.5500000000002</v>
      </c>
      <c r="F1293">
        <v>1120100</v>
      </c>
      <c r="G1293" s="8">
        <f t="shared" si="200"/>
        <v>2621.4333333333334</v>
      </c>
      <c r="H1293" s="9">
        <f t="shared" si="201"/>
        <v>2936267476.6666665</v>
      </c>
      <c r="I1293" s="9">
        <f t="shared" si="204"/>
        <v>34687387140.866669</v>
      </c>
      <c r="J1293" s="9">
        <f t="shared" si="205"/>
        <v>12922823</v>
      </c>
      <c r="K1293" s="21">
        <f t="shared" si="206"/>
        <v>2684.1957938189412</v>
      </c>
      <c r="L1293" s="4" t="str">
        <f t="shared" si="202"/>
        <v>SELL</v>
      </c>
      <c r="M1293" s="4">
        <f t="shared" si="207"/>
        <v>0</v>
      </c>
      <c r="N1293" s="4">
        <f t="shared" si="203"/>
        <v>-1</v>
      </c>
      <c r="O1293" s="4">
        <f t="shared" si="208"/>
        <v>2696.45</v>
      </c>
      <c r="P1293" s="4">
        <f t="shared" si="209"/>
        <v>0</v>
      </c>
    </row>
    <row r="1294" spans="1:16" x14ac:dyDescent="0.25">
      <c r="A1294" s="1">
        <v>43088</v>
      </c>
      <c r="B1294">
        <v>2623.9</v>
      </c>
      <c r="C1294">
        <v>2624.9</v>
      </c>
      <c r="D1294">
        <v>2590.1</v>
      </c>
      <c r="E1294" s="7">
        <v>2619.0500000000002</v>
      </c>
      <c r="F1294">
        <v>913818</v>
      </c>
      <c r="G1294" s="8">
        <f t="shared" si="200"/>
        <v>2611.35</v>
      </c>
      <c r="H1294" s="9">
        <f t="shared" si="201"/>
        <v>2386298634.2999997</v>
      </c>
      <c r="I1294" s="9">
        <f t="shared" si="204"/>
        <v>34426143149.716675</v>
      </c>
      <c r="J1294" s="9">
        <f t="shared" si="205"/>
        <v>12840644</v>
      </c>
      <c r="K1294" s="21">
        <f t="shared" si="206"/>
        <v>2681.0293276347102</v>
      </c>
      <c r="L1294" s="4" t="str">
        <f t="shared" si="202"/>
        <v>SELL</v>
      </c>
      <c r="M1294" s="4">
        <f t="shared" si="207"/>
        <v>0</v>
      </c>
      <c r="N1294" s="4">
        <f t="shared" si="203"/>
        <v>-1</v>
      </c>
      <c r="O1294" s="4">
        <f t="shared" si="208"/>
        <v>2696.45</v>
      </c>
      <c r="P1294" s="4">
        <f t="shared" si="209"/>
        <v>0</v>
      </c>
    </row>
    <row r="1295" spans="1:16" x14ac:dyDescent="0.25">
      <c r="A1295" s="1">
        <v>43089</v>
      </c>
      <c r="B1295">
        <v>2638</v>
      </c>
      <c r="C1295">
        <v>2639.95</v>
      </c>
      <c r="D1295">
        <v>2575</v>
      </c>
      <c r="E1295" s="7">
        <v>2582.35</v>
      </c>
      <c r="F1295">
        <v>793419</v>
      </c>
      <c r="G1295" s="8">
        <f t="shared" si="200"/>
        <v>2599.1</v>
      </c>
      <c r="H1295" s="9">
        <f t="shared" si="201"/>
        <v>2062175322.8999999</v>
      </c>
      <c r="I1295" s="9">
        <f t="shared" si="204"/>
        <v>32673685196.883335</v>
      </c>
      <c r="J1295" s="9">
        <f t="shared" si="205"/>
        <v>12195375</v>
      </c>
      <c r="K1295" s="21">
        <f t="shared" si="206"/>
        <v>2679.1865930226281</v>
      </c>
      <c r="L1295" s="4" t="str">
        <f t="shared" si="202"/>
        <v>SELL</v>
      </c>
      <c r="M1295" s="4">
        <f t="shared" si="207"/>
        <v>0</v>
      </c>
      <c r="N1295" s="4">
        <f t="shared" si="203"/>
        <v>-1</v>
      </c>
      <c r="O1295" s="4">
        <f t="shared" si="208"/>
        <v>2696.45</v>
      </c>
      <c r="P1295" s="4">
        <f t="shared" si="209"/>
        <v>0</v>
      </c>
    </row>
    <row r="1296" spans="1:16" x14ac:dyDescent="0.25">
      <c r="A1296" s="1">
        <v>43090</v>
      </c>
      <c r="B1296">
        <v>2585.1999999999998</v>
      </c>
      <c r="C1296">
        <v>2610</v>
      </c>
      <c r="D1296">
        <v>2552</v>
      </c>
      <c r="E1296" s="7">
        <v>2562.3000000000002</v>
      </c>
      <c r="F1296">
        <v>778148</v>
      </c>
      <c r="G1296" s="8">
        <f t="shared" si="200"/>
        <v>2574.7666666666669</v>
      </c>
      <c r="H1296" s="9">
        <f t="shared" si="201"/>
        <v>2003549532.1333334</v>
      </c>
      <c r="I1296" s="9">
        <f t="shared" si="204"/>
        <v>33104188790.916672</v>
      </c>
      <c r="J1296" s="9">
        <f t="shared" si="205"/>
        <v>12384025</v>
      </c>
      <c r="K1296" s="21">
        <f t="shared" si="206"/>
        <v>2673.1364633805788</v>
      </c>
      <c r="L1296" s="4" t="str">
        <f t="shared" si="202"/>
        <v>SELL</v>
      </c>
      <c r="M1296" s="4">
        <f t="shared" si="207"/>
        <v>0</v>
      </c>
      <c r="N1296" s="4">
        <f t="shared" si="203"/>
        <v>-1</v>
      </c>
      <c r="O1296" s="4">
        <f t="shared" si="208"/>
        <v>2696.45</v>
      </c>
      <c r="P1296" s="4">
        <f t="shared" si="209"/>
        <v>0</v>
      </c>
    </row>
    <row r="1297" spans="1:16" x14ac:dyDescent="0.25">
      <c r="A1297" s="1">
        <v>43091</v>
      </c>
      <c r="B1297">
        <v>2582.5</v>
      </c>
      <c r="C1297">
        <v>2606.6999999999998</v>
      </c>
      <c r="D1297">
        <v>2557.75</v>
      </c>
      <c r="E1297" s="7">
        <v>2583.6999999999998</v>
      </c>
      <c r="F1297">
        <v>633659</v>
      </c>
      <c r="G1297" s="8">
        <f t="shared" si="200"/>
        <v>2582.7166666666667</v>
      </c>
      <c r="H1297" s="9">
        <f t="shared" si="201"/>
        <v>1636561660.2833333</v>
      </c>
      <c r="I1297" s="9">
        <f t="shared" si="204"/>
        <v>31828159855.5</v>
      </c>
      <c r="J1297" s="9">
        <f t="shared" si="205"/>
        <v>11929665</v>
      </c>
      <c r="K1297" s="21">
        <f t="shared" si="206"/>
        <v>2667.9843780609094</v>
      </c>
      <c r="L1297" s="4" t="str">
        <f t="shared" si="202"/>
        <v>SELL</v>
      </c>
      <c r="M1297" s="4">
        <f t="shared" si="207"/>
        <v>0</v>
      </c>
      <c r="N1297" s="4">
        <f t="shared" si="203"/>
        <v>-1</v>
      </c>
      <c r="O1297" s="4">
        <f t="shared" si="208"/>
        <v>2696.45</v>
      </c>
      <c r="P1297" s="4">
        <f t="shared" si="209"/>
        <v>0</v>
      </c>
    </row>
    <row r="1298" spans="1:16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 s="7">
        <v>2559.35</v>
      </c>
      <c r="F1298">
        <v>627585</v>
      </c>
      <c r="G1298" s="8">
        <f t="shared" si="200"/>
        <v>2570.1666666666665</v>
      </c>
      <c r="H1298" s="9">
        <f t="shared" si="201"/>
        <v>1612998047.5</v>
      </c>
      <c r="I1298" s="9">
        <f t="shared" si="204"/>
        <v>28737214539.300003</v>
      </c>
      <c r="J1298" s="9">
        <f t="shared" si="205"/>
        <v>10845096</v>
      </c>
      <c r="K1298" s="21">
        <f t="shared" si="206"/>
        <v>2649.7888574983572</v>
      </c>
      <c r="L1298" s="4" t="str">
        <f t="shared" si="202"/>
        <v>SELL</v>
      </c>
      <c r="M1298" s="4">
        <f t="shared" si="207"/>
        <v>0</v>
      </c>
      <c r="N1298" s="4">
        <f t="shared" si="203"/>
        <v>-1</v>
      </c>
      <c r="O1298" s="4">
        <f t="shared" si="208"/>
        <v>2696.45</v>
      </c>
      <c r="P1298" s="4">
        <f t="shared" si="209"/>
        <v>0</v>
      </c>
    </row>
    <row r="1299" spans="1:16" x14ac:dyDescent="0.25">
      <c r="A1299" s="1">
        <v>43095</v>
      </c>
      <c r="B1299">
        <v>2576</v>
      </c>
      <c r="C1299">
        <v>2605.85</v>
      </c>
      <c r="D1299">
        <v>2568.1</v>
      </c>
      <c r="E1299" s="7">
        <v>2596.25</v>
      </c>
      <c r="F1299">
        <v>1224482</v>
      </c>
      <c r="G1299" s="8">
        <f t="shared" si="200"/>
        <v>2590.0666666666666</v>
      </c>
      <c r="H1299" s="9">
        <f t="shared" si="201"/>
        <v>3171490012.1333332</v>
      </c>
      <c r="I1299" s="9">
        <f t="shared" si="204"/>
        <v>26581796783.51667</v>
      </c>
      <c r="J1299" s="9">
        <f t="shared" si="205"/>
        <v>10138081</v>
      </c>
      <c r="K1299" s="21">
        <f t="shared" si="206"/>
        <v>2621.9751828296371</v>
      </c>
      <c r="L1299" s="4" t="str">
        <f t="shared" si="202"/>
        <v>SELL</v>
      </c>
      <c r="M1299" s="4">
        <f t="shared" si="207"/>
        <v>0</v>
      </c>
      <c r="N1299" s="4">
        <f t="shared" si="203"/>
        <v>-1</v>
      </c>
      <c r="O1299" s="4">
        <f t="shared" si="208"/>
        <v>2696.45</v>
      </c>
      <c r="P1299" s="4">
        <f t="shared" si="209"/>
        <v>0</v>
      </c>
    </row>
    <row r="1300" spans="1:16" x14ac:dyDescent="0.25">
      <c r="A1300" s="1">
        <v>43096</v>
      </c>
      <c r="B1300">
        <v>2596</v>
      </c>
      <c r="C1300">
        <v>2618</v>
      </c>
      <c r="D1300">
        <v>2578.85</v>
      </c>
      <c r="E1300" s="7">
        <v>2610.9499999999998</v>
      </c>
      <c r="F1300">
        <v>981954</v>
      </c>
      <c r="G1300" s="8">
        <f t="shared" si="200"/>
        <v>2602.6</v>
      </c>
      <c r="H1300" s="9">
        <f t="shared" si="201"/>
        <v>2555633480.4000001</v>
      </c>
      <c r="I1300" s="9">
        <f t="shared" si="204"/>
        <v>26185725801.449997</v>
      </c>
      <c r="J1300" s="9">
        <f t="shared" si="205"/>
        <v>10033278</v>
      </c>
      <c r="K1300" s="21">
        <f t="shared" si="206"/>
        <v>2609.8873968657099</v>
      </c>
      <c r="L1300" s="4" t="str">
        <f t="shared" si="202"/>
        <v>BUY</v>
      </c>
      <c r="M1300" s="4" t="str">
        <f t="shared" si="207"/>
        <v>BUY</v>
      </c>
      <c r="N1300" s="4">
        <f t="shared" si="203"/>
        <v>1</v>
      </c>
      <c r="O1300" s="4">
        <f t="shared" si="208"/>
        <v>2610.9499999999998</v>
      </c>
      <c r="P1300" s="4">
        <f t="shared" si="209"/>
        <v>3.1708357284577875E-2</v>
      </c>
    </row>
    <row r="1301" spans="1:16" x14ac:dyDescent="0.25">
      <c r="A1301" s="1">
        <v>43097</v>
      </c>
      <c r="B1301">
        <v>2616</v>
      </c>
      <c r="C1301">
        <v>2631</v>
      </c>
      <c r="D1301">
        <v>2606</v>
      </c>
      <c r="E1301" s="7">
        <v>2617.15</v>
      </c>
      <c r="F1301">
        <v>783304</v>
      </c>
      <c r="G1301" s="8">
        <f t="shared" si="200"/>
        <v>2618.0499999999997</v>
      </c>
      <c r="H1301" s="9">
        <f t="shared" si="201"/>
        <v>2050729037.1999998</v>
      </c>
      <c r="I1301" s="9">
        <f t="shared" si="204"/>
        <v>24422688377.25</v>
      </c>
      <c r="J1301" s="9">
        <f t="shared" si="205"/>
        <v>9374995</v>
      </c>
      <c r="K1301" s="21">
        <f t="shared" si="206"/>
        <v>2605.0881496203465</v>
      </c>
      <c r="L1301" s="4" t="str">
        <f t="shared" si="202"/>
        <v>BUY</v>
      </c>
      <c r="M1301" s="4">
        <f t="shared" si="207"/>
        <v>0</v>
      </c>
      <c r="N1301" s="4">
        <f t="shared" si="203"/>
        <v>1</v>
      </c>
      <c r="O1301" s="4">
        <f t="shared" si="208"/>
        <v>2610.9499999999998</v>
      </c>
      <c r="P1301" s="4">
        <f t="shared" si="209"/>
        <v>0</v>
      </c>
    </row>
    <row r="1302" spans="1:16" x14ac:dyDescent="0.25">
      <c r="A1302" s="1">
        <v>43098</v>
      </c>
      <c r="B1302">
        <v>2630</v>
      </c>
      <c r="C1302">
        <v>2637</v>
      </c>
      <c r="D1302">
        <v>2582.1</v>
      </c>
      <c r="E1302" s="7">
        <v>2591.3000000000002</v>
      </c>
      <c r="F1302">
        <v>1197439</v>
      </c>
      <c r="G1302" s="8">
        <f t="shared" si="200"/>
        <v>2603.4666666666667</v>
      </c>
      <c r="H1302" s="9">
        <f t="shared" si="201"/>
        <v>3117492521.8666668</v>
      </c>
      <c r="I1302" s="9">
        <f t="shared" si="204"/>
        <v>23533195725.383331</v>
      </c>
      <c r="J1302" s="9">
        <f t="shared" si="205"/>
        <v>9053908</v>
      </c>
      <c r="K1302" s="21">
        <f t="shared" si="206"/>
        <v>2599.2307106923695</v>
      </c>
      <c r="L1302" s="4" t="str">
        <f t="shared" si="202"/>
        <v>SELL</v>
      </c>
      <c r="M1302" s="4" t="str">
        <f t="shared" si="207"/>
        <v>SELL</v>
      </c>
      <c r="N1302" s="4">
        <f t="shared" si="203"/>
        <v>-1</v>
      </c>
      <c r="O1302" s="4">
        <f t="shared" si="208"/>
        <v>2591.3000000000002</v>
      </c>
      <c r="P1302" s="4">
        <f t="shared" si="209"/>
        <v>-7.5259962848770135E-3</v>
      </c>
    </row>
    <row r="1303" spans="1:16" x14ac:dyDescent="0.25">
      <c r="A1303" s="1">
        <v>43101</v>
      </c>
      <c r="B1303">
        <v>2591.4</v>
      </c>
      <c r="C1303">
        <v>2614</v>
      </c>
      <c r="D1303">
        <v>2545.1999999999998</v>
      </c>
      <c r="E1303" s="7">
        <v>2573.75</v>
      </c>
      <c r="F1303">
        <v>1112429</v>
      </c>
      <c r="G1303" s="8">
        <f t="shared" si="200"/>
        <v>2577.65</v>
      </c>
      <c r="H1303" s="9">
        <f t="shared" si="201"/>
        <v>2867452611.8499999</v>
      </c>
      <c r="I1303" s="9">
        <f t="shared" si="204"/>
        <v>23464380860.566666</v>
      </c>
      <c r="J1303" s="9">
        <f t="shared" si="205"/>
        <v>9046237</v>
      </c>
      <c r="K1303" s="21">
        <f t="shared" si="206"/>
        <v>2593.8277828191617</v>
      </c>
      <c r="L1303" s="4" t="str">
        <f t="shared" si="202"/>
        <v>SELL</v>
      </c>
      <c r="M1303" s="4">
        <f t="shared" si="207"/>
        <v>0</v>
      </c>
      <c r="N1303" s="4">
        <f t="shared" si="203"/>
        <v>-1</v>
      </c>
      <c r="O1303" s="4">
        <f t="shared" si="208"/>
        <v>2591.3000000000002</v>
      </c>
      <c r="P1303" s="4">
        <f t="shared" si="209"/>
        <v>0</v>
      </c>
    </row>
    <row r="1304" spans="1:16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 s="7">
        <v>2513.1</v>
      </c>
      <c r="F1304">
        <v>1545821</v>
      </c>
      <c r="G1304" s="8">
        <f t="shared" si="200"/>
        <v>2533.6</v>
      </c>
      <c r="H1304" s="9">
        <f t="shared" si="201"/>
        <v>3916492085.5999999</v>
      </c>
      <c r="I1304" s="9">
        <f t="shared" si="204"/>
        <v>24994574311.866661</v>
      </c>
      <c r="J1304" s="9">
        <f t="shared" si="205"/>
        <v>9678240</v>
      </c>
      <c r="K1304" s="21">
        <f t="shared" si="206"/>
        <v>2582.5536783409648</v>
      </c>
      <c r="L1304" s="4" t="str">
        <f t="shared" si="202"/>
        <v>SELL</v>
      </c>
      <c r="M1304" s="4">
        <f t="shared" si="207"/>
        <v>0</v>
      </c>
      <c r="N1304" s="4">
        <f t="shared" si="203"/>
        <v>-1</v>
      </c>
      <c r="O1304" s="4">
        <f t="shared" si="208"/>
        <v>2591.3000000000002</v>
      </c>
      <c r="P1304" s="4">
        <f t="shared" si="209"/>
        <v>0</v>
      </c>
    </row>
    <row r="1305" spans="1:16" x14ac:dyDescent="0.25">
      <c r="A1305" s="1">
        <v>43103</v>
      </c>
      <c r="B1305">
        <v>2531</v>
      </c>
      <c r="C1305">
        <v>2571.9</v>
      </c>
      <c r="D1305">
        <v>2504.1</v>
      </c>
      <c r="E1305" s="7">
        <v>2514.8000000000002</v>
      </c>
      <c r="F1305">
        <v>1375888</v>
      </c>
      <c r="G1305" s="8">
        <f t="shared" si="200"/>
        <v>2530.2666666666669</v>
      </c>
      <c r="H1305" s="9">
        <f t="shared" si="201"/>
        <v>3481363543.4666672</v>
      </c>
      <c r="I1305" s="9">
        <f t="shared" si="204"/>
        <v>26413762532.433334</v>
      </c>
      <c r="J1305" s="9">
        <f t="shared" si="205"/>
        <v>10260709</v>
      </c>
      <c r="K1305" s="21">
        <f t="shared" si="206"/>
        <v>2574.2629025375668</v>
      </c>
      <c r="L1305" s="4" t="str">
        <f t="shared" si="202"/>
        <v>SELL</v>
      </c>
      <c r="M1305" s="4">
        <f t="shared" si="207"/>
        <v>0</v>
      </c>
      <c r="N1305" s="4">
        <f t="shared" si="203"/>
        <v>-1</v>
      </c>
      <c r="O1305" s="4">
        <f t="shared" si="208"/>
        <v>2591.3000000000002</v>
      </c>
      <c r="P1305" s="4">
        <f t="shared" si="209"/>
        <v>0</v>
      </c>
    </row>
    <row r="1306" spans="1:16" x14ac:dyDescent="0.25">
      <c r="A1306" s="1">
        <v>43104</v>
      </c>
      <c r="B1306">
        <v>2525</v>
      </c>
      <c r="C1306">
        <v>2569.9</v>
      </c>
      <c r="D1306">
        <v>2520</v>
      </c>
      <c r="E1306" s="7">
        <v>2564.15</v>
      </c>
      <c r="F1306">
        <v>669503</v>
      </c>
      <c r="G1306" s="8">
        <f t="shared" si="200"/>
        <v>2551.35</v>
      </c>
      <c r="H1306" s="9">
        <f t="shared" si="201"/>
        <v>1708136479.05</v>
      </c>
      <c r="I1306" s="9">
        <f t="shared" si="204"/>
        <v>26118349479.349998</v>
      </c>
      <c r="J1306" s="9">
        <f t="shared" si="205"/>
        <v>10152064</v>
      </c>
      <c r="K1306" s="21">
        <f t="shared" si="206"/>
        <v>2572.7132413024583</v>
      </c>
      <c r="L1306" s="4" t="str">
        <f t="shared" si="202"/>
        <v>SELL</v>
      </c>
      <c r="M1306" s="4">
        <f t="shared" si="207"/>
        <v>0</v>
      </c>
      <c r="N1306" s="4">
        <f t="shared" si="203"/>
        <v>-1</v>
      </c>
      <c r="O1306" s="4">
        <f t="shared" si="208"/>
        <v>2591.3000000000002</v>
      </c>
      <c r="P1306" s="4">
        <f t="shared" si="209"/>
        <v>0</v>
      </c>
    </row>
    <row r="1307" spans="1:16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 s="7">
        <v>2553.9499999999998</v>
      </c>
      <c r="F1307">
        <v>1213514</v>
      </c>
      <c r="G1307" s="8">
        <f t="shared" si="200"/>
        <v>2548.1333333333332</v>
      </c>
      <c r="H1307" s="9">
        <f t="shared" si="201"/>
        <v>3092195473.8666663</v>
      </c>
      <c r="I1307" s="9">
        <f t="shared" si="204"/>
        <v>27573983292.933331</v>
      </c>
      <c r="J1307" s="9">
        <f t="shared" si="205"/>
        <v>10731919</v>
      </c>
      <c r="K1307" s="21">
        <f t="shared" si="206"/>
        <v>2569.3432174556415</v>
      </c>
      <c r="L1307" s="4" t="str">
        <f t="shared" si="202"/>
        <v>SELL</v>
      </c>
      <c r="M1307" s="4">
        <f t="shared" si="207"/>
        <v>0</v>
      </c>
      <c r="N1307" s="4">
        <f t="shared" si="203"/>
        <v>-1</v>
      </c>
      <c r="O1307" s="4">
        <f t="shared" si="208"/>
        <v>2591.3000000000002</v>
      </c>
      <c r="P1307" s="4">
        <f t="shared" si="209"/>
        <v>0</v>
      </c>
    </row>
    <row r="1308" spans="1:16" x14ac:dyDescent="0.25">
      <c r="A1308" s="1">
        <v>43108</v>
      </c>
      <c r="B1308">
        <v>2558</v>
      </c>
      <c r="C1308">
        <v>2563.6</v>
      </c>
      <c r="D1308">
        <v>2522.25</v>
      </c>
      <c r="E1308" s="7">
        <v>2542.65</v>
      </c>
      <c r="F1308">
        <v>1037879</v>
      </c>
      <c r="G1308" s="8">
        <f t="shared" si="200"/>
        <v>2542.8333333333335</v>
      </c>
      <c r="H1308" s="9">
        <f t="shared" si="201"/>
        <v>2639153317.166667</v>
      </c>
      <c r="I1308" s="9">
        <f t="shared" si="204"/>
        <v>28600138562.599998</v>
      </c>
      <c r="J1308" s="9">
        <f t="shared" si="205"/>
        <v>11142213</v>
      </c>
      <c r="K1308" s="21">
        <f t="shared" si="206"/>
        <v>2566.8274841452053</v>
      </c>
      <c r="L1308" s="4" t="str">
        <f t="shared" si="202"/>
        <v>SELL</v>
      </c>
      <c r="M1308" s="4">
        <f t="shared" si="207"/>
        <v>0</v>
      </c>
      <c r="N1308" s="4">
        <f t="shared" si="203"/>
        <v>-1</v>
      </c>
      <c r="O1308" s="4">
        <f t="shared" si="208"/>
        <v>2591.3000000000002</v>
      </c>
      <c r="P1308" s="4">
        <f t="shared" si="209"/>
        <v>0</v>
      </c>
    </row>
    <row r="1309" spans="1:16" x14ac:dyDescent="0.25">
      <c r="A1309" s="1">
        <v>43109</v>
      </c>
      <c r="B1309">
        <v>2558</v>
      </c>
      <c r="C1309">
        <v>2562.9</v>
      </c>
      <c r="D1309">
        <v>2500.1</v>
      </c>
      <c r="E1309" s="7">
        <v>2547.3000000000002</v>
      </c>
      <c r="F1309">
        <v>784271</v>
      </c>
      <c r="G1309" s="8">
        <f t="shared" si="200"/>
        <v>2536.7666666666669</v>
      </c>
      <c r="H1309" s="9">
        <f t="shared" si="201"/>
        <v>1989512530.4333334</v>
      </c>
      <c r="I1309" s="9">
        <f t="shared" si="204"/>
        <v>27418161080.900002</v>
      </c>
      <c r="J1309" s="9">
        <f t="shared" si="205"/>
        <v>10702002</v>
      </c>
      <c r="K1309" s="21">
        <f t="shared" si="206"/>
        <v>2561.9656098830856</v>
      </c>
      <c r="L1309" s="4" t="str">
        <f t="shared" si="202"/>
        <v>SELL</v>
      </c>
      <c r="M1309" s="4">
        <f t="shared" si="207"/>
        <v>0</v>
      </c>
      <c r="N1309" s="4">
        <f t="shared" si="203"/>
        <v>-1</v>
      </c>
      <c r="O1309" s="4">
        <f t="shared" si="208"/>
        <v>2591.3000000000002</v>
      </c>
      <c r="P1309" s="4">
        <f t="shared" si="209"/>
        <v>0</v>
      </c>
    </row>
    <row r="1310" spans="1:16" x14ac:dyDescent="0.25">
      <c r="A1310" s="1">
        <v>43110</v>
      </c>
      <c r="B1310">
        <v>2562.4499999999998</v>
      </c>
      <c r="C1310">
        <v>2599</v>
      </c>
      <c r="D1310">
        <v>2544</v>
      </c>
      <c r="E1310" s="7">
        <v>2585</v>
      </c>
      <c r="F1310">
        <v>943461</v>
      </c>
      <c r="G1310" s="8">
        <f t="shared" si="200"/>
        <v>2576</v>
      </c>
      <c r="H1310" s="9">
        <f t="shared" si="201"/>
        <v>2430355536</v>
      </c>
      <c r="I1310" s="9">
        <f t="shared" si="204"/>
        <v>27292883136.5</v>
      </c>
      <c r="J1310" s="9">
        <f t="shared" si="205"/>
        <v>10663509</v>
      </c>
      <c r="K1310" s="21">
        <f t="shared" si="206"/>
        <v>2559.4654758110114</v>
      </c>
      <c r="L1310" s="4" t="str">
        <f t="shared" si="202"/>
        <v>BUY</v>
      </c>
      <c r="M1310" s="4" t="str">
        <f t="shared" si="207"/>
        <v>BUY</v>
      </c>
      <c r="N1310" s="4">
        <f t="shared" si="203"/>
        <v>1</v>
      </c>
      <c r="O1310" s="4">
        <f t="shared" si="208"/>
        <v>2585</v>
      </c>
      <c r="P1310" s="4">
        <f t="shared" si="209"/>
        <v>2.4312121329063334E-3</v>
      </c>
    </row>
    <row r="1311" spans="1:16" x14ac:dyDescent="0.25">
      <c r="A1311" s="1">
        <v>43111</v>
      </c>
      <c r="B1311">
        <v>2594</v>
      </c>
      <c r="C1311">
        <v>2656.5</v>
      </c>
      <c r="D1311">
        <v>2590.85</v>
      </c>
      <c r="E1311" s="7">
        <v>2641.4</v>
      </c>
      <c r="F1311">
        <v>826067</v>
      </c>
      <c r="G1311" s="8">
        <f t="shared" si="200"/>
        <v>2629.5833333333335</v>
      </c>
      <c r="H1311" s="9">
        <f t="shared" si="201"/>
        <v>2172212015.416667</v>
      </c>
      <c r="I1311" s="9">
        <f t="shared" si="204"/>
        <v>27414366114.716671</v>
      </c>
      <c r="J1311" s="9">
        <f t="shared" si="205"/>
        <v>10706272</v>
      </c>
      <c r="K1311" s="21">
        <f t="shared" si="206"/>
        <v>2560.5893549796483</v>
      </c>
      <c r="L1311" s="4" t="str">
        <f t="shared" si="202"/>
        <v>BUY</v>
      </c>
      <c r="M1311" s="4">
        <f t="shared" si="207"/>
        <v>0</v>
      </c>
      <c r="N1311" s="4">
        <f t="shared" si="203"/>
        <v>1</v>
      </c>
      <c r="O1311" s="4">
        <f t="shared" si="208"/>
        <v>2585</v>
      </c>
      <c r="P1311" s="4">
        <f t="shared" si="209"/>
        <v>0</v>
      </c>
    </row>
    <row r="1312" spans="1:16" x14ac:dyDescent="0.25">
      <c r="A1312" s="1">
        <v>43112</v>
      </c>
      <c r="B1312">
        <v>2659</v>
      </c>
      <c r="C1312">
        <v>2687.45</v>
      </c>
      <c r="D1312">
        <v>2635.15</v>
      </c>
      <c r="E1312" s="7">
        <v>2664.55</v>
      </c>
      <c r="F1312">
        <v>1272225</v>
      </c>
      <c r="G1312" s="8">
        <f t="shared" si="200"/>
        <v>2662.3833333333337</v>
      </c>
      <c r="H1312" s="9">
        <f t="shared" si="201"/>
        <v>3387150636.2500005</v>
      </c>
      <c r="I1312" s="9">
        <f t="shared" si="204"/>
        <v>27684024229.100002</v>
      </c>
      <c r="J1312" s="9">
        <f t="shared" si="205"/>
        <v>10781058</v>
      </c>
      <c r="K1312" s="21">
        <f t="shared" si="206"/>
        <v>2567.8392815528869</v>
      </c>
      <c r="L1312" s="4" t="str">
        <f t="shared" si="202"/>
        <v>BUY</v>
      </c>
      <c r="M1312" s="4">
        <f t="shared" si="207"/>
        <v>0</v>
      </c>
      <c r="N1312" s="4">
        <f t="shared" si="203"/>
        <v>1</v>
      </c>
      <c r="O1312" s="4">
        <f t="shared" si="208"/>
        <v>2585</v>
      </c>
      <c r="P1312" s="4">
        <f t="shared" si="209"/>
        <v>0</v>
      </c>
    </row>
    <row r="1313" spans="1:16" x14ac:dyDescent="0.25">
      <c r="A1313" s="1">
        <v>43115</v>
      </c>
      <c r="B1313">
        <v>2648.5</v>
      </c>
      <c r="C1313">
        <v>2670.8</v>
      </c>
      <c r="D1313">
        <v>2628</v>
      </c>
      <c r="E1313" s="7">
        <v>2653.75</v>
      </c>
      <c r="F1313">
        <v>907772</v>
      </c>
      <c r="G1313" s="8">
        <f t="shared" si="200"/>
        <v>2650.85</v>
      </c>
      <c r="H1313" s="9">
        <f t="shared" si="201"/>
        <v>2406367406.1999998</v>
      </c>
      <c r="I1313" s="9">
        <f t="shared" si="204"/>
        <v>27222939023.450005</v>
      </c>
      <c r="J1313" s="9">
        <f t="shared" si="205"/>
        <v>10576401</v>
      </c>
      <c r="K1313" s="21">
        <f t="shared" si="206"/>
        <v>2573.9321933283359</v>
      </c>
      <c r="L1313" s="4" t="str">
        <f t="shared" si="202"/>
        <v>BUY</v>
      </c>
      <c r="M1313" s="4">
        <f t="shared" si="207"/>
        <v>0</v>
      </c>
      <c r="N1313" s="4">
        <f t="shared" si="203"/>
        <v>1</v>
      </c>
      <c r="O1313" s="4">
        <f t="shared" si="208"/>
        <v>2585</v>
      </c>
      <c r="P1313" s="4">
        <f t="shared" si="209"/>
        <v>0</v>
      </c>
    </row>
    <row r="1314" spans="1:16" x14ac:dyDescent="0.25">
      <c r="A1314" s="1">
        <v>43116</v>
      </c>
      <c r="B1314">
        <v>2664</v>
      </c>
      <c r="C1314">
        <v>2665</v>
      </c>
      <c r="D1314">
        <v>2628</v>
      </c>
      <c r="E1314" s="7">
        <v>2655.5</v>
      </c>
      <c r="F1314">
        <v>654321</v>
      </c>
      <c r="G1314" s="8">
        <f t="shared" si="200"/>
        <v>2649.5</v>
      </c>
      <c r="H1314" s="9">
        <f t="shared" si="201"/>
        <v>1733623489.5</v>
      </c>
      <c r="I1314" s="9">
        <f t="shared" si="204"/>
        <v>25040070427.350002</v>
      </c>
      <c r="J1314" s="9">
        <f t="shared" si="205"/>
        <v>9684901</v>
      </c>
      <c r="K1314" s="21">
        <f t="shared" si="206"/>
        <v>2585.4751047377772</v>
      </c>
      <c r="L1314" s="4" t="str">
        <f t="shared" si="202"/>
        <v>BUY</v>
      </c>
      <c r="M1314" s="4">
        <f t="shared" si="207"/>
        <v>0</v>
      </c>
      <c r="N1314" s="4">
        <f t="shared" si="203"/>
        <v>1</v>
      </c>
      <c r="O1314" s="4">
        <f t="shared" si="208"/>
        <v>2585</v>
      </c>
      <c r="P1314" s="4">
        <f t="shared" si="209"/>
        <v>0</v>
      </c>
    </row>
    <row r="1315" spans="1:16" x14ac:dyDescent="0.25">
      <c r="A1315" s="1">
        <v>43117</v>
      </c>
      <c r="B1315">
        <v>2654.7</v>
      </c>
      <c r="C1315">
        <v>2713.9</v>
      </c>
      <c r="D1315">
        <v>2609.4</v>
      </c>
      <c r="E1315" s="7">
        <v>2627.75</v>
      </c>
      <c r="F1315">
        <v>1456967</v>
      </c>
      <c r="G1315" s="8">
        <f t="shared" si="200"/>
        <v>2650.35</v>
      </c>
      <c r="H1315" s="9">
        <f t="shared" si="201"/>
        <v>3861472488.4499998</v>
      </c>
      <c r="I1315" s="9">
        <f t="shared" si="204"/>
        <v>25420179372.333336</v>
      </c>
      <c r="J1315" s="9">
        <f t="shared" si="205"/>
        <v>9765980</v>
      </c>
      <c r="K1315" s="21">
        <f t="shared" si="206"/>
        <v>2602.9317459521048</v>
      </c>
      <c r="L1315" s="4" t="str">
        <f t="shared" si="202"/>
        <v>BUY</v>
      </c>
      <c r="M1315" s="4">
        <f t="shared" si="207"/>
        <v>0</v>
      </c>
      <c r="N1315" s="4">
        <f t="shared" si="203"/>
        <v>1</v>
      </c>
      <c r="O1315" s="4">
        <f t="shared" si="208"/>
        <v>2585</v>
      </c>
      <c r="P1315" s="4">
        <f t="shared" si="209"/>
        <v>0</v>
      </c>
    </row>
    <row r="1316" spans="1:16" x14ac:dyDescent="0.25">
      <c r="A1316" s="1">
        <v>43118</v>
      </c>
      <c r="B1316">
        <v>2626.95</v>
      </c>
      <c r="C1316">
        <v>2627</v>
      </c>
      <c r="D1316">
        <v>2571.35</v>
      </c>
      <c r="E1316" s="7">
        <v>2582.8000000000002</v>
      </c>
      <c r="F1316">
        <v>1608785</v>
      </c>
      <c r="G1316" s="8">
        <f t="shared" si="200"/>
        <v>2593.7166666666667</v>
      </c>
      <c r="H1316" s="9">
        <f t="shared" si="201"/>
        <v>4172732467.5833335</v>
      </c>
      <c r="I1316" s="9">
        <f t="shared" si="204"/>
        <v>27884775360.866669</v>
      </c>
      <c r="J1316" s="9">
        <f t="shared" si="205"/>
        <v>10705262</v>
      </c>
      <c r="K1316" s="21">
        <f t="shared" si="206"/>
        <v>2604.7728080701499</v>
      </c>
      <c r="L1316" s="4" t="str">
        <f t="shared" si="202"/>
        <v>SELL</v>
      </c>
      <c r="M1316" s="4" t="str">
        <f t="shared" si="207"/>
        <v>SELL</v>
      </c>
      <c r="N1316" s="4">
        <f t="shared" si="203"/>
        <v>-1</v>
      </c>
      <c r="O1316" s="4">
        <f t="shared" si="208"/>
        <v>2582.8000000000002</v>
      </c>
      <c r="P1316" s="4">
        <f t="shared" si="209"/>
        <v>-8.5106382978716367E-4</v>
      </c>
    </row>
    <row r="1317" spans="1:16" x14ac:dyDescent="0.25">
      <c r="A1317" s="1">
        <v>43119</v>
      </c>
      <c r="B1317">
        <v>2557.1</v>
      </c>
      <c r="C1317">
        <v>2560</v>
      </c>
      <c r="D1317">
        <v>2470</v>
      </c>
      <c r="E1317" s="7">
        <v>2474.85</v>
      </c>
      <c r="F1317">
        <v>4834371</v>
      </c>
      <c r="G1317" s="8">
        <f t="shared" si="200"/>
        <v>2501.6166666666668</v>
      </c>
      <c r="H1317" s="9">
        <f t="shared" si="201"/>
        <v>12093743066.450001</v>
      </c>
      <c r="I1317" s="9">
        <f t="shared" si="204"/>
        <v>36886322953.449997</v>
      </c>
      <c r="J1317" s="9">
        <f t="shared" si="205"/>
        <v>14326119</v>
      </c>
      <c r="K1317" s="21">
        <f t="shared" si="206"/>
        <v>2574.7603348436514</v>
      </c>
      <c r="L1317" s="4" t="str">
        <f t="shared" si="202"/>
        <v>SELL</v>
      </c>
      <c r="M1317" s="4">
        <f t="shared" si="207"/>
        <v>0</v>
      </c>
      <c r="N1317" s="4">
        <f t="shared" si="203"/>
        <v>-1</v>
      </c>
      <c r="O1317" s="4">
        <f t="shared" si="208"/>
        <v>2582.8000000000002</v>
      </c>
      <c r="P1317" s="4">
        <f t="shared" si="209"/>
        <v>0</v>
      </c>
    </row>
    <row r="1318" spans="1:16" x14ac:dyDescent="0.25">
      <c r="A1318" s="1">
        <v>43122</v>
      </c>
      <c r="B1318">
        <v>2480.0500000000002</v>
      </c>
      <c r="C1318">
        <v>2483.9</v>
      </c>
      <c r="D1318">
        <v>2424.85</v>
      </c>
      <c r="E1318" s="7">
        <v>2428.8000000000002</v>
      </c>
      <c r="F1318">
        <v>1445361</v>
      </c>
      <c r="G1318" s="8">
        <f t="shared" si="200"/>
        <v>2445.85</v>
      </c>
      <c r="H1318" s="9">
        <f t="shared" si="201"/>
        <v>3535136201.8499999</v>
      </c>
      <c r="I1318" s="9">
        <f t="shared" si="204"/>
        <v>37782305838.133331</v>
      </c>
      <c r="J1318" s="9">
        <f t="shared" si="205"/>
        <v>14733601</v>
      </c>
      <c r="K1318" s="21">
        <f t="shared" si="206"/>
        <v>2564.3633106484513</v>
      </c>
      <c r="L1318" s="4" t="str">
        <f t="shared" si="202"/>
        <v>SELL</v>
      </c>
      <c r="M1318" s="4">
        <f t="shared" si="207"/>
        <v>0</v>
      </c>
      <c r="N1318" s="4">
        <f t="shared" si="203"/>
        <v>-1</v>
      </c>
      <c r="O1318" s="4">
        <f t="shared" si="208"/>
        <v>2582.8000000000002</v>
      </c>
      <c r="P1318" s="4">
        <f t="shared" si="209"/>
        <v>0</v>
      </c>
    </row>
    <row r="1319" spans="1:16" x14ac:dyDescent="0.25">
      <c r="A1319" s="1">
        <v>43123</v>
      </c>
      <c r="B1319">
        <v>2428.8000000000002</v>
      </c>
      <c r="C1319">
        <v>2452</v>
      </c>
      <c r="D1319">
        <v>2401</v>
      </c>
      <c r="E1319" s="7">
        <v>2427.0500000000002</v>
      </c>
      <c r="F1319">
        <v>1273016</v>
      </c>
      <c r="G1319" s="8">
        <f t="shared" si="200"/>
        <v>2426.6833333333334</v>
      </c>
      <c r="H1319" s="9">
        <f t="shared" si="201"/>
        <v>3089206710.2666669</v>
      </c>
      <c r="I1319" s="9">
        <f t="shared" si="204"/>
        <v>38882000017.966675</v>
      </c>
      <c r="J1319" s="9">
        <f t="shared" si="205"/>
        <v>15222346</v>
      </c>
      <c r="K1319" s="21">
        <f t="shared" si="206"/>
        <v>2554.2712022159185</v>
      </c>
      <c r="L1319" s="4" t="str">
        <f t="shared" si="202"/>
        <v>SELL</v>
      </c>
      <c r="M1319" s="4">
        <f t="shared" si="207"/>
        <v>0</v>
      </c>
      <c r="N1319" s="4">
        <f t="shared" si="203"/>
        <v>-1</v>
      </c>
      <c r="O1319" s="4">
        <f t="shared" si="208"/>
        <v>2582.8000000000002</v>
      </c>
      <c r="P1319" s="4">
        <f t="shared" si="209"/>
        <v>0</v>
      </c>
    </row>
    <row r="1320" spans="1:16" x14ac:dyDescent="0.25">
      <c r="A1320" s="1">
        <v>43124</v>
      </c>
      <c r="B1320">
        <v>2431.5</v>
      </c>
      <c r="C1320">
        <v>2473</v>
      </c>
      <c r="D1320">
        <v>2407.5500000000002</v>
      </c>
      <c r="E1320" s="7">
        <v>2445.1</v>
      </c>
      <c r="F1320">
        <v>2093406</v>
      </c>
      <c r="G1320" s="8">
        <f t="shared" si="200"/>
        <v>2441.8833333333332</v>
      </c>
      <c r="H1320" s="9">
        <f t="shared" si="201"/>
        <v>5111853221.3000002</v>
      </c>
      <c r="I1320" s="9">
        <f t="shared" si="204"/>
        <v>41563497703.26667</v>
      </c>
      <c r="J1320" s="9">
        <f t="shared" si="205"/>
        <v>16372291</v>
      </c>
      <c r="K1320" s="21">
        <f t="shared" si="206"/>
        <v>2538.6488490380893</v>
      </c>
      <c r="L1320" s="4" t="str">
        <f t="shared" si="202"/>
        <v>SELL</v>
      </c>
      <c r="M1320" s="4">
        <f t="shared" si="207"/>
        <v>0</v>
      </c>
      <c r="N1320" s="4">
        <f t="shared" si="203"/>
        <v>-1</v>
      </c>
      <c r="O1320" s="4">
        <f t="shared" si="208"/>
        <v>2582.8000000000002</v>
      </c>
      <c r="P1320" s="4">
        <f t="shared" si="209"/>
        <v>0</v>
      </c>
    </row>
    <row r="1321" spans="1:16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 s="7">
        <v>2457.25</v>
      </c>
      <c r="F1321">
        <v>2171495</v>
      </c>
      <c r="G1321" s="8">
        <f t="shared" si="200"/>
        <v>2456.25</v>
      </c>
      <c r="H1321" s="9">
        <f t="shared" si="201"/>
        <v>5333734593.75</v>
      </c>
      <c r="I1321" s="9">
        <f t="shared" si="204"/>
        <v>44725020281.599998</v>
      </c>
      <c r="J1321" s="9">
        <f t="shared" si="205"/>
        <v>17717719</v>
      </c>
      <c r="K1321" s="21">
        <f t="shared" si="206"/>
        <v>2524.310284049544</v>
      </c>
      <c r="L1321" s="4" t="str">
        <f t="shared" si="202"/>
        <v>SELL</v>
      </c>
      <c r="M1321" s="4">
        <f t="shared" si="207"/>
        <v>0</v>
      </c>
      <c r="N1321" s="4">
        <f t="shared" si="203"/>
        <v>-1</v>
      </c>
      <c r="O1321" s="4">
        <f t="shared" si="208"/>
        <v>2582.8000000000002</v>
      </c>
      <c r="P1321" s="4">
        <f t="shared" si="209"/>
        <v>0</v>
      </c>
    </row>
    <row r="1322" spans="1:16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 s="7">
        <v>2493.0500000000002</v>
      </c>
      <c r="F1322">
        <v>1812579</v>
      </c>
      <c r="G1322" s="8">
        <f t="shared" si="200"/>
        <v>2484.8666666666668</v>
      </c>
      <c r="H1322" s="9">
        <f t="shared" si="201"/>
        <v>4504017137.8000002</v>
      </c>
      <c r="I1322" s="9">
        <f t="shared" si="204"/>
        <v>45841886783.150002</v>
      </c>
      <c r="J1322" s="9">
        <f t="shared" si="205"/>
        <v>18258073</v>
      </c>
      <c r="K1322" s="21">
        <f t="shared" si="206"/>
        <v>2510.7735511381734</v>
      </c>
      <c r="L1322" s="4" t="str">
        <f t="shared" si="202"/>
        <v>SELL</v>
      </c>
      <c r="M1322" s="4">
        <f t="shared" si="207"/>
        <v>0</v>
      </c>
      <c r="N1322" s="4">
        <f t="shared" si="203"/>
        <v>-1</v>
      </c>
      <c r="O1322" s="4">
        <f t="shared" si="208"/>
        <v>2582.8000000000002</v>
      </c>
      <c r="P1322" s="4">
        <f t="shared" si="209"/>
        <v>0</v>
      </c>
    </row>
    <row r="1323" spans="1:16" x14ac:dyDescent="0.25">
      <c r="A1323" s="1">
        <v>43129</v>
      </c>
      <c r="B1323">
        <v>2499.5</v>
      </c>
      <c r="C1323">
        <v>2520</v>
      </c>
      <c r="D1323">
        <v>2486</v>
      </c>
      <c r="E1323" s="7">
        <v>2500.1999999999998</v>
      </c>
      <c r="F1323">
        <v>1366526</v>
      </c>
      <c r="G1323" s="8">
        <f t="shared" si="200"/>
        <v>2502.0666666666666</v>
      </c>
      <c r="H1323" s="9">
        <f t="shared" si="201"/>
        <v>3419139153.7333331</v>
      </c>
      <c r="I1323" s="9">
        <f t="shared" si="204"/>
        <v>46854658530.683327</v>
      </c>
      <c r="J1323" s="9">
        <f t="shared" si="205"/>
        <v>18716827</v>
      </c>
      <c r="K1323" s="21">
        <f t="shared" si="206"/>
        <v>2503.3441047824681</v>
      </c>
      <c r="L1323" s="4" t="str">
        <f t="shared" si="202"/>
        <v>SELL</v>
      </c>
      <c r="M1323" s="4">
        <f t="shared" si="207"/>
        <v>0</v>
      </c>
      <c r="N1323" s="4">
        <f t="shared" si="203"/>
        <v>-1</v>
      </c>
      <c r="O1323" s="4">
        <f t="shared" si="208"/>
        <v>2582.8000000000002</v>
      </c>
      <c r="P1323" s="4">
        <f t="shared" si="209"/>
        <v>0</v>
      </c>
    </row>
    <row r="1324" spans="1:16" x14ac:dyDescent="0.25">
      <c r="A1324" s="1">
        <v>43130</v>
      </c>
      <c r="B1324">
        <v>2510</v>
      </c>
      <c r="C1324">
        <v>2510</v>
      </c>
      <c r="D1324">
        <v>2455.1</v>
      </c>
      <c r="E1324" s="7">
        <v>2495</v>
      </c>
      <c r="F1324">
        <v>1544149</v>
      </c>
      <c r="G1324" s="8">
        <f t="shared" si="200"/>
        <v>2486.7000000000003</v>
      </c>
      <c r="H1324" s="9">
        <f t="shared" si="201"/>
        <v>3839835318.3000002</v>
      </c>
      <c r="I1324" s="9">
        <f t="shared" si="204"/>
        <v>48960870359.48333</v>
      </c>
      <c r="J1324" s="9">
        <f t="shared" si="205"/>
        <v>19606655</v>
      </c>
      <c r="K1324" s="21">
        <f t="shared" si="206"/>
        <v>2497.1557034835023</v>
      </c>
      <c r="L1324" s="4" t="str">
        <f t="shared" si="202"/>
        <v>SELL</v>
      </c>
      <c r="M1324" s="4">
        <f t="shared" si="207"/>
        <v>0</v>
      </c>
      <c r="N1324" s="4">
        <f t="shared" si="203"/>
        <v>-1</v>
      </c>
      <c r="O1324" s="4">
        <f t="shared" si="208"/>
        <v>2582.8000000000002</v>
      </c>
      <c r="P1324" s="4">
        <f t="shared" si="209"/>
        <v>0</v>
      </c>
    </row>
    <row r="1325" spans="1:16" x14ac:dyDescent="0.25">
      <c r="A1325" s="1">
        <v>43131</v>
      </c>
      <c r="B1325">
        <v>2484</v>
      </c>
      <c r="C1325">
        <v>2495</v>
      </c>
      <c r="D1325">
        <v>2451.0500000000002</v>
      </c>
      <c r="E1325" s="7">
        <v>2487.3000000000002</v>
      </c>
      <c r="F1325">
        <v>1009810</v>
      </c>
      <c r="G1325" s="8">
        <f t="shared" si="200"/>
        <v>2477.7833333333333</v>
      </c>
      <c r="H1325" s="9">
        <f t="shared" si="201"/>
        <v>2502090387.8333335</v>
      </c>
      <c r="I1325" s="9">
        <f t="shared" si="204"/>
        <v>47601488258.866669</v>
      </c>
      <c r="J1325" s="9">
        <f t="shared" si="205"/>
        <v>19159498</v>
      </c>
      <c r="K1325" s="21">
        <f t="shared" si="206"/>
        <v>2484.4851498127282</v>
      </c>
      <c r="L1325" s="4" t="str">
        <f t="shared" si="202"/>
        <v>BUY</v>
      </c>
      <c r="M1325" s="4" t="str">
        <f t="shared" si="207"/>
        <v>BUY</v>
      </c>
      <c r="N1325" s="4">
        <f t="shared" si="203"/>
        <v>1</v>
      </c>
      <c r="O1325" s="4">
        <f t="shared" si="208"/>
        <v>2487.3000000000002</v>
      </c>
      <c r="P1325" s="4">
        <f t="shared" si="209"/>
        <v>3.6975375561406225E-2</v>
      </c>
    </row>
    <row r="1326" spans="1:16" x14ac:dyDescent="0.25">
      <c r="A1326" s="1">
        <v>43132</v>
      </c>
      <c r="B1326">
        <v>2480</v>
      </c>
      <c r="C1326">
        <v>2490</v>
      </c>
      <c r="D1326">
        <v>2427.1</v>
      </c>
      <c r="E1326" s="7">
        <v>2463.6999999999998</v>
      </c>
      <c r="F1326">
        <v>1869027</v>
      </c>
      <c r="G1326" s="8">
        <f t="shared" si="200"/>
        <v>2460.2666666666669</v>
      </c>
      <c r="H1326" s="9">
        <f t="shared" si="201"/>
        <v>4598304827.2000008</v>
      </c>
      <c r="I1326" s="9">
        <f t="shared" si="204"/>
        <v>48027060618.483337</v>
      </c>
      <c r="J1326" s="9">
        <f t="shared" si="205"/>
        <v>19419740</v>
      </c>
      <c r="K1326" s="21">
        <f t="shared" si="206"/>
        <v>2473.1052330506659</v>
      </c>
      <c r="L1326" s="4" t="str">
        <f t="shared" si="202"/>
        <v>SELL</v>
      </c>
      <c r="M1326" s="4" t="str">
        <f t="shared" si="207"/>
        <v>SELL</v>
      </c>
      <c r="N1326" s="4">
        <f t="shared" si="203"/>
        <v>-1</v>
      </c>
      <c r="O1326" s="4">
        <f t="shared" si="208"/>
        <v>2463.6999999999998</v>
      </c>
      <c r="P1326" s="4">
        <f t="shared" si="209"/>
        <v>-9.4882000562860787E-3</v>
      </c>
    </row>
    <row r="1327" spans="1:16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 s="7">
        <v>2481.5500000000002</v>
      </c>
      <c r="F1327">
        <v>945315</v>
      </c>
      <c r="G1327" s="8">
        <f t="shared" si="200"/>
        <v>2481.1833333333334</v>
      </c>
      <c r="H1327" s="9">
        <f t="shared" si="201"/>
        <v>2345499822.75</v>
      </c>
      <c r="I1327" s="9">
        <f t="shared" si="204"/>
        <v>38278817374.783333</v>
      </c>
      <c r="J1327" s="9">
        <f t="shared" si="205"/>
        <v>15530684</v>
      </c>
      <c r="K1327" s="21">
        <f t="shared" si="206"/>
        <v>2464.7219256269286</v>
      </c>
      <c r="L1327" s="4" t="str">
        <f t="shared" si="202"/>
        <v>BUY</v>
      </c>
      <c r="M1327" s="4" t="str">
        <f t="shared" si="207"/>
        <v>BUY</v>
      </c>
      <c r="N1327" s="4">
        <f t="shared" si="203"/>
        <v>1</v>
      </c>
      <c r="O1327" s="4">
        <f t="shared" si="208"/>
        <v>2481.5500000000002</v>
      </c>
      <c r="P1327" s="4">
        <f t="shared" si="209"/>
        <v>-7.245200308479265E-3</v>
      </c>
    </row>
    <row r="1328" spans="1:16" x14ac:dyDescent="0.25">
      <c r="A1328" s="1">
        <v>43136</v>
      </c>
      <c r="B1328">
        <v>2501</v>
      </c>
      <c r="C1328">
        <v>2536.4499999999998</v>
      </c>
      <c r="D1328">
        <v>2500</v>
      </c>
      <c r="E1328" s="7">
        <v>2517.85</v>
      </c>
      <c r="F1328">
        <v>1627535</v>
      </c>
      <c r="G1328" s="8">
        <f t="shared" si="200"/>
        <v>2518.1</v>
      </c>
      <c r="H1328" s="9">
        <f t="shared" si="201"/>
        <v>4098295883.5</v>
      </c>
      <c r="I1328" s="9">
        <f t="shared" si="204"/>
        <v>38841977056.433334</v>
      </c>
      <c r="J1328" s="9">
        <f t="shared" si="205"/>
        <v>15712858</v>
      </c>
      <c r="K1328" s="21">
        <f t="shared" si="206"/>
        <v>2471.9867675526207</v>
      </c>
      <c r="L1328" s="4" t="str">
        <f t="shared" si="202"/>
        <v>BUY</v>
      </c>
      <c r="M1328" s="4">
        <f t="shared" si="207"/>
        <v>0</v>
      </c>
      <c r="N1328" s="4">
        <f t="shared" si="203"/>
        <v>1</v>
      </c>
      <c r="O1328" s="4">
        <f t="shared" si="208"/>
        <v>2481.5500000000002</v>
      </c>
      <c r="P1328" s="4">
        <f t="shared" si="209"/>
        <v>0</v>
      </c>
    </row>
    <row r="1329" spans="1:16" x14ac:dyDescent="0.25">
      <c r="A1329" s="1">
        <v>43137</v>
      </c>
      <c r="B1329">
        <v>2515</v>
      </c>
      <c r="C1329">
        <v>2515</v>
      </c>
      <c r="D1329">
        <v>2455.8000000000002</v>
      </c>
      <c r="E1329" s="7">
        <v>2463.0500000000002</v>
      </c>
      <c r="F1329">
        <v>1697203</v>
      </c>
      <c r="G1329" s="8">
        <f t="shared" si="200"/>
        <v>2477.9500000000003</v>
      </c>
      <c r="H1329" s="9">
        <f t="shared" si="201"/>
        <v>4205584173.8500004</v>
      </c>
      <c r="I1329" s="9">
        <f t="shared" si="204"/>
        <v>39958354520.016663</v>
      </c>
      <c r="J1329" s="9">
        <f t="shared" si="205"/>
        <v>16137045</v>
      </c>
      <c r="K1329" s="21">
        <f t="shared" si="206"/>
        <v>2476.1878348865398</v>
      </c>
      <c r="L1329" s="4" t="str">
        <f t="shared" si="202"/>
        <v>SELL</v>
      </c>
      <c r="M1329" s="4" t="str">
        <f t="shared" si="207"/>
        <v>SELL</v>
      </c>
      <c r="N1329" s="4">
        <f t="shared" si="203"/>
        <v>-1</v>
      </c>
      <c r="O1329" s="4">
        <f t="shared" si="208"/>
        <v>2463.0500000000002</v>
      </c>
      <c r="P1329" s="4">
        <f t="shared" si="209"/>
        <v>-7.4550180330841603E-3</v>
      </c>
    </row>
    <row r="1330" spans="1:16" x14ac:dyDescent="0.25">
      <c r="A1330" s="1">
        <v>43138</v>
      </c>
      <c r="B1330">
        <v>2464.9</v>
      </c>
      <c r="C1330">
        <v>2553.75</v>
      </c>
      <c r="D1330">
        <v>2453.6999999999998</v>
      </c>
      <c r="E1330" s="7">
        <v>2545.25</v>
      </c>
      <c r="F1330">
        <v>1602514</v>
      </c>
      <c r="G1330" s="8">
        <f t="shared" si="200"/>
        <v>2517.5666666666666</v>
      </c>
      <c r="H1330" s="9">
        <f t="shared" si="201"/>
        <v>4034435829.2666664</v>
      </c>
      <c r="I1330" s="9">
        <f t="shared" si="204"/>
        <v>38880937127.983337</v>
      </c>
      <c r="J1330" s="9">
        <f t="shared" si="205"/>
        <v>15646153</v>
      </c>
      <c r="K1330" s="21">
        <f t="shared" si="206"/>
        <v>2485.0157817057866</v>
      </c>
      <c r="L1330" s="4" t="str">
        <f t="shared" si="202"/>
        <v>BUY</v>
      </c>
      <c r="M1330" s="4" t="str">
        <f t="shared" si="207"/>
        <v>BUY</v>
      </c>
      <c r="N1330" s="4">
        <f t="shared" si="203"/>
        <v>1</v>
      </c>
      <c r="O1330" s="4">
        <f t="shared" si="208"/>
        <v>2545.25</v>
      </c>
      <c r="P1330" s="4">
        <f t="shared" si="209"/>
        <v>-3.3373256734536373E-2</v>
      </c>
    </row>
    <row r="1331" spans="1:16" x14ac:dyDescent="0.25">
      <c r="A1331" s="1">
        <v>43139</v>
      </c>
      <c r="B1331">
        <v>2560</v>
      </c>
      <c r="C1331">
        <v>2588</v>
      </c>
      <c r="D1331">
        <v>2516.3000000000002</v>
      </c>
      <c r="E1331" s="7">
        <v>2527.25</v>
      </c>
      <c r="F1331">
        <v>1501832</v>
      </c>
      <c r="G1331" s="8">
        <f t="shared" si="200"/>
        <v>2543.85</v>
      </c>
      <c r="H1331" s="9">
        <f t="shared" si="201"/>
        <v>3820435333.1999998</v>
      </c>
      <c r="I1331" s="9">
        <f t="shared" si="204"/>
        <v>37367637867.433334</v>
      </c>
      <c r="J1331" s="9">
        <f t="shared" si="205"/>
        <v>14976490</v>
      </c>
      <c r="K1331" s="21">
        <f t="shared" si="206"/>
        <v>2495.0864900543006</v>
      </c>
      <c r="L1331" s="4" t="str">
        <f t="shared" si="202"/>
        <v>BUY</v>
      </c>
      <c r="M1331" s="4">
        <f t="shared" si="207"/>
        <v>0</v>
      </c>
      <c r="N1331" s="4">
        <f t="shared" si="203"/>
        <v>1</v>
      </c>
      <c r="O1331" s="4">
        <f t="shared" si="208"/>
        <v>2545.25</v>
      </c>
      <c r="P1331" s="4">
        <f t="shared" si="209"/>
        <v>0</v>
      </c>
    </row>
    <row r="1332" spans="1:16" x14ac:dyDescent="0.25">
      <c r="A1332" s="1">
        <v>43140</v>
      </c>
      <c r="B1332">
        <v>2535</v>
      </c>
      <c r="C1332">
        <v>2563.0500000000002</v>
      </c>
      <c r="D1332">
        <v>2525</v>
      </c>
      <c r="E1332" s="7">
        <v>2556</v>
      </c>
      <c r="F1332">
        <v>1286541</v>
      </c>
      <c r="G1332" s="8">
        <f t="shared" si="200"/>
        <v>2548.0166666666669</v>
      </c>
      <c r="H1332" s="9">
        <f t="shared" si="201"/>
        <v>3278127910.3500004</v>
      </c>
      <c r="I1332" s="9">
        <f t="shared" si="204"/>
        <v>36141748639.98333</v>
      </c>
      <c r="J1332" s="9">
        <f t="shared" si="205"/>
        <v>14450452</v>
      </c>
      <c r="K1332" s="21">
        <f t="shared" si="206"/>
        <v>2501.0808409303272</v>
      </c>
      <c r="L1332" s="4" t="str">
        <f t="shared" si="202"/>
        <v>BUY</v>
      </c>
      <c r="M1332" s="4">
        <f t="shared" si="207"/>
        <v>0</v>
      </c>
      <c r="N1332" s="4">
        <f t="shared" si="203"/>
        <v>1</v>
      </c>
      <c r="O1332" s="4">
        <f t="shared" si="208"/>
        <v>2545.25</v>
      </c>
      <c r="P1332" s="4">
        <f t="shared" si="209"/>
        <v>0</v>
      </c>
    </row>
    <row r="1333" spans="1:16" x14ac:dyDescent="0.25">
      <c r="A1333" s="1">
        <v>43143</v>
      </c>
      <c r="B1333">
        <v>2560</v>
      </c>
      <c r="C1333">
        <v>2565</v>
      </c>
      <c r="D1333">
        <v>2513</v>
      </c>
      <c r="E1333" s="7">
        <v>2522.9</v>
      </c>
      <c r="F1333">
        <v>1233693</v>
      </c>
      <c r="G1333" s="8">
        <f t="shared" si="200"/>
        <v>2533.6333333333332</v>
      </c>
      <c r="H1333" s="9">
        <f t="shared" si="201"/>
        <v>3125725707.8999996</v>
      </c>
      <c r="I1333" s="9">
        <f t="shared" si="204"/>
        <v>35848335194.150002</v>
      </c>
      <c r="J1333" s="9">
        <f t="shared" si="205"/>
        <v>14317619</v>
      </c>
      <c r="K1333" s="21">
        <f t="shared" si="206"/>
        <v>2503.7916705389353</v>
      </c>
      <c r="L1333" s="4" t="str">
        <f t="shared" si="202"/>
        <v>BUY</v>
      </c>
      <c r="M1333" s="4">
        <f t="shared" si="207"/>
        <v>0</v>
      </c>
      <c r="N1333" s="4">
        <f t="shared" si="203"/>
        <v>1</v>
      </c>
      <c r="O1333" s="4">
        <f t="shared" si="208"/>
        <v>2545.25</v>
      </c>
      <c r="P1333" s="4">
        <f t="shared" si="209"/>
        <v>0</v>
      </c>
    </row>
    <row r="1334" spans="1:16" x14ac:dyDescent="0.25">
      <c r="A1334" s="1">
        <v>43144</v>
      </c>
      <c r="B1334">
        <v>2547</v>
      </c>
      <c r="C1334">
        <v>2547</v>
      </c>
      <c r="D1334">
        <v>2480.4499999999998</v>
      </c>
      <c r="E1334" s="7">
        <v>2515.4</v>
      </c>
      <c r="F1334">
        <v>931887</v>
      </c>
      <c r="G1334" s="8">
        <f t="shared" si="200"/>
        <v>2514.2833333333333</v>
      </c>
      <c r="H1334" s="9">
        <f t="shared" si="201"/>
        <v>2343027952.6500001</v>
      </c>
      <c r="I1334" s="9">
        <f t="shared" si="204"/>
        <v>34351527828.500008</v>
      </c>
      <c r="J1334" s="9">
        <f t="shared" si="205"/>
        <v>13705357</v>
      </c>
      <c r="K1334" s="21">
        <f t="shared" si="206"/>
        <v>2506.4307211041646</v>
      </c>
      <c r="L1334" s="4" t="str">
        <f t="shared" si="202"/>
        <v>BUY</v>
      </c>
      <c r="M1334" s="4">
        <f t="shared" si="207"/>
        <v>0</v>
      </c>
      <c r="N1334" s="4">
        <f t="shared" si="203"/>
        <v>1</v>
      </c>
      <c r="O1334" s="4">
        <f t="shared" si="208"/>
        <v>2545.25</v>
      </c>
      <c r="P1334" s="4">
        <f t="shared" si="209"/>
        <v>0</v>
      </c>
    </row>
    <row r="1335" spans="1:16" x14ac:dyDescent="0.25">
      <c r="A1335" s="1">
        <v>43145</v>
      </c>
      <c r="B1335">
        <v>2520</v>
      </c>
      <c r="C1335">
        <v>2520</v>
      </c>
      <c r="D1335">
        <v>2485</v>
      </c>
      <c r="E1335" s="7">
        <v>2499.25</v>
      </c>
      <c r="F1335">
        <v>654525</v>
      </c>
      <c r="G1335" s="8">
        <f t="shared" si="200"/>
        <v>2501.4166666666665</v>
      </c>
      <c r="H1335" s="9">
        <f t="shared" si="201"/>
        <v>1637239743.75</v>
      </c>
      <c r="I1335" s="9">
        <f t="shared" si="204"/>
        <v>33486677184.416672</v>
      </c>
      <c r="J1335" s="9">
        <f t="shared" si="205"/>
        <v>13350072</v>
      </c>
      <c r="K1335" s="21">
        <f t="shared" si="206"/>
        <v>2508.3518039765381</v>
      </c>
      <c r="L1335" s="4" t="str">
        <f t="shared" si="202"/>
        <v>SELL</v>
      </c>
      <c r="M1335" s="4" t="str">
        <f t="shared" si="207"/>
        <v>SELL</v>
      </c>
      <c r="N1335" s="4">
        <f t="shared" si="203"/>
        <v>-1</v>
      </c>
      <c r="O1335" s="4">
        <f t="shared" si="208"/>
        <v>2499.25</v>
      </c>
      <c r="P1335" s="4">
        <f t="shared" si="209"/>
        <v>-1.8072880856497397E-2</v>
      </c>
    </row>
    <row r="1336" spans="1:16" x14ac:dyDescent="0.25">
      <c r="A1336" s="1">
        <v>43146</v>
      </c>
      <c r="B1336">
        <v>2515</v>
      </c>
      <c r="C1336">
        <v>2532.4</v>
      </c>
      <c r="D1336">
        <v>2501</v>
      </c>
      <c r="E1336" s="7">
        <v>2511.15</v>
      </c>
      <c r="F1336">
        <v>730727</v>
      </c>
      <c r="G1336" s="8">
        <f t="shared" si="200"/>
        <v>2514.85</v>
      </c>
      <c r="H1336" s="9">
        <f t="shared" si="201"/>
        <v>1837668795.95</v>
      </c>
      <c r="I1336" s="9">
        <f t="shared" si="204"/>
        <v>30726041153.166668</v>
      </c>
      <c r="J1336" s="9">
        <f t="shared" si="205"/>
        <v>12211772</v>
      </c>
      <c r="K1336" s="21">
        <f t="shared" si="206"/>
        <v>2516.1001329837036</v>
      </c>
      <c r="L1336" s="4" t="str">
        <f t="shared" si="202"/>
        <v>SELL</v>
      </c>
      <c r="M1336" s="4">
        <f t="shared" si="207"/>
        <v>0</v>
      </c>
      <c r="N1336" s="4">
        <f t="shared" si="203"/>
        <v>-1</v>
      </c>
      <c r="O1336" s="4">
        <f t="shared" si="208"/>
        <v>2499.25</v>
      </c>
      <c r="P1336" s="4">
        <f t="shared" si="209"/>
        <v>0</v>
      </c>
    </row>
    <row r="1337" spans="1:16" x14ac:dyDescent="0.25">
      <c r="A1337" s="1">
        <v>43147</v>
      </c>
      <c r="B1337">
        <v>2514.1</v>
      </c>
      <c r="C1337">
        <v>2525.25</v>
      </c>
      <c r="D1337">
        <v>2497.1</v>
      </c>
      <c r="E1337" s="7">
        <v>2520.4</v>
      </c>
      <c r="F1337">
        <v>2253876</v>
      </c>
      <c r="G1337" s="8">
        <f t="shared" si="200"/>
        <v>2514.25</v>
      </c>
      <c r="H1337" s="9">
        <f t="shared" si="201"/>
        <v>5666807733</v>
      </c>
      <c r="I1337" s="9">
        <f t="shared" si="204"/>
        <v>34047349063.416668</v>
      </c>
      <c r="J1337" s="9">
        <f t="shared" si="205"/>
        <v>13520333</v>
      </c>
      <c r="K1337" s="21">
        <f t="shared" si="206"/>
        <v>2518.233024542862</v>
      </c>
      <c r="L1337" s="4" t="str">
        <f t="shared" si="202"/>
        <v>BUY</v>
      </c>
      <c r="M1337" s="4" t="str">
        <f t="shared" si="207"/>
        <v>BUY</v>
      </c>
      <c r="N1337" s="4">
        <f t="shared" si="203"/>
        <v>1</v>
      </c>
      <c r="O1337" s="4">
        <f t="shared" si="208"/>
        <v>2520.4</v>
      </c>
      <c r="P1337" s="4">
        <f t="shared" si="209"/>
        <v>-8.4625387616285245E-3</v>
      </c>
    </row>
    <row r="1338" spans="1:16" x14ac:dyDescent="0.25">
      <c r="A1338" s="1">
        <v>43150</v>
      </c>
      <c r="B1338">
        <v>2519.4</v>
      </c>
      <c r="C1338">
        <v>2530</v>
      </c>
      <c r="D1338">
        <v>2496.75</v>
      </c>
      <c r="E1338" s="7">
        <v>2512.6999999999998</v>
      </c>
      <c r="F1338">
        <v>978861</v>
      </c>
      <c r="G1338" s="8">
        <f t="shared" si="200"/>
        <v>2513.15</v>
      </c>
      <c r="H1338" s="9">
        <f t="shared" si="201"/>
        <v>2460024522.1500001</v>
      </c>
      <c r="I1338" s="9">
        <f t="shared" si="204"/>
        <v>32409077702.066669</v>
      </c>
      <c r="J1338" s="9">
        <f t="shared" si="205"/>
        <v>12871659</v>
      </c>
      <c r="K1338" s="21">
        <f t="shared" si="206"/>
        <v>2517.8632919087331</v>
      </c>
      <c r="L1338" s="4" t="str">
        <f t="shared" si="202"/>
        <v>SELL</v>
      </c>
      <c r="M1338" s="4" t="str">
        <f t="shared" si="207"/>
        <v>SELL</v>
      </c>
      <c r="N1338" s="4">
        <f t="shared" si="203"/>
        <v>-1</v>
      </c>
      <c r="O1338" s="4">
        <f t="shared" si="208"/>
        <v>2512.6999999999998</v>
      </c>
      <c r="P1338" s="4">
        <f t="shared" si="209"/>
        <v>-3.0550706237106305E-3</v>
      </c>
    </row>
    <row r="1339" spans="1:16" x14ac:dyDescent="0.25">
      <c r="A1339" s="1">
        <v>43151</v>
      </c>
      <c r="B1339">
        <v>2520</v>
      </c>
      <c r="C1339">
        <v>2569.9</v>
      </c>
      <c r="D1339">
        <v>2516.9</v>
      </c>
      <c r="E1339" s="7">
        <v>2557.0500000000002</v>
      </c>
      <c r="F1339">
        <v>948907</v>
      </c>
      <c r="G1339" s="8">
        <f t="shared" si="200"/>
        <v>2547.9500000000003</v>
      </c>
      <c r="H1339" s="9">
        <f t="shared" si="201"/>
        <v>2417767590.6500001</v>
      </c>
      <c r="I1339" s="9">
        <f t="shared" si="204"/>
        <v>30621261118.866669</v>
      </c>
      <c r="J1339" s="9">
        <f t="shared" si="205"/>
        <v>12123363</v>
      </c>
      <c r="K1339" s="21">
        <f t="shared" si="206"/>
        <v>2525.8058443739305</v>
      </c>
      <c r="L1339" s="4" t="str">
        <f t="shared" si="202"/>
        <v>BUY</v>
      </c>
      <c r="M1339" s="4" t="str">
        <f t="shared" si="207"/>
        <v>BUY</v>
      </c>
      <c r="N1339" s="4">
        <f t="shared" si="203"/>
        <v>1</v>
      </c>
      <c r="O1339" s="4">
        <f t="shared" si="208"/>
        <v>2557.0500000000002</v>
      </c>
      <c r="P1339" s="4">
        <f t="shared" si="209"/>
        <v>-1.7650336291638622E-2</v>
      </c>
    </row>
    <row r="1340" spans="1:16" x14ac:dyDescent="0.25">
      <c r="A1340" s="1">
        <v>43152</v>
      </c>
      <c r="B1340">
        <v>2557</v>
      </c>
      <c r="C1340">
        <v>2580</v>
      </c>
      <c r="D1340">
        <v>2548.15</v>
      </c>
      <c r="E1340" s="7">
        <v>2555.5</v>
      </c>
      <c r="F1340">
        <v>789789</v>
      </c>
      <c r="G1340" s="8">
        <f t="shared" si="200"/>
        <v>2561.2166666666667</v>
      </c>
      <c r="H1340" s="9">
        <f t="shared" si="201"/>
        <v>2022820749.95</v>
      </c>
      <c r="I1340" s="9">
        <f t="shared" si="204"/>
        <v>28609646039.550007</v>
      </c>
      <c r="J1340" s="9">
        <f t="shared" si="205"/>
        <v>11310638</v>
      </c>
      <c r="K1340" s="21">
        <f t="shared" si="206"/>
        <v>2529.4458225566063</v>
      </c>
      <c r="L1340" s="4" t="str">
        <f t="shared" si="202"/>
        <v>BUY</v>
      </c>
      <c r="M1340" s="4">
        <f t="shared" si="207"/>
        <v>0</v>
      </c>
      <c r="N1340" s="4">
        <f t="shared" si="203"/>
        <v>1</v>
      </c>
      <c r="O1340" s="4">
        <f t="shared" si="208"/>
        <v>2557.0500000000002</v>
      </c>
      <c r="P1340" s="4">
        <f t="shared" si="209"/>
        <v>0</v>
      </c>
    </row>
    <row r="1341" spans="1:16" x14ac:dyDescent="0.25">
      <c r="A1341" s="1">
        <v>43153</v>
      </c>
      <c r="B1341">
        <v>2550</v>
      </c>
      <c r="C1341">
        <v>2628.75</v>
      </c>
      <c r="D1341">
        <v>2539.25</v>
      </c>
      <c r="E1341" s="7">
        <v>2617.9</v>
      </c>
      <c r="F1341">
        <v>1345816</v>
      </c>
      <c r="G1341" s="8">
        <f t="shared" si="200"/>
        <v>2595.2999999999997</v>
      </c>
      <c r="H1341" s="9">
        <f t="shared" si="201"/>
        <v>3492796264.7999997</v>
      </c>
      <c r="I1341" s="9">
        <f t="shared" si="204"/>
        <v>28282006971.150002</v>
      </c>
      <c r="J1341" s="9">
        <f t="shared" si="205"/>
        <v>11154622</v>
      </c>
      <c r="K1341" s="21">
        <f t="shared" si="206"/>
        <v>2535.4518486731331</v>
      </c>
      <c r="L1341" s="4" t="str">
        <f t="shared" si="202"/>
        <v>BUY</v>
      </c>
      <c r="M1341" s="4">
        <f t="shared" si="207"/>
        <v>0</v>
      </c>
      <c r="N1341" s="4">
        <f t="shared" si="203"/>
        <v>1</v>
      </c>
      <c r="O1341" s="4">
        <f t="shared" si="208"/>
        <v>2557.0500000000002</v>
      </c>
      <c r="P1341" s="4">
        <f t="shared" si="209"/>
        <v>0</v>
      </c>
    </row>
    <row r="1342" spans="1:16" x14ac:dyDescent="0.25">
      <c r="A1342" s="1">
        <v>43154</v>
      </c>
      <c r="B1342">
        <v>2620</v>
      </c>
      <c r="C1342">
        <v>2636.9</v>
      </c>
      <c r="D1342">
        <v>2585.6999999999998</v>
      </c>
      <c r="E1342" s="7">
        <v>2601</v>
      </c>
      <c r="F1342">
        <v>491489</v>
      </c>
      <c r="G1342" s="8">
        <f t="shared" si="200"/>
        <v>2607.8666666666668</v>
      </c>
      <c r="H1342" s="9">
        <f t="shared" si="201"/>
        <v>1281737780.1333334</v>
      </c>
      <c r="I1342" s="9">
        <f t="shared" si="204"/>
        <v>26285616840.933334</v>
      </c>
      <c r="J1342" s="9">
        <f t="shared" si="205"/>
        <v>10359570</v>
      </c>
      <c r="K1342" s="21">
        <f t="shared" si="206"/>
        <v>2537.3270165589242</v>
      </c>
      <c r="L1342" s="4" t="str">
        <f t="shared" si="202"/>
        <v>BUY</v>
      </c>
      <c r="M1342" s="4">
        <f t="shared" si="207"/>
        <v>0</v>
      </c>
      <c r="N1342" s="4">
        <f t="shared" si="203"/>
        <v>1</v>
      </c>
      <c r="O1342" s="4">
        <f t="shared" si="208"/>
        <v>2557.0500000000002</v>
      </c>
      <c r="P1342" s="4">
        <f t="shared" si="209"/>
        <v>0</v>
      </c>
    </row>
    <row r="1343" spans="1:16" x14ac:dyDescent="0.25">
      <c r="A1343" s="1">
        <v>43157</v>
      </c>
      <c r="B1343">
        <v>2605</v>
      </c>
      <c r="C1343">
        <v>2623.25</v>
      </c>
      <c r="D1343">
        <v>2588.9</v>
      </c>
      <c r="E1343" s="7">
        <v>2608.85</v>
      </c>
      <c r="F1343">
        <v>980870</v>
      </c>
      <c r="G1343" s="8">
        <f t="shared" si="200"/>
        <v>2607</v>
      </c>
      <c r="H1343" s="9">
        <f t="shared" si="201"/>
        <v>2557128090</v>
      </c>
      <c r="I1343" s="9">
        <f t="shared" si="204"/>
        <v>25717019223.033333</v>
      </c>
      <c r="J1343" s="9">
        <f t="shared" si="205"/>
        <v>10106747</v>
      </c>
      <c r="K1343" s="21">
        <f t="shared" si="206"/>
        <v>2544.5397241103724</v>
      </c>
      <c r="L1343" s="4" t="str">
        <f t="shared" si="202"/>
        <v>BUY</v>
      </c>
      <c r="M1343" s="4">
        <f t="shared" si="207"/>
        <v>0</v>
      </c>
      <c r="N1343" s="4">
        <f t="shared" si="203"/>
        <v>1</v>
      </c>
      <c r="O1343" s="4">
        <f t="shared" si="208"/>
        <v>2557.0500000000002</v>
      </c>
      <c r="P1343" s="4">
        <f t="shared" si="209"/>
        <v>0</v>
      </c>
    </row>
    <row r="1344" spans="1:16" x14ac:dyDescent="0.25">
      <c r="A1344" s="1">
        <v>43158</v>
      </c>
      <c r="B1344">
        <v>2608</v>
      </c>
      <c r="C1344">
        <v>2633.15</v>
      </c>
      <c r="D1344">
        <v>2592</v>
      </c>
      <c r="E1344" s="7">
        <v>2615.25</v>
      </c>
      <c r="F1344">
        <v>810345</v>
      </c>
      <c r="G1344" s="8">
        <f t="shared" si="200"/>
        <v>2613.4666666666667</v>
      </c>
      <c r="H1344" s="9">
        <f t="shared" si="201"/>
        <v>2117809646</v>
      </c>
      <c r="I1344" s="9">
        <f t="shared" si="204"/>
        <v>25491800916.383335</v>
      </c>
      <c r="J1344" s="9">
        <f t="shared" si="205"/>
        <v>9985205</v>
      </c>
      <c r="K1344" s="21">
        <f t="shared" si="206"/>
        <v>2552.9571918036067</v>
      </c>
      <c r="L1344" s="4" t="str">
        <f t="shared" si="202"/>
        <v>BUY</v>
      </c>
      <c r="M1344" s="4">
        <f t="shared" si="207"/>
        <v>0</v>
      </c>
      <c r="N1344" s="4">
        <f t="shared" si="203"/>
        <v>1</v>
      </c>
      <c r="O1344" s="4">
        <f t="shared" si="208"/>
        <v>2557.0500000000002</v>
      </c>
      <c r="P1344" s="4">
        <f t="shared" si="209"/>
        <v>0</v>
      </c>
    </row>
    <row r="1345" spans="1:16" x14ac:dyDescent="0.25">
      <c r="A1345" s="1">
        <v>43159</v>
      </c>
      <c r="B1345">
        <v>2603.9</v>
      </c>
      <c r="C1345">
        <v>2623</v>
      </c>
      <c r="D1345">
        <v>2582.25</v>
      </c>
      <c r="E1345" s="7">
        <v>2609.5</v>
      </c>
      <c r="F1345">
        <v>1381804</v>
      </c>
      <c r="G1345" s="8">
        <f t="shared" si="200"/>
        <v>2604.9166666666665</v>
      </c>
      <c r="H1345" s="9">
        <f t="shared" si="201"/>
        <v>3599484269.6666665</v>
      </c>
      <c r="I1345" s="9">
        <f t="shared" si="204"/>
        <v>27454045442.300003</v>
      </c>
      <c r="J1345" s="9">
        <f t="shared" si="205"/>
        <v>10712484</v>
      </c>
      <c r="K1345" s="21">
        <f t="shared" si="206"/>
        <v>2562.8085364981644</v>
      </c>
      <c r="L1345" s="4" t="str">
        <f t="shared" si="202"/>
        <v>BUY</v>
      </c>
      <c r="M1345" s="4">
        <f t="shared" si="207"/>
        <v>0</v>
      </c>
      <c r="N1345" s="4">
        <f t="shared" si="203"/>
        <v>1</v>
      </c>
      <c r="O1345" s="4">
        <f t="shared" si="208"/>
        <v>2557.0500000000002</v>
      </c>
      <c r="P1345" s="4">
        <f t="shared" si="209"/>
        <v>0</v>
      </c>
    </row>
    <row r="1346" spans="1:16" x14ac:dyDescent="0.25">
      <c r="A1346" s="1">
        <v>43160</v>
      </c>
      <c r="B1346">
        <v>2617</v>
      </c>
      <c r="C1346">
        <v>2648.6</v>
      </c>
      <c r="D1346">
        <v>2597.25</v>
      </c>
      <c r="E1346" s="7">
        <v>2610.3000000000002</v>
      </c>
      <c r="F1346">
        <v>2211766</v>
      </c>
      <c r="G1346" s="8">
        <f t="shared" ref="G1346:G1409" si="210">AVERAGE(C1346:E1346)</f>
        <v>2618.7166666666667</v>
      </c>
      <c r="H1346" s="9">
        <f t="shared" si="201"/>
        <v>5791988486.9666672</v>
      </c>
      <c r="I1346" s="9">
        <f t="shared" si="204"/>
        <v>31408365133.316669</v>
      </c>
      <c r="J1346" s="9">
        <f t="shared" si="205"/>
        <v>12193523</v>
      </c>
      <c r="K1346" s="21">
        <f t="shared" si="206"/>
        <v>2575.8236674763043</v>
      </c>
      <c r="L1346" s="4" t="str">
        <f t="shared" si="202"/>
        <v>BUY</v>
      </c>
      <c r="M1346" s="4">
        <f t="shared" si="207"/>
        <v>0</v>
      </c>
      <c r="N1346" s="4">
        <f t="shared" si="203"/>
        <v>1</v>
      </c>
      <c r="O1346" s="4">
        <f t="shared" si="208"/>
        <v>2557.0500000000002</v>
      </c>
      <c r="P1346" s="4">
        <f t="shared" si="209"/>
        <v>0</v>
      </c>
    </row>
    <row r="1347" spans="1:16" x14ac:dyDescent="0.25">
      <c r="A1347" s="1">
        <v>43161</v>
      </c>
      <c r="B1347">
        <v>2609.4499999999998</v>
      </c>
      <c r="C1347">
        <v>2647.1</v>
      </c>
      <c r="D1347">
        <v>2608.35</v>
      </c>
      <c r="E1347" s="7">
        <v>2617.75</v>
      </c>
      <c r="F1347">
        <v>441132</v>
      </c>
      <c r="G1347" s="8">
        <f t="shared" si="210"/>
        <v>2624.4</v>
      </c>
      <c r="H1347" s="9">
        <f t="shared" ref="H1347:H1410" si="211">G1347*F1347</f>
        <v>1157706820.8</v>
      </c>
      <c r="I1347" s="9">
        <f t="shared" si="204"/>
        <v>26899264221.116665</v>
      </c>
      <c r="J1347" s="9">
        <f t="shared" si="205"/>
        <v>10380779</v>
      </c>
      <c r="K1347" s="21">
        <f t="shared" si="206"/>
        <v>2591.2568046306219</v>
      </c>
      <c r="L1347" s="4" t="str">
        <f t="shared" si="202"/>
        <v>BUY</v>
      </c>
      <c r="M1347" s="4">
        <f t="shared" si="207"/>
        <v>0</v>
      </c>
      <c r="N1347" s="4">
        <f t="shared" si="203"/>
        <v>1</v>
      </c>
      <c r="O1347" s="4">
        <f t="shared" si="208"/>
        <v>2557.0500000000002</v>
      </c>
      <c r="P1347" s="4">
        <f t="shared" si="209"/>
        <v>0</v>
      </c>
    </row>
    <row r="1348" spans="1:16" x14ac:dyDescent="0.25">
      <c r="A1348" s="1">
        <v>43164</v>
      </c>
      <c r="B1348">
        <v>2616</v>
      </c>
      <c r="C1348">
        <v>2630</v>
      </c>
      <c r="D1348">
        <v>2590.5</v>
      </c>
      <c r="E1348" s="7">
        <v>2599.9</v>
      </c>
      <c r="F1348">
        <v>1967910</v>
      </c>
      <c r="G1348" s="8">
        <f t="shared" si="210"/>
        <v>2606.7999999999997</v>
      </c>
      <c r="H1348" s="9">
        <f t="shared" si="211"/>
        <v>5129947787.999999</v>
      </c>
      <c r="I1348" s="9">
        <f t="shared" si="204"/>
        <v>29569187486.966667</v>
      </c>
      <c r="J1348" s="9">
        <f t="shared" si="205"/>
        <v>11369828</v>
      </c>
      <c r="K1348" s="21">
        <f t="shared" si="206"/>
        <v>2600.6714865842005</v>
      </c>
      <c r="L1348" s="4" t="str">
        <f t="shared" si="202"/>
        <v>SELL</v>
      </c>
      <c r="M1348" s="4" t="str">
        <f t="shared" si="207"/>
        <v>SELL</v>
      </c>
      <c r="N1348" s="4">
        <f t="shared" si="203"/>
        <v>-1</v>
      </c>
      <c r="O1348" s="4">
        <f t="shared" si="208"/>
        <v>2599.9</v>
      </c>
      <c r="P1348" s="4">
        <f t="shared" si="209"/>
        <v>1.6757591756125186E-2</v>
      </c>
    </row>
    <row r="1349" spans="1:16" x14ac:dyDescent="0.25">
      <c r="A1349" s="1">
        <v>43165</v>
      </c>
      <c r="B1349">
        <v>2604</v>
      </c>
      <c r="C1349">
        <v>2625.6</v>
      </c>
      <c r="D1349">
        <v>2590.5</v>
      </c>
      <c r="E1349" s="7">
        <v>2610.9</v>
      </c>
      <c r="F1349">
        <v>902342</v>
      </c>
      <c r="G1349" s="8">
        <f t="shared" si="210"/>
        <v>2609</v>
      </c>
      <c r="H1349" s="9">
        <f t="shared" si="211"/>
        <v>2354210278</v>
      </c>
      <c r="I1349" s="9">
        <f t="shared" si="204"/>
        <v>29505630174.316666</v>
      </c>
      <c r="J1349" s="9">
        <f t="shared" si="205"/>
        <v>11323263</v>
      </c>
      <c r="K1349" s="21">
        <f t="shared" si="206"/>
        <v>2605.7533216632578</v>
      </c>
      <c r="L1349" s="4" t="str">
        <f t="shared" si="202"/>
        <v>BUY</v>
      </c>
      <c r="M1349" s="4" t="str">
        <f t="shared" si="207"/>
        <v>BUY</v>
      </c>
      <c r="N1349" s="4">
        <f t="shared" si="203"/>
        <v>1</v>
      </c>
      <c r="O1349" s="4">
        <f t="shared" si="208"/>
        <v>2610.9</v>
      </c>
      <c r="P1349" s="4">
        <f t="shared" si="209"/>
        <v>-4.2309319589214972E-3</v>
      </c>
    </row>
    <row r="1350" spans="1:16" x14ac:dyDescent="0.25">
      <c r="A1350" s="1">
        <v>43166</v>
      </c>
      <c r="B1350">
        <v>2617.1</v>
      </c>
      <c r="C1350">
        <v>2622.8</v>
      </c>
      <c r="D1350">
        <v>2588.5</v>
      </c>
      <c r="E1350" s="7">
        <v>2605.65</v>
      </c>
      <c r="F1350">
        <v>2065734</v>
      </c>
      <c r="G1350" s="8">
        <f t="shared" si="210"/>
        <v>2605.65</v>
      </c>
      <c r="H1350" s="9">
        <f t="shared" si="211"/>
        <v>5382579797.1000004</v>
      </c>
      <c r="I1350" s="9">
        <f t="shared" si="204"/>
        <v>32865389221.466667</v>
      </c>
      <c r="J1350" s="9">
        <f t="shared" si="205"/>
        <v>12599208</v>
      </c>
      <c r="K1350" s="21">
        <f t="shared" si="206"/>
        <v>2608.5281885549207</v>
      </c>
      <c r="L1350" s="4" t="str">
        <f t="shared" si="202"/>
        <v>SELL</v>
      </c>
      <c r="M1350" s="4" t="str">
        <f t="shared" si="207"/>
        <v>SELL</v>
      </c>
      <c r="N1350" s="4">
        <f t="shared" si="203"/>
        <v>-1</v>
      </c>
      <c r="O1350" s="4">
        <f t="shared" si="208"/>
        <v>2605.65</v>
      </c>
      <c r="P1350" s="4">
        <f t="shared" si="209"/>
        <v>-2.0108008732620934E-3</v>
      </c>
    </row>
    <row r="1351" spans="1:16" x14ac:dyDescent="0.25">
      <c r="A1351" s="1">
        <v>43167</v>
      </c>
      <c r="B1351">
        <v>2592</v>
      </c>
      <c r="C1351">
        <v>2609</v>
      </c>
      <c r="D1351">
        <v>2570</v>
      </c>
      <c r="E1351" s="7">
        <v>2575.85</v>
      </c>
      <c r="F1351">
        <v>1154267</v>
      </c>
      <c r="G1351" s="8">
        <f t="shared" si="210"/>
        <v>2584.9500000000003</v>
      </c>
      <c r="H1351" s="9">
        <f t="shared" si="211"/>
        <v>2983722481.6500001</v>
      </c>
      <c r="I1351" s="9">
        <f t="shared" si="204"/>
        <v>32356315438.316666</v>
      </c>
      <c r="J1351" s="9">
        <f t="shared" si="205"/>
        <v>12407659</v>
      </c>
      <c r="K1351" s="21">
        <f t="shared" si="206"/>
        <v>2607.7695589729428</v>
      </c>
      <c r="L1351" s="4" t="str">
        <f t="shared" si="202"/>
        <v>SELL</v>
      </c>
      <c r="M1351" s="4">
        <f t="shared" si="207"/>
        <v>0</v>
      </c>
      <c r="N1351" s="4">
        <f t="shared" si="203"/>
        <v>-1</v>
      </c>
      <c r="O1351" s="4">
        <f t="shared" si="208"/>
        <v>2605.65</v>
      </c>
      <c r="P1351" s="4">
        <f t="shared" si="209"/>
        <v>0</v>
      </c>
    </row>
    <row r="1352" spans="1:16" x14ac:dyDescent="0.25">
      <c r="A1352" s="1">
        <v>43168</v>
      </c>
      <c r="B1352">
        <v>2590</v>
      </c>
      <c r="C1352">
        <v>2590</v>
      </c>
      <c r="D1352">
        <v>2561.65</v>
      </c>
      <c r="E1352" s="7">
        <v>2577.4499999999998</v>
      </c>
      <c r="F1352">
        <v>785160</v>
      </c>
      <c r="G1352" s="8">
        <f t="shared" si="210"/>
        <v>2576.3666666666663</v>
      </c>
      <c r="H1352" s="9">
        <f t="shared" si="211"/>
        <v>2022860051.9999998</v>
      </c>
      <c r="I1352" s="9">
        <f t="shared" si="204"/>
        <v>33097437710.183334</v>
      </c>
      <c r="J1352" s="9">
        <f t="shared" si="205"/>
        <v>12701330</v>
      </c>
      <c r="K1352" s="21">
        <f t="shared" si="206"/>
        <v>2605.8245640561527</v>
      </c>
      <c r="L1352" s="4" t="str">
        <f t="shared" si="202"/>
        <v>SELL</v>
      </c>
      <c r="M1352" s="4">
        <f t="shared" si="207"/>
        <v>0</v>
      </c>
      <c r="N1352" s="4">
        <f t="shared" si="203"/>
        <v>-1</v>
      </c>
      <c r="O1352" s="4">
        <f t="shared" si="208"/>
        <v>2605.65</v>
      </c>
      <c r="P1352" s="4">
        <f t="shared" si="209"/>
        <v>0</v>
      </c>
    </row>
    <row r="1353" spans="1:16" x14ac:dyDescent="0.25">
      <c r="A1353" s="1">
        <v>43171</v>
      </c>
      <c r="B1353">
        <v>2585</v>
      </c>
      <c r="C1353">
        <v>2590</v>
      </c>
      <c r="D1353">
        <v>2551</v>
      </c>
      <c r="E1353" s="7">
        <v>2561.65</v>
      </c>
      <c r="F1353">
        <v>1289457</v>
      </c>
      <c r="G1353" s="8">
        <f t="shared" si="210"/>
        <v>2567.5499999999997</v>
      </c>
      <c r="H1353" s="9">
        <f t="shared" si="211"/>
        <v>3310745320.3499994</v>
      </c>
      <c r="I1353" s="9">
        <f t="shared" si="204"/>
        <v>33851054940.533333</v>
      </c>
      <c r="J1353" s="9">
        <f t="shared" si="205"/>
        <v>13009917</v>
      </c>
      <c r="K1353" s="21">
        <f t="shared" si="206"/>
        <v>2601.942421349293</v>
      </c>
      <c r="L1353" s="4" t="str">
        <f t="shared" si="202"/>
        <v>SELL</v>
      </c>
      <c r="M1353" s="4">
        <f t="shared" si="207"/>
        <v>0</v>
      </c>
      <c r="N1353" s="4">
        <f t="shared" si="203"/>
        <v>-1</v>
      </c>
      <c r="O1353" s="4">
        <f t="shared" si="208"/>
        <v>2605.65</v>
      </c>
      <c r="P1353" s="4">
        <f t="shared" si="209"/>
        <v>0</v>
      </c>
    </row>
    <row r="1354" spans="1:16" x14ac:dyDescent="0.25">
      <c r="A1354" s="1">
        <v>43172</v>
      </c>
      <c r="B1354">
        <v>2566</v>
      </c>
      <c r="C1354">
        <v>2610</v>
      </c>
      <c r="D1354">
        <v>2563.8000000000002</v>
      </c>
      <c r="E1354" s="7">
        <v>2600.75</v>
      </c>
      <c r="F1354">
        <v>1381675</v>
      </c>
      <c r="G1354" s="8">
        <f t="shared" si="210"/>
        <v>2591.5166666666669</v>
      </c>
      <c r="H1354" s="9">
        <f t="shared" si="211"/>
        <v>3580633790.416667</v>
      </c>
      <c r="I1354" s="9">
        <f t="shared" si="204"/>
        <v>35313879084.949997</v>
      </c>
      <c r="J1354" s="9">
        <f t="shared" si="205"/>
        <v>13581247</v>
      </c>
      <c r="K1354" s="21">
        <f t="shared" si="206"/>
        <v>2600.1941563208443</v>
      </c>
      <c r="L1354" s="4" t="str">
        <f t="shared" si="202"/>
        <v>BUY</v>
      </c>
      <c r="M1354" s="4" t="str">
        <f t="shared" si="207"/>
        <v>BUY</v>
      </c>
      <c r="N1354" s="4">
        <f t="shared" si="203"/>
        <v>1</v>
      </c>
      <c r="O1354" s="4">
        <f t="shared" si="208"/>
        <v>2600.75</v>
      </c>
      <c r="P1354" s="4">
        <f t="shared" si="209"/>
        <v>1.8805288507666381E-3</v>
      </c>
    </row>
    <row r="1355" spans="1:16" x14ac:dyDescent="0.25">
      <c r="A1355" s="1">
        <v>43173</v>
      </c>
      <c r="B1355">
        <v>2605.5</v>
      </c>
      <c r="C1355">
        <v>2613</v>
      </c>
      <c r="D1355">
        <v>2556.75</v>
      </c>
      <c r="E1355" s="7">
        <v>2571.3000000000002</v>
      </c>
      <c r="F1355">
        <v>923668</v>
      </c>
      <c r="G1355" s="8">
        <f t="shared" si="210"/>
        <v>2580.35</v>
      </c>
      <c r="H1355" s="9">
        <f t="shared" si="211"/>
        <v>2383386723.7999997</v>
      </c>
      <c r="I1355" s="9">
        <f t="shared" si="204"/>
        <v>34097781539.083336</v>
      </c>
      <c r="J1355" s="9">
        <f t="shared" si="205"/>
        <v>13123111</v>
      </c>
      <c r="K1355" s="21">
        <f t="shared" si="206"/>
        <v>2598.3001697603058</v>
      </c>
      <c r="L1355" s="4" t="str">
        <f t="shared" ref="L1355:L1418" si="212">IF(E1355&gt;K1355,"BUY",IF(E1355&lt;K1355,"SELL",0))</f>
        <v>SELL</v>
      </c>
      <c r="M1355" s="4" t="str">
        <f t="shared" si="207"/>
        <v>SELL</v>
      </c>
      <c r="N1355" s="4">
        <f t="shared" ref="N1355:N1418" si="213">IF(M1355="BUY",1,IF(M1355="SELL",-1,N1354))</f>
        <v>-1</v>
      </c>
      <c r="O1355" s="4">
        <f t="shared" si="208"/>
        <v>2571.3000000000002</v>
      </c>
      <c r="P1355" s="4">
        <f t="shared" si="209"/>
        <v>-1.1323656637508341E-2</v>
      </c>
    </row>
    <row r="1356" spans="1:16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 s="7">
        <v>2505.8000000000002</v>
      </c>
      <c r="F1356">
        <v>1285728</v>
      </c>
      <c r="G1356" s="8">
        <f t="shared" si="210"/>
        <v>2523.85</v>
      </c>
      <c r="H1356" s="9">
        <f t="shared" si="211"/>
        <v>3244984612.7999997</v>
      </c>
      <c r="I1356" s="9">
        <f t="shared" ref="I1356:I1419" si="214">SUM(H1347:H1356)</f>
        <v>31550777664.916664</v>
      </c>
      <c r="J1356" s="9">
        <f t="shared" ref="J1356:J1419" si="215">SUM(F1347:F1356)</f>
        <v>12197073</v>
      </c>
      <c r="K1356" s="21">
        <f t="shared" ref="K1356:K1419" si="216">I1356/J1356</f>
        <v>2586.7499247497053</v>
      </c>
      <c r="L1356" s="4" t="str">
        <f t="shared" si="212"/>
        <v>SELL</v>
      </c>
      <c r="M1356" s="4">
        <f t="shared" ref="M1356:M1419" si="217">IF(L1356&lt;&gt;L1355,L1356,0)</f>
        <v>0</v>
      </c>
      <c r="N1356" s="4">
        <f t="shared" si="213"/>
        <v>-1</v>
      </c>
      <c r="O1356" s="4">
        <f t="shared" ref="O1356:O1419" si="218">IF(M1356&lt;&gt;0,E1356,O1355)</f>
        <v>2571.3000000000002</v>
      </c>
      <c r="P1356" s="4">
        <f t="shared" ref="P1356:P1419" si="219">IF(M1356="BUY",(O1355-O1356)/O1355,IF(M1356="SELL",(O1356-O1355)/O1355,0))</f>
        <v>0</v>
      </c>
    </row>
    <row r="1357" spans="1:16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 s="7">
        <v>2504.8000000000002</v>
      </c>
      <c r="F1357">
        <v>1262588</v>
      </c>
      <c r="G1357" s="8">
        <f t="shared" si="210"/>
        <v>2502.0833333333335</v>
      </c>
      <c r="H1357" s="9">
        <f t="shared" si="211"/>
        <v>3159100391.666667</v>
      </c>
      <c r="I1357" s="9">
        <f t="shared" si="214"/>
        <v>33552171235.783329</v>
      </c>
      <c r="J1357" s="9">
        <f t="shared" si="215"/>
        <v>13018529</v>
      </c>
      <c r="K1357" s="21">
        <f t="shared" si="216"/>
        <v>2577.2628563321809</v>
      </c>
      <c r="L1357" s="4" t="str">
        <f t="shared" si="212"/>
        <v>SELL</v>
      </c>
      <c r="M1357" s="4">
        <f t="shared" si="217"/>
        <v>0</v>
      </c>
      <c r="N1357" s="4">
        <f t="shared" si="213"/>
        <v>-1</v>
      </c>
      <c r="O1357" s="4">
        <f t="shared" si="218"/>
        <v>2571.3000000000002</v>
      </c>
      <c r="P1357" s="4">
        <f t="shared" si="219"/>
        <v>0</v>
      </c>
    </row>
    <row r="1358" spans="1:16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 s="7">
        <v>2512</v>
      </c>
      <c r="F1358">
        <v>633698</v>
      </c>
      <c r="G1358" s="8">
        <f t="shared" si="210"/>
        <v>2508.5833333333335</v>
      </c>
      <c r="H1358" s="9">
        <f t="shared" si="211"/>
        <v>1589684241.1666667</v>
      </c>
      <c r="I1358" s="9">
        <f t="shared" si="214"/>
        <v>30011907688.950001</v>
      </c>
      <c r="J1358" s="9">
        <f t="shared" si="215"/>
        <v>11684317</v>
      </c>
      <c r="K1358" s="21">
        <f t="shared" si="216"/>
        <v>2568.5632877771118</v>
      </c>
      <c r="L1358" s="4" t="str">
        <f t="shared" si="212"/>
        <v>SELL</v>
      </c>
      <c r="M1358" s="4">
        <f t="shared" si="217"/>
        <v>0</v>
      </c>
      <c r="N1358" s="4">
        <f t="shared" si="213"/>
        <v>-1</v>
      </c>
      <c r="O1358" s="4">
        <f t="shared" si="218"/>
        <v>2571.3000000000002</v>
      </c>
      <c r="P1358" s="4">
        <f t="shared" si="219"/>
        <v>0</v>
      </c>
    </row>
    <row r="1359" spans="1:16" x14ac:dyDescent="0.25">
      <c r="A1359" s="1">
        <v>43179</v>
      </c>
      <c r="B1359">
        <v>2521</v>
      </c>
      <c r="C1359">
        <v>2529.15</v>
      </c>
      <c r="D1359">
        <v>2501.8000000000002</v>
      </c>
      <c r="E1359" s="7">
        <v>2513.8000000000002</v>
      </c>
      <c r="F1359">
        <v>987860</v>
      </c>
      <c r="G1359" s="8">
        <f t="shared" si="210"/>
        <v>2514.916666666667</v>
      </c>
      <c r="H1359" s="9">
        <f t="shared" si="211"/>
        <v>2484385578.3333335</v>
      </c>
      <c r="I1359" s="9">
        <f t="shared" si="214"/>
        <v>30142082989.283333</v>
      </c>
      <c r="J1359" s="9">
        <f t="shared" si="215"/>
        <v>11769835</v>
      </c>
      <c r="K1359" s="21">
        <f t="shared" si="216"/>
        <v>2560.960539317954</v>
      </c>
      <c r="L1359" s="4" t="str">
        <f t="shared" si="212"/>
        <v>SELL</v>
      </c>
      <c r="M1359" s="4">
        <f t="shared" si="217"/>
        <v>0</v>
      </c>
      <c r="N1359" s="4">
        <f t="shared" si="213"/>
        <v>-1</v>
      </c>
      <c r="O1359" s="4">
        <f t="shared" si="218"/>
        <v>2571.3000000000002</v>
      </c>
      <c r="P1359" s="4">
        <f t="shared" si="219"/>
        <v>0</v>
      </c>
    </row>
    <row r="1360" spans="1:16" x14ac:dyDescent="0.25">
      <c r="A1360" s="1">
        <v>43180</v>
      </c>
      <c r="B1360">
        <v>2515</v>
      </c>
      <c r="C1360">
        <v>2546.3000000000002</v>
      </c>
      <c r="D1360">
        <v>2508</v>
      </c>
      <c r="E1360" s="7">
        <v>2530.0500000000002</v>
      </c>
      <c r="F1360">
        <v>1082523</v>
      </c>
      <c r="G1360" s="8">
        <f t="shared" si="210"/>
        <v>2528.1166666666668</v>
      </c>
      <c r="H1360" s="9">
        <f t="shared" si="211"/>
        <v>2736744438.3499999</v>
      </c>
      <c r="I1360" s="9">
        <f t="shared" si="214"/>
        <v>27496247630.533333</v>
      </c>
      <c r="J1360" s="9">
        <f t="shared" si="215"/>
        <v>10786624</v>
      </c>
      <c r="K1360" s="21">
        <f t="shared" si="216"/>
        <v>2549.1059696280627</v>
      </c>
      <c r="L1360" s="4" t="str">
        <f t="shared" si="212"/>
        <v>SELL</v>
      </c>
      <c r="M1360" s="4">
        <f t="shared" si="217"/>
        <v>0</v>
      </c>
      <c r="N1360" s="4">
        <f t="shared" si="213"/>
        <v>-1</v>
      </c>
      <c r="O1360" s="4">
        <f t="shared" si="218"/>
        <v>2571.3000000000002</v>
      </c>
      <c r="P1360" s="4">
        <f t="shared" si="219"/>
        <v>0</v>
      </c>
    </row>
    <row r="1361" spans="1:16" x14ac:dyDescent="0.25">
      <c r="A1361" s="1">
        <v>43181</v>
      </c>
      <c r="B1361">
        <v>2535</v>
      </c>
      <c r="C1361">
        <v>2555</v>
      </c>
      <c r="D1361">
        <v>2527.1</v>
      </c>
      <c r="E1361" s="7">
        <v>2549.5500000000002</v>
      </c>
      <c r="F1361">
        <v>999805</v>
      </c>
      <c r="G1361" s="8">
        <f t="shared" si="210"/>
        <v>2543.8833333333337</v>
      </c>
      <c r="H1361" s="9">
        <f t="shared" si="211"/>
        <v>2543387276.0833335</v>
      </c>
      <c r="I1361" s="9">
        <f t="shared" si="214"/>
        <v>27055912424.966663</v>
      </c>
      <c r="J1361" s="9">
        <f t="shared" si="215"/>
        <v>10632162</v>
      </c>
      <c r="K1361" s="21">
        <f t="shared" si="216"/>
        <v>2544.7234932054894</v>
      </c>
      <c r="L1361" s="4" t="str">
        <f t="shared" si="212"/>
        <v>BUY</v>
      </c>
      <c r="M1361" s="4" t="str">
        <f t="shared" si="217"/>
        <v>BUY</v>
      </c>
      <c r="N1361" s="4">
        <f t="shared" si="213"/>
        <v>1</v>
      </c>
      <c r="O1361" s="4">
        <f t="shared" si="218"/>
        <v>2549.5500000000002</v>
      </c>
      <c r="P1361" s="4">
        <f t="shared" si="219"/>
        <v>8.4587562711468892E-3</v>
      </c>
    </row>
    <row r="1362" spans="1:16" x14ac:dyDescent="0.25">
      <c r="A1362" s="1">
        <v>43182</v>
      </c>
      <c r="B1362">
        <v>2547</v>
      </c>
      <c r="C1362">
        <v>2600</v>
      </c>
      <c r="D1362">
        <v>2547</v>
      </c>
      <c r="E1362" s="7">
        <v>2591.5</v>
      </c>
      <c r="F1362">
        <v>551001</v>
      </c>
      <c r="G1362" s="8">
        <f t="shared" si="210"/>
        <v>2579.5</v>
      </c>
      <c r="H1362" s="9">
        <f t="shared" si="211"/>
        <v>1421307079.5</v>
      </c>
      <c r="I1362" s="9">
        <f t="shared" si="214"/>
        <v>26454359452.466663</v>
      </c>
      <c r="J1362" s="9">
        <f t="shared" si="215"/>
        <v>10398003</v>
      </c>
      <c r="K1362" s="21">
        <f t="shared" si="216"/>
        <v>2544.1769397899448</v>
      </c>
      <c r="L1362" s="4" t="str">
        <f t="shared" si="212"/>
        <v>BUY</v>
      </c>
      <c r="M1362" s="4">
        <f t="shared" si="217"/>
        <v>0</v>
      </c>
      <c r="N1362" s="4">
        <f t="shared" si="213"/>
        <v>1</v>
      </c>
      <c r="O1362" s="4">
        <f t="shared" si="218"/>
        <v>2549.5500000000002</v>
      </c>
      <c r="P1362" s="4">
        <f t="shared" si="219"/>
        <v>0</v>
      </c>
    </row>
    <row r="1363" spans="1:16" x14ac:dyDescent="0.25">
      <c r="A1363" s="1">
        <v>43185</v>
      </c>
      <c r="B1363">
        <v>2600</v>
      </c>
      <c r="C1363">
        <v>2608</v>
      </c>
      <c r="D1363">
        <v>2567.1999999999998</v>
      </c>
      <c r="E1363" s="7">
        <v>2574.6</v>
      </c>
      <c r="F1363">
        <v>449159</v>
      </c>
      <c r="G1363" s="8">
        <f t="shared" si="210"/>
        <v>2583.2666666666664</v>
      </c>
      <c r="H1363" s="9">
        <f t="shared" si="211"/>
        <v>1160297472.7333331</v>
      </c>
      <c r="I1363" s="9">
        <f t="shared" si="214"/>
        <v>24303911604.849998</v>
      </c>
      <c r="J1363" s="9">
        <f t="shared" si="215"/>
        <v>9557705</v>
      </c>
      <c r="K1363" s="21">
        <f t="shared" si="216"/>
        <v>2542.8606140124643</v>
      </c>
      <c r="L1363" s="4" t="str">
        <f t="shared" si="212"/>
        <v>BUY</v>
      </c>
      <c r="M1363" s="4">
        <f t="shared" si="217"/>
        <v>0</v>
      </c>
      <c r="N1363" s="4">
        <f t="shared" si="213"/>
        <v>1</v>
      </c>
      <c r="O1363" s="4">
        <f t="shared" si="218"/>
        <v>2549.5500000000002</v>
      </c>
      <c r="P1363" s="4">
        <f t="shared" si="219"/>
        <v>0</v>
      </c>
    </row>
    <row r="1364" spans="1:16" x14ac:dyDescent="0.25">
      <c r="A1364" s="1">
        <v>43186</v>
      </c>
      <c r="B1364">
        <v>2580</v>
      </c>
      <c r="C1364">
        <v>2587.9</v>
      </c>
      <c r="D1364">
        <v>2558.85</v>
      </c>
      <c r="E1364" s="7">
        <v>2570.3000000000002</v>
      </c>
      <c r="F1364">
        <v>585123</v>
      </c>
      <c r="G1364" s="8">
        <f t="shared" si="210"/>
        <v>2572.35</v>
      </c>
      <c r="H1364" s="9">
        <f t="shared" si="211"/>
        <v>1505141149.05</v>
      </c>
      <c r="I1364" s="9">
        <f t="shared" si="214"/>
        <v>22228418963.483334</v>
      </c>
      <c r="J1364" s="9">
        <f t="shared" si="215"/>
        <v>8761153</v>
      </c>
      <c r="K1364" s="21">
        <f t="shared" si="216"/>
        <v>2537.1568061285238</v>
      </c>
      <c r="L1364" s="4" t="str">
        <f t="shared" si="212"/>
        <v>BUY</v>
      </c>
      <c r="M1364" s="4">
        <f t="shared" si="217"/>
        <v>0</v>
      </c>
      <c r="N1364" s="4">
        <f t="shared" si="213"/>
        <v>1</v>
      </c>
      <c r="O1364" s="4">
        <f t="shared" si="218"/>
        <v>2549.5500000000002</v>
      </c>
      <c r="P1364" s="4">
        <f t="shared" si="219"/>
        <v>0</v>
      </c>
    </row>
    <row r="1365" spans="1:16" x14ac:dyDescent="0.25">
      <c r="A1365" s="1">
        <v>43187</v>
      </c>
      <c r="B1365">
        <v>2562</v>
      </c>
      <c r="C1365">
        <v>2573</v>
      </c>
      <c r="D1365">
        <v>2544.15</v>
      </c>
      <c r="E1365" s="7">
        <v>2550</v>
      </c>
      <c r="F1365">
        <v>965496</v>
      </c>
      <c r="G1365" s="8">
        <f t="shared" si="210"/>
        <v>2555.7166666666667</v>
      </c>
      <c r="H1365" s="9">
        <f t="shared" si="211"/>
        <v>2467534218.8000002</v>
      </c>
      <c r="I1365" s="9">
        <f t="shared" si="214"/>
        <v>22312566458.483334</v>
      </c>
      <c r="J1365" s="9">
        <f t="shared" si="215"/>
        <v>8802981</v>
      </c>
      <c r="K1365" s="21">
        <f t="shared" si="216"/>
        <v>2534.6602995602666</v>
      </c>
      <c r="L1365" s="4" t="str">
        <f t="shared" si="212"/>
        <v>BUY</v>
      </c>
      <c r="M1365" s="4">
        <f t="shared" si="217"/>
        <v>0</v>
      </c>
      <c r="N1365" s="4">
        <f t="shared" si="213"/>
        <v>1</v>
      </c>
      <c r="O1365" s="4">
        <f t="shared" si="218"/>
        <v>2549.5500000000002</v>
      </c>
      <c r="P1365" s="4">
        <f t="shared" si="219"/>
        <v>0</v>
      </c>
    </row>
    <row r="1366" spans="1:16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 s="7">
        <v>2592.8000000000002</v>
      </c>
      <c r="F1366">
        <v>645051</v>
      </c>
      <c r="G1366" s="8">
        <f t="shared" si="210"/>
        <v>2579.7833333333333</v>
      </c>
      <c r="H1366" s="9">
        <f t="shared" si="211"/>
        <v>1664091818.95</v>
      </c>
      <c r="I1366" s="9">
        <f t="shared" si="214"/>
        <v>20731673664.633335</v>
      </c>
      <c r="J1366" s="9">
        <f t="shared" si="215"/>
        <v>8162304</v>
      </c>
      <c r="K1366" s="21">
        <f t="shared" si="216"/>
        <v>2539.9291259714578</v>
      </c>
      <c r="L1366" s="4" t="str">
        <f t="shared" si="212"/>
        <v>BUY</v>
      </c>
      <c r="M1366" s="4">
        <f t="shared" si="217"/>
        <v>0</v>
      </c>
      <c r="N1366" s="4">
        <f t="shared" si="213"/>
        <v>1</v>
      </c>
      <c r="O1366" s="4">
        <f t="shared" si="218"/>
        <v>2549.5500000000002</v>
      </c>
      <c r="P1366" s="4">
        <f t="shared" si="219"/>
        <v>0</v>
      </c>
    </row>
    <row r="1367" spans="1:16" x14ac:dyDescent="0.25">
      <c r="A1367" s="1">
        <v>43189</v>
      </c>
      <c r="B1367">
        <v>2572</v>
      </c>
      <c r="C1367">
        <v>2604</v>
      </c>
      <c r="D1367">
        <v>2543.4</v>
      </c>
      <c r="E1367" s="7">
        <v>2592.9</v>
      </c>
      <c r="F1367">
        <v>686378</v>
      </c>
      <c r="G1367" s="8">
        <f t="shared" si="210"/>
        <v>2580.1</v>
      </c>
      <c r="H1367" s="9">
        <f t="shared" si="211"/>
        <v>1770923877.8</v>
      </c>
      <c r="I1367" s="9">
        <f t="shared" si="214"/>
        <v>19343497150.766666</v>
      </c>
      <c r="J1367" s="9">
        <f t="shared" si="215"/>
        <v>7586094</v>
      </c>
      <c r="K1367" s="21">
        <f t="shared" si="216"/>
        <v>2549.8625710104129</v>
      </c>
      <c r="L1367" s="4" t="str">
        <f t="shared" si="212"/>
        <v>BUY</v>
      </c>
      <c r="M1367" s="4">
        <f t="shared" si="217"/>
        <v>0</v>
      </c>
      <c r="N1367" s="4">
        <f t="shared" si="213"/>
        <v>1</v>
      </c>
      <c r="O1367" s="4">
        <f t="shared" si="218"/>
        <v>2549.5500000000002</v>
      </c>
      <c r="P1367" s="4">
        <f t="shared" si="219"/>
        <v>0</v>
      </c>
    </row>
    <row r="1368" spans="1:16" x14ac:dyDescent="0.25">
      <c r="A1368" s="1">
        <v>43192</v>
      </c>
      <c r="B1368">
        <v>2585</v>
      </c>
      <c r="C1368">
        <v>2588.75</v>
      </c>
      <c r="D1368">
        <v>2540</v>
      </c>
      <c r="E1368" s="7">
        <v>2550.9499999999998</v>
      </c>
      <c r="F1368">
        <v>774976</v>
      </c>
      <c r="G1368" s="8">
        <f t="shared" si="210"/>
        <v>2559.9</v>
      </c>
      <c r="H1368" s="9">
        <f t="shared" si="211"/>
        <v>1983861062.4000001</v>
      </c>
      <c r="I1368" s="9">
        <f t="shared" si="214"/>
        <v>19737673972</v>
      </c>
      <c r="J1368" s="9">
        <f t="shared" si="215"/>
        <v>7727372</v>
      </c>
      <c r="K1368" s="21">
        <f t="shared" si="216"/>
        <v>2554.2544052492876</v>
      </c>
      <c r="L1368" s="4" t="str">
        <f t="shared" si="212"/>
        <v>SELL</v>
      </c>
      <c r="M1368" s="4" t="str">
        <f t="shared" si="217"/>
        <v>SELL</v>
      </c>
      <c r="N1368" s="4">
        <f t="shared" si="213"/>
        <v>-1</v>
      </c>
      <c r="O1368" s="4">
        <f t="shared" si="218"/>
        <v>2550.9499999999998</v>
      </c>
      <c r="P1368" s="4">
        <f t="shared" si="219"/>
        <v>5.4911651075665745E-4</v>
      </c>
    </row>
    <row r="1369" spans="1:16" x14ac:dyDescent="0.25">
      <c r="A1369" s="1">
        <v>43193</v>
      </c>
      <c r="B1369">
        <v>2563.9</v>
      </c>
      <c r="C1369">
        <v>2608</v>
      </c>
      <c r="D1369">
        <v>2556.75</v>
      </c>
      <c r="E1369" s="7">
        <v>2593.1</v>
      </c>
      <c r="F1369">
        <v>639854</v>
      </c>
      <c r="G1369" s="8">
        <f t="shared" si="210"/>
        <v>2585.9500000000003</v>
      </c>
      <c r="H1369" s="9">
        <f t="shared" si="211"/>
        <v>1654630451.3000002</v>
      </c>
      <c r="I1369" s="9">
        <f t="shared" si="214"/>
        <v>18907918844.966667</v>
      </c>
      <c r="J1369" s="9">
        <f t="shared" si="215"/>
        <v>7379366</v>
      </c>
      <c r="K1369" s="21">
        <f t="shared" si="216"/>
        <v>2562.2687430013184</v>
      </c>
      <c r="L1369" s="4" t="str">
        <f t="shared" si="212"/>
        <v>BUY</v>
      </c>
      <c r="M1369" s="4" t="str">
        <f t="shared" si="217"/>
        <v>BUY</v>
      </c>
      <c r="N1369" s="4">
        <f t="shared" si="213"/>
        <v>1</v>
      </c>
      <c r="O1369" s="4">
        <f t="shared" si="218"/>
        <v>2593.1</v>
      </c>
      <c r="P1369" s="4">
        <f t="shared" si="219"/>
        <v>-1.6523256041866791E-2</v>
      </c>
    </row>
    <row r="1370" spans="1:16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 s="7">
        <v>2577.75</v>
      </c>
      <c r="F1370">
        <v>722940</v>
      </c>
      <c r="G1370" s="8">
        <f t="shared" si="210"/>
        <v>2583.9166666666665</v>
      </c>
      <c r="H1370" s="9">
        <f t="shared" si="211"/>
        <v>1868016715</v>
      </c>
      <c r="I1370" s="9">
        <f t="shared" si="214"/>
        <v>18039191121.616669</v>
      </c>
      <c r="J1370" s="9">
        <f t="shared" si="215"/>
        <v>7019783</v>
      </c>
      <c r="K1370" s="21">
        <f t="shared" si="216"/>
        <v>2569.7647807085586</v>
      </c>
      <c r="L1370" s="4" t="str">
        <f t="shared" si="212"/>
        <v>BUY</v>
      </c>
      <c r="M1370" s="4">
        <f t="shared" si="217"/>
        <v>0</v>
      </c>
      <c r="N1370" s="4">
        <f t="shared" si="213"/>
        <v>1</v>
      </c>
      <c r="O1370" s="4">
        <f t="shared" si="218"/>
        <v>2593.1</v>
      </c>
      <c r="P1370" s="4">
        <f t="shared" si="219"/>
        <v>0</v>
      </c>
    </row>
    <row r="1371" spans="1:16" x14ac:dyDescent="0.25">
      <c r="A1371" s="1">
        <v>43195</v>
      </c>
      <c r="B1371">
        <v>2573.0500000000002</v>
      </c>
      <c r="C1371">
        <v>2610</v>
      </c>
      <c r="D1371">
        <v>2570</v>
      </c>
      <c r="E1371" s="7">
        <v>2603.9</v>
      </c>
      <c r="F1371">
        <v>481735</v>
      </c>
      <c r="G1371" s="8">
        <f t="shared" si="210"/>
        <v>2594.6333333333332</v>
      </c>
      <c r="H1371" s="9">
        <f t="shared" si="211"/>
        <v>1249925688.8333333</v>
      </c>
      <c r="I1371" s="9">
        <f t="shared" si="214"/>
        <v>16745729534.366667</v>
      </c>
      <c r="J1371" s="9">
        <f t="shared" si="215"/>
        <v>6501713</v>
      </c>
      <c r="K1371" s="21">
        <f t="shared" si="216"/>
        <v>2575.5873158914683</v>
      </c>
      <c r="L1371" s="4" t="str">
        <f t="shared" si="212"/>
        <v>BUY</v>
      </c>
      <c r="M1371" s="4">
        <f t="shared" si="217"/>
        <v>0</v>
      </c>
      <c r="N1371" s="4">
        <f t="shared" si="213"/>
        <v>1</v>
      </c>
      <c r="O1371" s="4">
        <f t="shared" si="218"/>
        <v>2593.1</v>
      </c>
      <c r="P1371" s="4">
        <f t="shared" si="219"/>
        <v>0</v>
      </c>
    </row>
    <row r="1372" spans="1:16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 s="7">
        <v>2633.3</v>
      </c>
      <c r="F1372">
        <v>591169</v>
      </c>
      <c r="G1372" s="8">
        <f t="shared" si="210"/>
        <v>2619.5333333333333</v>
      </c>
      <c r="H1372" s="9">
        <f t="shared" si="211"/>
        <v>1548586901.1333332</v>
      </c>
      <c r="I1372" s="9">
        <f t="shared" si="214"/>
        <v>16873009356</v>
      </c>
      <c r="J1372" s="9">
        <f t="shared" si="215"/>
        <v>6541881</v>
      </c>
      <c r="K1372" s="21">
        <f t="shared" si="216"/>
        <v>2579.2290254133331</v>
      </c>
      <c r="L1372" s="4" t="str">
        <f t="shared" si="212"/>
        <v>BUY</v>
      </c>
      <c r="M1372" s="4">
        <f t="shared" si="217"/>
        <v>0</v>
      </c>
      <c r="N1372" s="4">
        <f t="shared" si="213"/>
        <v>1</v>
      </c>
      <c r="O1372" s="4">
        <f t="shared" si="218"/>
        <v>2593.1</v>
      </c>
      <c r="P1372" s="4">
        <f t="shared" si="219"/>
        <v>0</v>
      </c>
    </row>
    <row r="1373" spans="1:16" x14ac:dyDescent="0.25">
      <c r="A1373" s="1">
        <v>43199</v>
      </c>
      <c r="B1373">
        <v>2632.75</v>
      </c>
      <c r="C1373">
        <v>2646.9</v>
      </c>
      <c r="D1373">
        <v>2603</v>
      </c>
      <c r="E1373" s="7">
        <v>2616.25</v>
      </c>
      <c r="F1373">
        <v>821418</v>
      </c>
      <c r="G1373" s="8">
        <f t="shared" si="210"/>
        <v>2622.0499999999997</v>
      </c>
      <c r="H1373" s="9">
        <f t="shared" si="211"/>
        <v>2153799066.8999996</v>
      </c>
      <c r="I1373" s="9">
        <f t="shared" si="214"/>
        <v>17866510950.166664</v>
      </c>
      <c r="J1373" s="9">
        <f t="shared" si="215"/>
        <v>6914140</v>
      </c>
      <c r="K1373" s="21">
        <f t="shared" si="216"/>
        <v>2584.0539749219229</v>
      </c>
      <c r="L1373" s="4" t="str">
        <f t="shared" si="212"/>
        <v>BUY</v>
      </c>
      <c r="M1373" s="4">
        <f t="shared" si="217"/>
        <v>0</v>
      </c>
      <c r="N1373" s="4">
        <f t="shared" si="213"/>
        <v>1</v>
      </c>
      <c r="O1373" s="4">
        <f t="shared" si="218"/>
        <v>2593.1</v>
      </c>
      <c r="P1373" s="4">
        <f t="shared" si="219"/>
        <v>0</v>
      </c>
    </row>
    <row r="1374" spans="1:16" x14ac:dyDescent="0.25">
      <c r="A1374" s="1">
        <v>43200</v>
      </c>
      <c r="B1374">
        <v>2597.9499999999998</v>
      </c>
      <c r="C1374">
        <v>2621.7</v>
      </c>
      <c r="D1374">
        <v>2580.5</v>
      </c>
      <c r="E1374" s="7">
        <v>2595.1</v>
      </c>
      <c r="F1374">
        <v>1333925</v>
      </c>
      <c r="G1374" s="8">
        <f t="shared" si="210"/>
        <v>2599.1</v>
      </c>
      <c r="H1374" s="9">
        <f t="shared" si="211"/>
        <v>3467004467.5</v>
      </c>
      <c r="I1374" s="9">
        <f t="shared" si="214"/>
        <v>19828374268.616669</v>
      </c>
      <c r="J1374" s="9">
        <f t="shared" si="215"/>
        <v>7662942</v>
      </c>
      <c r="K1374" s="21">
        <f t="shared" si="216"/>
        <v>2587.566794661459</v>
      </c>
      <c r="L1374" s="4" t="str">
        <f t="shared" si="212"/>
        <v>BUY</v>
      </c>
      <c r="M1374" s="4">
        <f t="shared" si="217"/>
        <v>0</v>
      </c>
      <c r="N1374" s="4">
        <f t="shared" si="213"/>
        <v>1</v>
      </c>
      <c r="O1374" s="4">
        <f t="shared" si="218"/>
        <v>2593.1</v>
      </c>
      <c r="P1374" s="4">
        <f t="shared" si="219"/>
        <v>0</v>
      </c>
    </row>
    <row r="1375" spans="1:16" x14ac:dyDescent="0.25">
      <c r="A1375" s="1">
        <v>43201</v>
      </c>
      <c r="B1375">
        <v>2595</v>
      </c>
      <c r="C1375">
        <v>2598.25</v>
      </c>
      <c r="D1375">
        <v>2506.65</v>
      </c>
      <c r="E1375" s="7">
        <v>2522.5</v>
      </c>
      <c r="F1375">
        <v>1967061</v>
      </c>
      <c r="G1375" s="8">
        <f t="shared" si="210"/>
        <v>2542.4666666666667</v>
      </c>
      <c r="H1375" s="9">
        <f t="shared" si="211"/>
        <v>5001187023.8000002</v>
      </c>
      <c r="I1375" s="9">
        <f t="shared" si="214"/>
        <v>22362027073.616665</v>
      </c>
      <c r="J1375" s="9">
        <f t="shared" si="215"/>
        <v>8664507</v>
      </c>
      <c r="K1375" s="21">
        <f t="shared" si="216"/>
        <v>2580.8770278120455</v>
      </c>
      <c r="L1375" s="4" t="str">
        <f t="shared" si="212"/>
        <v>SELL</v>
      </c>
      <c r="M1375" s="4" t="str">
        <f t="shared" si="217"/>
        <v>SELL</v>
      </c>
      <c r="N1375" s="4">
        <f t="shared" si="213"/>
        <v>-1</v>
      </c>
      <c r="O1375" s="4">
        <f t="shared" si="218"/>
        <v>2522.5</v>
      </c>
      <c r="P1375" s="4">
        <f t="shared" si="219"/>
        <v>-2.7226100034707459E-2</v>
      </c>
    </row>
    <row r="1376" spans="1:16" x14ac:dyDescent="0.25">
      <c r="A1376" s="1">
        <v>43202</v>
      </c>
      <c r="B1376">
        <v>2559</v>
      </c>
      <c r="C1376">
        <v>2559</v>
      </c>
      <c r="D1376">
        <v>2455</v>
      </c>
      <c r="E1376" s="7">
        <v>2474.35</v>
      </c>
      <c r="F1376">
        <v>4131827</v>
      </c>
      <c r="G1376" s="8">
        <f t="shared" si="210"/>
        <v>2496.1166666666668</v>
      </c>
      <c r="H1376" s="9">
        <f t="shared" si="211"/>
        <v>10313522238.483334</v>
      </c>
      <c r="I1376" s="9">
        <f t="shared" si="214"/>
        <v>31011457493.150002</v>
      </c>
      <c r="J1376" s="9">
        <f t="shared" si="215"/>
        <v>12151283</v>
      </c>
      <c r="K1376" s="21">
        <f t="shared" si="216"/>
        <v>2552.1138379502809</v>
      </c>
      <c r="L1376" s="4" t="str">
        <f t="shared" si="212"/>
        <v>SELL</v>
      </c>
      <c r="M1376" s="4">
        <f t="shared" si="217"/>
        <v>0</v>
      </c>
      <c r="N1376" s="4">
        <f t="shared" si="213"/>
        <v>-1</v>
      </c>
      <c r="O1376" s="4">
        <f t="shared" si="218"/>
        <v>2522.5</v>
      </c>
      <c r="P1376" s="4">
        <f t="shared" si="219"/>
        <v>0</v>
      </c>
    </row>
    <row r="1377" spans="1:16" x14ac:dyDescent="0.25">
      <c r="A1377" s="1">
        <v>43203</v>
      </c>
      <c r="B1377">
        <v>2475.4</v>
      </c>
      <c r="C1377">
        <v>2518.6</v>
      </c>
      <c r="D1377">
        <v>2475.4</v>
      </c>
      <c r="E1377" s="7">
        <v>2509.5500000000002</v>
      </c>
      <c r="F1377">
        <v>1140154</v>
      </c>
      <c r="G1377" s="8">
        <f t="shared" si="210"/>
        <v>2501.1833333333334</v>
      </c>
      <c r="H1377" s="9">
        <f t="shared" si="211"/>
        <v>2851734182.2333336</v>
      </c>
      <c r="I1377" s="9">
        <f t="shared" si="214"/>
        <v>32092267797.583332</v>
      </c>
      <c r="J1377" s="9">
        <f t="shared" si="215"/>
        <v>12605059</v>
      </c>
      <c r="K1377" s="21">
        <f t="shared" si="216"/>
        <v>2545.9831483203156</v>
      </c>
      <c r="L1377" s="4" t="str">
        <f t="shared" si="212"/>
        <v>SELL</v>
      </c>
      <c r="M1377" s="4">
        <f t="shared" si="217"/>
        <v>0</v>
      </c>
      <c r="N1377" s="4">
        <f t="shared" si="213"/>
        <v>-1</v>
      </c>
      <c r="O1377" s="4">
        <f t="shared" si="218"/>
        <v>2522.5</v>
      </c>
      <c r="P1377" s="4">
        <f t="shared" si="219"/>
        <v>0</v>
      </c>
    </row>
    <row r="1378" spans="1:16" x14ac:dyDescent="0.25">
      <c r="A1378" s="1">
        <v>43206</v>
      </c>
      <c r="B1378">
        <v>2511</v>
      </c>
      <c r="C1378">
        <v>2515</v>
      </c>
      <c r="D1378">
        <v>2490</v>
      </c>
      <c r="E1378" s="7">
        <v>2499.5</v>
      </c>
      <c r="F1378">
        <v>851637</v>
      </c>
      <c r="G1378" s="8">
        <f t="shared" si="210"/>
        <v>2501.5</v>
      </c>
      <c r="H1378" s="9">
        <f t="shared" si="211"/>
        <v>2130369955.5</v>
      </c>
      <c r="I1378" s="9">
        <f t="shared" si="214"/>
        <v>32238776690.683334</v>
      </c>
      <c r="J1378" s="9">
        <f t="shared" si="215"/>
        <v>12681720</v>
      </c>
      <c r="K1378" s="21">
        <f t="shared" si="216"/>
        <v>2542.145441681675</v>
      </c>
      <c r="L1378" s="4" t="str">
        <f t="shared" si="212"/>
        <v>SELL</v>
      </c>
      <c r="M1378" s="4">
        <f t="shared" si="217"/>
        <v>0</v>
      </c>
      <c r="N1378" s="4">
        <f t="shared" si="213"/>
        <v>-1</v>
      </c>
      <c r="O1378" s="4">
        <f t="shared" si="218"/>
        <v>2522.5</v>
      </c>
      <c r="P1378" s="4">
        <f t="shared" si="219"/>
        <v>0</v>
      </c>
    </row>
    <row r="1379" spans="1:16" x14ac:dyDescent="0.25">
      <c r="A1379" s="1">
        <v>43207</v>
      </c>
      <c r="B1379">
        <v>2501</v>
      </c>
      <c r="C1379">
        <v>2549.9499999999998</v>
      </c>
      <c r="D1379">
        <v>2500</v>
      </c>
      <c r="E1379" s="7">
        <v>2545.75</v>
      </c>
      <c r="F1379">
        <v>1001830</v>
      </c>
      <c r="G1379" s="8">
        <f t="shared" si="210"/>
        <v>2531.9</v>
      </c>
      <c r="H1379" s="9">
        <f t="shared" si="211"/>
        <v>2536533377</v>
      </c>
      <c r="I1379" s="9">
        <f t="shared" si="214"/>
        <v>33120679616.383331</v>
      </c>
      <c r="J1379" s="9">
        <f t="shared" si="215"/>
        <v>13043696</v>
      </c>
      <c r="K1379" s="21">
        <f t="shared" si="216"/>
        <v>2539.2097160485287</v>
      </c>
      <c r="L1379" s="4" t="str">
        <f t="shared" si="212"/>
        <v>BUY</v>
      </c>
      <c r="M1379" s="4" t="str">
        <f t="shared" si="217"/>
        <v>BUY</v>
      </c>
      <c r="N1379" s="4">
        <f t="shared" si="213"/>
        <v>1</v>
      </c>
      <c r="O1379" s="4">
        <f t="shared" si="218"/>
        <v>2545.75</v>
      </c>
      <c r="P1379" s="4">
        <f t="shared" si="219"/>
        <v>-9.2170465807730421E-3</v>
      </c>
    </row>
    <row r="1380" spans="1:16" x14ac:dyDescent="0.25">
      <c r="A1380" s="1">
        <v>43208</v>
      </c>
      <c r="B1380">
        <v>2543.6999999999998</v>
      </c>
      <c r="C1380">
        <v>2558.85</v>
      </c>
      <c r="D1380">
        <v>2526.6</v>
      </c>
      <c r="E1380" s="7">
        <v>2540.1999999999998</v>
      </c>
      <c r="F1380">
        <v>728304</v>
      </c>
      <c r="G1380" s="8">
        <f t="shared" si="210"/>
        <v>2541.8833333333332</v>
      </c>
      <c r="H1380" s="9">
        <f t="shared" si="211"/>
        <v>1851263799.1999998</v>
      </c>
      <c r="I1380" s="9">
        <f t="shared" si="214"/>
        <v>33103926700.583336</v>
      </c>
      <c r="J1380" s="9">
        <f t="shared" si="215"/>
        <v>13049060</v>
      </c>
      <c r="K1380" s="21">
        <f t="shared" si="216"/>
        <v>2536.882097299218</v>
      </c>
      <c r="L1380" s="4" t="str">
        <f t="shared" si="212"/>
        <v>BUY</v>
      </c>
      <c r="M1380" s="4">
        <f t="shared" si="217"/>
        <v>0</v>
      </c>
      <c r="N1380" s="4">
        <f t="shared" si="213"/>
        <v>1</v>
      </c>
      <c r="O1380" s="4">
        <f t="shared" si="218"/>
        <v>2545.75</v>
      </c>
      <c r="P1380" s="4">
        <f t="shared" si="219"/>
        <v>0</v>
      </c>
    </row>
    <row r="1381" spans="1:16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 s="7">
        <v>2564.4</v>
      </c>
      <c r="F1381">
        <v>535263</v>
      </c>
      <c r="G1381" s="8">
        <f t="shared" si="210"/>
        <v>2559.2666666666664</v>
      </c>
      <c r="H1381" s="9">
        <f t="shared" si="211"/>
        <v>1369880753.8</v>
      </c>
      <c r="I1381" s="9">
        <f t="shared" si="214"/>
        <v>33223881765.549999</v>
      </c>
      <c r="J1381" s="9">
        <f t="shared" si="215"/>
        <v>13102588</v>
      </c>
      <c r="K1381" s="21">
        <f t="shared" si="216"/>
        <v>2535.6732399393159</v>
      </c>
      <c r="L1381" s="4" t="str">
        <f t="shared" si="212"/>
        <v>BUY</v>
      </c>
      <c r="M1381" s="4">
        <f t="shared" si="217"/>
        <v>0</v>
      </c>
      <c r="N1381" s="4">
        <f t="shared" si="213"/>
        <v>1</v>
      </c>
      <c r="O1381" s="4">
        <f t="shared" si="218"/>
        <v>2545.75</v>
      </c>
      <c r="P1381" s="4">
        <f t="shared" si="219"/>
        <v>0</v>
      </c>
    </row>
    <row r="1382" spans="1:16" x14ac:dyDescent="0.25">
      <c r="A1382" s="1">
        <v>43210</v>
      </c>
      <c r="B1382">
        <v>2564</v>
      </c>
      <c r="C1382">
        <v>2583.9</v>
      </c>
      <c r="D1382">
        <v>2551.9</v>
      </c>
      <c r="E1382" s="7">
        <v>2579.15</v>
      </c>
      <c r="F1382">
        <v>426893</v>
      </c>
      <c r="G1382" s="8">
        <f t="shared" si="210"/>
        <v>2571.65</v>
      </c>
      <c r="H1382" s="9">
        <f t="shared" si="211"/>
        <v>1097819383.45</v>
      </c>
      <c r="I1382" s="9">
        <f t="shared" si="214"/>
        <v>32773114247.866669</v>
      </c>
      <c r="J1382" s="9">
        <f t="shared" si="215"/>
        <v>12938312</v>
      </c>
      <c r="K1382" s="21">
        <f t="shared" si="216"/>
        <v>2533.0285935187426</v>
      </c>
      <c r="L1382" s="4" t="str">
        <f t="shared" si="212"/>
        <v>BUY</v>
      </c>
      <c r="M1382" s="4">
        <f t="shared" si="217"/>
        <v>0</v>
      </c>
      <c r="N1382" s="4">
        <f t="shared" si="213"/>
        <v>1</v>
      </c>
      <c r="O1382" s="4">
        <f t="shared" si="218"/>
        <v>2545.75</v>
      </c>
      <c r="P1382" s="4">
        <f t="shared" si="219"/>
        <v>0</v>
      </c>
    </row>
    <row r="1383" spans="1:16" x14ac:dyDescent="0.25">
      <c r="A1383" s="1">
        <v>43213</v>
      </c>
      <c r="B1383">
        <v>2576</v>
      </c>
      <c r="C1383">
        <v>2600.35</v>
      </c>
      <c r="D1383">
        <v>2555.1</v>
      </c>
      <c r="E1383" s="7">
        <v>2561.4</v>
      </c>
      <c r="F1383">
        <v>637250</v>
      </c>
      <c r="G1383" s="8">
        <f t="shared" si="210"/>
        <v>2572.2833333333333</v>
      </c>
      <c r="H1383" s="9">
        <f t="shared" si="211"/>
        <v>1639187554.1666667</v>
      </c>
      <c r="I1383" s="9">
        <f t="shared" si="214"/>
        <v>32258502735.133335</v>
      </c>
      <c r="J1383" s="9">
        <f t="shared" si="215"/>
        <v>12754144</v>
      </c>
      <c r="K1383" s="21">
        <f t="shared" si="216"/>
        <v>2529.2565879084741</v>
      </c>
      <c r="L1383" s="4" t="str">
        <f t="shared" si="212"/>
        <v>BUY</v>
      </c>
      <c r="M1383" s="4">
        <f t="shared" si="217"/>
        <v>0</v>
      </c>
      <c r="N1383" s="4">
        <f t="shared" si="213"/>
        <v>1</v>
      </c>
      <c r="O1383" s="4">
        <f t="shared" si="218"/>
        <v>2545.75</v>
      </c>
      <c r="P1383" s="4">
        <f t="shared" si="219"/>
        <v>0</v>
      </c>
    </row>
    <row r="1384" spans="1:16" x14ac:dyDescent="0.25">
      <c r="A1384" s="1">
        <v>43214</v>
      </c>
      <c r="B1384">
        <v>2561</v>
      </c>
      <c r="C1384">
        <v>2569</v>
      </c>
      <c r="D1384">
        <v>2521.0500000000002</v>
      </c>
      <c r="E1384" s="7">
        <v>2528.0500000000002</v>
      </c>
      <c r="F1384">
        <v>660314</v>
      </c>
      <c r="G1384" s="8">
        <f t="shared" si="210"/>
        <v>2539.3666666666668</v>
      </c>
      <c r="H1384" s="9">
        <f t="shared" si="211"/>
        <v>1676779361.1333334</v>
      </c>
      <c r="I1384" s="9">
        <f t="shared" si="214"/>
        <v>30468277628.76667</v>
      </c>
      <c r="J1384" s="9">
        <f t="shared" si="215"/>
        <v>12080533</v>
      </c>
      <c r="K1384" s="21">
        <f t="shared" si="216"/>
        <v>2522.097131704923</v>
      </c>
      <c r="L1384" s="4" t="str">
        <f t="shared" si="212"/>
        <v>BUY</v>
      </c>
      <c r="M1384" s="4">
        <f t="shared" si="217"/>
        <v>0</v>
      </c>
      <c r="N1384" s="4">
        <f t="shared" si="213"/>
        <v>1</v>
      </c>
      <c r="O1384" s="4">
        <f t="shared" si="218"/>
        <v>2545.75</v>
      </c>
      <c r="P1384" s="4">
        <f t="shared" si="219"/>
        <v>0</v>
      </c>
    </row>
    <row r="1385" spans="1:16" x14ac:dyDescent="0.25">
      <c r="A1385" s="1">
        <v>43215</v>
      </c>
      <c r="B1385">
        <v>2517.5</v>
      </c>
      <c r="C1385">
        <v>2537.85</v>
      </c>
      <c r="D1385">
        <v>2483</v>
      </c>
      <c r="E1385" s="7">
        <v>2488.6</v>
      </c>
      <c r="F1385">
        <v>748390</v>
      </c>
      <c r="G1385" s="8">
        <f t="shared" si="210"/>
        <v>2503.15</v>
      </c>
      <c r="H1385" s="9">
        <f t="shared" si="211"/>
        <v>1873332428.5</v>
      </c>
      <c r="I1385" s="9">
        <f t="shared" si="214"/>
        <v>27340423033.466671</v>
      </c>
      <c r="J1385" s="9">
        <f t="shared" si="215"/>
        <v>10861862</v>
      </c>
      <c r="K1385" s="21">
        <f t="shared" si="216"/>
        <v>2517.1027797505317</v>
      </c>
      <c r="L1385" s="4" t="str">
        <f t="shared" si="212"/>
        <v>SELL</v>
      </c>
      <c r="M1385" s="4" t="str">
        <f t="shared" si="217"/>
        <v>SELL</v>
      </c>
      <c r="N1385" s="4">
        <f t="shared" si="213"/>
        <v>-1</v>
      </c>
      <c r="O1385" s="4">
        <f t="shared" si="218"/>
        <v>2488.6</v>
      </c>
      <c r="P1385" s="4">
        <f t="shared" si="219"/>
        <v>-2.2449180005892209E-2</v>
      </c>
    </row>
    <row r="1386" spans="1:16" x14ac:dyDescent="0.25">
      <c r="A1386" s="1">
        <v>43216</v>
      </c>
      <c r="B1386">
        <v>2497.5</v>
      </c>
      <c r="C1386">
        <v>2516.5</v>
      </c>
      <c r="D1386">
        <v>2492.1</v>
      </c>
      <c r="E1386" s="7">
        <v>2505.15</v>
      </c>
      <c r="F1386">
        <v>787486</v>
      </c>
      <c r="G1386" s="8">
        <f t="shared" si="210"/>
        <v>2504.5833333333335</v>
      </c>
      <c r="H1386" s="9">
        <f t="shared" si="211"/>
        <v>1972324310.8333335</v>
      </c>
      <c r="I1386" s="9">
        <f t="shared" si="214"/>
        <v>18999225105.816666</v>
      </c>
      <c r="J1386" s="9">
        <f t="shared" si="215"/>
        <v>7517521</v>
      </c>
      <c r="K1386" s="21">
        <f t="shared" si="216"/>
        <v>2527.3258439606175</v>
      </c>
      <c r="L1386" s="4" t="str">
        <f t="shared" si="212"/>
        <v>SELL</v>
      </c>
      <c r="M1386" s="4">
        <f t="shared" si="217"/>
        <v>0</v>
      </c>
      <c r="N1386" s="4">
        <f t="shared" si="213"/>
        <v>-1</v>
      </c>
      <c r="O1386" s="4">
        <f t="shared" si="218"/>
        <v>2488.6</v>
      </c>
      <c r="P1386" s="4">
        <f t="shared" si="219"/>
        <v>0</v>
      </c>
    </row>
    <row r="1387" spans="1:16" x14ac:dyDescent="0.25">
      <c r="A1387" s="1">
        <v>43217</v>
      </c>
      <c r="B1387">
        <v>2488</v>
      </c>
      <c r="C1387">
        <v>2505</v>
      </c>
      <c r="D1387">
        <v>2481.15</v>
      </c>
      <c r="E1387" s="7">
        <v>2497.0500000000002</v>
      </c>
      <c r="F1387">
        <v>1001869</v>
      </c>
      <c r="G1387" s="8">
        <f t="shared" si="210"/>
        <v>2494.4</v>
      </c>
      <c r="H1387" s="9">
        <f t="shared" si="211"/>
        <v>2499062033.5999999</v>
      </c>
      <c r="I1387" s="9">
        <f t="shared" si="214"/>
        <v>18646552957.183334</v>
      </c>
      <c r="J1387" s="9">
        <f t="shared" si="215"/>
        <v>7379236</v>
      </c>
      <c r="K1387" s="21">
        <f t="shared" si="216"/>
        <v>2526.8947838479939</v>
      </c>
      <c r="L1387" s="4" t="str">
        <f t="shared" si="212"/>
        <v>SELL</v>
      </c>
      <c r="M1387" s="4">
        <f t="shared" si="217"/>
        <v>0</v>
      </c>
      <c r="N1387" s="4">
        <f t="shared" si="213"/>
        <v>-1</v>
      </c>
      <c r="O1387" s="4">
        <f t="shared" si="218"/>
        <v>2488.6</v>
      </c>
      <c r="P1387" s="4">
        <f t="shared" si="219"/>
        <v>0</v>
      </c>
    </row>
    <row r="1388" spans="1:16" x14ac:dyDescent="0.25">
      <c r="A1388" s="1">
        <v>43220</v>
      </c>
      <c r="B1388">
        <v>2499.5</v>
      </c>
      <c r="C1388">
        <v>2519</v>
      </c>
      <c r="D1388">
        <v>2492.15</v>
      </c>
      <c r="E1388" s="7">
        <v>2502.0500000000002</v>
      </c>
      <c r="F1388">
        <v>945594</v>
      </c>
      <c r="G1388" s="8">
        <f t="shared" si="210"/>
        <v>2504.4</v>
      </c>
      <c r="H1388" s="9">
        <f t="shared" si="211"/>
        <v>2368145613.5999999</v>
      </c>
      <c r="I1388" s="9">
        <f t="shared" si="214"/>
        <v>18884328615.283333</v>
      </c>
      <c r="J1388" s="9">
        <f t="shared" si="215"/>
        <v>7473193</v>
      </c>
      <c r="K1388" s="21">
        <f t="shared" si="216"/>
        <v>2526.9424481989604</v>
      </c>
      <c r="L1388" s="4" t="str">
        <f t="shared" si="212"/>
        <v>SELL</v>
      </c>
      <c r="M1388" s="4">
        <f t="shared" si="217"/>
        <v>0</v>
      </c>
      <c r="N1388" s="4">
        <f t="shared" si="213"/>
        <v>-1</v>
      </c>
      <c r="O1388" s="4">
        <f t="shared" si="218"/>
        <v>2488.6</v>
      </c>
      <c r="P1388" s="4">
        <f t="shared" si="219"/>
        <v>0</v>
      </c>
    </row>
    <row r="1389" spans="1:16" x14ac:dyDescent="0.25">
      <c r="A1389" s="1">
        <v>43221</v>
      </c>
      <c r="B1389">
        <v>2511</v>
      </c>
      <c r="C1389">
        <v>2515.0500000000002</v>
      </c>
      <c r="D1389">
        <v>2483.5</v>
      </c>
      <c r="E1389" s="7">
        <v>2506.75</v>
      </c>
      <c r="F1389">
        <v>1206659</v>
      </c>
      <c r="G1389" s="8">
        <f t="shared" si="210"/>
        <v>2501.7666666666669</v>
      </c>
      <c r="H1389" s="9">
        <f t="shared" si="211"/>
        <v>3018779264.2333336</v>
      </c>
      <c r="I1389" s="9">
        <f t="shared" si="214"/>
        <v>19366574502.51667</v>
      </c>
      <c r="J1389" s="9">
        <f t="shared" si="215"/>
        <v>7678022</v>
      </c>
      <c r="K1389" s="21">
        <f t="shared" si="216"/>
        <v>2522.3390220185188</v>
      </c>
      <c r="L1389" s="4" t="str">
        <f t="shared" si="212"/>
        <v>SELL</v>
      </c>
      <c r="M1389" s="4">
        <f t="shared" si="217"/>
        <v>0</v>
      </c>
      <c r="N1389" s="4">
        <f t="shared" si="213"/>
        <v>-1</v>
      </c>
      <c r="O1389" s="4">
        <f t="shared" si="218"/>
        <v>2488.6</v>
      </c>
      <c r="P1389" s="4">
        <f t="shared" si="219"/>
        <v>0</v>
      </c>
    </row>
    <row r="1390" spans="1:16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 s="7">
        <v>2480.65</v>
      </c>
      <c r="F1390">
        <v>1385287</v>
      </c>
      <c r="G1390" s="8">
        <f t="shared" si="210"/>
        <v>2490.0833333333335</v>
      </c>
      <c r="H1390" s="9">
        <f t="shared" si="211"/>
        <v>3449480070.5833335</v>
      </c>
      <c r="I1390" s="9">
        <f t="shared" si="214"/>
        <v>20964790773.899998</v>
      </c>
      <c r="J1390" s="9">
        <f t="shared" si="215"/>
        <v>8335005</v>
      </c>
      <c r="K1390" s="21">
        <f t="shared" si="216"/>
        <v>2515.270329639874</v>
      </c>
      <c r="L1390" s="4" t="str">
        <f t="shared" si="212"/>
        <v>SELL</v>
      </c>
      <c r="M1390" s="4">
        <f t="shared" si="217"/>
        <v>0</v>
      </c>
      <c r="N1390" s="4">
        <f t="shared" si="213"/>
        <v>-1</v>
      </c>
      <c r="O1390" s="4">
        <f t="shared" si="218"/>
        <v>2488.6</v>
      </c>
      <c r="P1390" s="4">
        <f t="shared" si="219"/>
        <v>0</v>
      </c>
    </row>
    <row r="1391" spans="1:16" x14ac:dyDescent="0.25">
      <c r="A1391" s="1">
        <v>43223</v>
      </c>
      <c r="B1391">
        <v>2489.9</v>
      </c>
      <c r="C1391">
        <v>2519</v>
      </c>
      <c r="D1391">
        <v>2487</v>
      </c>
      <c r="E1391" s="7">
        <v>2510.75</v>
      </c>
      <c r="F1391">
        <v>981888</v>
      </c>
      <c r="G1391" s="8">
        <f t="shared" si="210"/>
        <v>2505.5833333333335</v>
      </c>
      <c r="H1391" s="9">
        <f t="shared" si="211"/>
        <v>2460202208</v>
      </c>
      <c r="I1391" s="9">
        <f t="shared" si="214"/>
        <v>22055112228.100002</v>
      </c>
      <c r="J1391" s="9">
        <f t="shared" si="215"/>
        <v>8781630</v>
      </c>
      <c r="K1391" s="21">
        <f t="shared" si="216"/>
        <v>2511.5055209682032</v>
      </c>
      <c r="L1391" s="4" t="str">
        <f t="shared" si="212"/>
        <v>SELL</v>
      </c>
      <c r="M1391" s="4">
        <f t="shared" si="217"/>
        <v>0</v>
      </c>
      <c r="N1391" s="4">
        <f t="shared" si="213"/>
        <v>-1</v>
      </c>
      <c r="O1391" s="4">
        <f t="shared" si="218"/>
        <v>2488.6</v>
      </c>
      <c r="P1391" s="4">
        <f t="shared" si="219"/>
        <v>0</v>
      </c>
    </row>
    <row r="1392" spans="1:16" x14ac:dyDescent="0.25">
      <c r="A1392" s="1">
        <v>43224</v>
      </c>
      <c r="B1392">
        <v>2503.4</v>
      </c>
      <c r="C1392">
        <v>2525</v>
      </c>
      <c r="D1392">
        <v>2500.9</v>
      </c>
      <c r="E1392" s="7">
        <v>2509.6</v>
      </c>
      <c r="F1392">
        <v>589662</v>
      </c>
      <c r="G1392" s="8">
        <f t="shared" si="210"/>
        <v>2511.8333333333335</v>
      </c>
      <c r="H1392" s="9">
        <f t="shared" si="211"/>
        <v>1481132667</v>
      </c>
      <c r="I1392" s="9">
        <f t="shared" si="214"/>
        <v>22438425511.650002</v>
      </c>
      <c r="J1392" s="9">
        <f t="shared" si="215"/>
        <v>8944399</v>
      </c>
      <c r="K1392" s="21">
        <f t="shared" si="216"/>
        <v>2508.6565918682745</v>
      </c>
      <c r="L1392" s="4" t="str">
        <f t="shared" si="212"/>
        <v>BUY</v>
      </c>
      <c r="M1392" s="4" t="str">
        <f t="shared" si="217"/>
        <v>BUY</v>
      </c>
      <c r="N1392" s="4">
        <f t="shared" si="213"/>
        <v>1</v>
      </c>
      <c r="O1392" s="4">
        <f t="shared" si="218"/>
        <v>2509.6</v>
      </c>
      <c r="P1392" s="4">
        <f t="shared" si="219"/>
        <v>-8.4384794663666315E-3</v>
      </c>
    </row>
    <row r="1393" spans="1:16" x14ac:dyDescent="0.25">
      <c r="A1393" s="1">
        <v>43227</v>
      </c>
      <c r="B1393">
        <v>2510.4</v>
      </c>
      <c r="C1393">
        <v>2523</v>
      </c>
      <c r="D1393">
        <v>2486</v>
      </c>
      <c r="E1393" s="7">
        <v>2508.9</v>
      </c>
      <c r="F1393">
        <v>1171346</v>
      </c>
      <c r="G1393" s="8">
        <f t="shared" si="210"/>
        <v>2505.9666666666667</v>
      </c>
      <c r="H1393" s="9">
        <f t="shared" si="211"/>
        <v>2935354031.1333332</v>
      </c>
      <c r="I1393" s="9">
        <f t="shared" si="214"/>
        <v>23734591988.616669</v>
      </c>
      <c r="J1393" s="9">
        <f t="shared" si="215"/>
        <v>9478495</v>
      </c>
      <c r="K1393" s="21">
        <f t="shared" si="216"/>
        <v>2504.046474531734</v>
      </c>
      <c r="L1393" s="4" t="str">
        <f t="shared" si="212"/>
        <v>BUY</v>
      </c>
      <c r="M1393" s="4">
        <f t="shared" si="217"/>
        <v>0</v>
      </c>
      <c r="N1393" s="4">
        <f t="shared" si="213"/>
        <v>1</v>
      </c>
      <c r="O1393" s="4">
        <f t="shared" si="218"/>
        <v>2509.6</v>
      </c>
      <c r="P1393" s="4">
        <f t="shared" si="219"/>
        <v>0</v>
      </c>
    </row>
    <row r="1394" spans="1:16" x14ac:dyDescent="0.25">
      <c r="A1394" s="1">
        <v>43228</v>
      </c>
      <c r="B1394">
        <v>2520</v>
      </c>
      <c r="C1394">
        <v>2550</v>
      </c>
      <c r="D1394">
        <v>2511</v>
      </c>
      <c r="E1394" s="7">
        <v>2547.15</v>
      </c>
      <c r="F1394">
        <v>494497</v>
      </c>
      <c r="G1394" s="8">
        <f t="shared" si="210"/>
        <v>2536.0499999999997</v>
      </c>
      <c r="H1394" s="9">
        <f t="shared" si="211"/>
        <v>1254069116.8499999</v>
      </c>
      <c r="I1394" s="9">
        <f t="shared" si="214"/>
        <v>23311881744.333328</v>
      </c>
      <c r="J1394" s="9">
        <f t="shared" si="215"/>
        <v>9312678</v>
      </c>
      <c r="K1394" s="21">
        <f t="shared" si="216"/>
        <v>2503.2414676351236</v>
      </c>
      <c r="L1394" s="4" t="str">
        <f t="shared" si="212"/>
        <v>BUY</v>
      </c>
      <c r="M1394" s="4">
        <f t="shared" si="217"/>
        <v>0</v>
      </c>
      <c r="N1394" s="4">
        <f t="shared" si="213"/>
        <v>1</v>
      </c>
      <c r="O1394" s="4">
        <f t="shared" si="218"/>
        <v>2509.6</v>
      </c>
      <c r="P1394" s="4">
        <f t="shared" si="219"/>
        <v>0</v>
      </c>
    </row>
    <row r="1395" spans="1:16" x14ac:dyDescent="0.25">
      <c r="A1395" s="1">
        <v>43229</v>
      </c>
      <c r="B1395">
        <v>2565</v>
      </c>
      <c r="C1395">
        <v>2583</v>
      </c>
      <c r="D1395">
        <v>2550.1</v>
      </c>
      <c r="E1395" s="7">
        <v>2573.3000000000002</v>
      </c>
      <c r="F1395">
        <v>1105683</v>
      </c>
      <c r="G1395" s="8">
        <f t="shared" si="210"/>
        <v>2568.8000000000002</v>
      </c>
      <c r="H1395" s="9">
        <f t="shared" si="211"/>
        <v>2840278490.4000001</v>
      </c>
      <c r="I1395" s="9">
        <f t="shared" si="214"/>
        <v>24278827806.23333</v>
      </c>
      <c r="J1395" s="9">
        <f t="shared" si="215"/>
        <v>9669971</v>
      </c>
      <c r="K1395" s="21">
        <f t="shared" si="216"/>
        <v>2510.7446347288251</v>
      </c>
      <c r="L1395" s="4" t="str">
        <f t="shared" si="212"/>
        <v>BUY</v>
      </c>
      <c r="M1395" s="4">
        <f t="shared" si="217"/>
        <v>0</v>
      </c>
      <c r="N1395" s="4">
        <f t="shared" si="213"/>
        <v>1</v>
      </c>
      <c r="O1395" s="4">
        <f t="shared" si="218"/>
        <v>2509.6</v>
      </c>
      <c r="P1395" s="4">
        <f t="shared" si="219"/>
        <v>0</v>
      </c>
    </row>
    <row r="1396" spans="1:16" x14ac:dyDescent="0.25">
      <c r="A1396" s="1">
        <v>43230</v>
      </c>
      <c r="B1396">
        <v>2573</v>
      </c>
      <c r="C1396">
        <v>2573</v>
      </c>
      <c r="D1396">
        <v>2547</v>
      </c>
      <c r="E1396" s="7">
        <v>2552.0500000000002</v>
      </c>
      <c r="F1396">
        <v>594253</v>
      </c>
      <c r="G1396" s="8">
        <f t="shared" si="210"/>
        <v>2557.35</v>
      </c>
      <c r="H1396" s="9">
        <f t="shared" si="211"/>
        <v>1519712909.55</v>
      </c>
      <c r="I1396" s="9">
        <f t="shared" si="214"/>
        <v>23826216404.950001</v>
      </c>
      <c r="J1396" s="9">
        <f t="shared" si="215"/>
        <v>9476738</v>
      </c>
      <c r="K1396" s="21">
        <f t="shared" si="216"/>
        <v>2514.1790777533365</v>
      </c>
      <c r="L1396" s="4" t="str">
        <f t="shared" si="212"/>
        <v>BUY</v>
      </c>
      <c r="M1396" s="4">
        <f t="shared" si="217"/>
        <v>0</v>
      </c>
      <c r="N1396" s="4">
        <f t="shared" si="213"/>
        <v>1</v>
      </c>
      <c r="O1396" s="4">
        <f t="shared" si="218"/>
        <v>2509.6</v>
      </c>
      <c r="P1396" s="4">
        <f t="shared" si="219"/>
        <v>0</v>
      </c>
    </row>
    <row r="1397" spans="1:16" x14ac:dyDescent="0.25">
      <c r="A1397" s="1">
        <v>43231</v>
      </c>
      <c r="B1397">
        <v>2572</v>
      </c>
      <c r="C1397">
        <v>2589</v>
      </c>
      <c r="D1397">
        <v>2556.6</v>
      </c>
      <c r="E1397" s="7">
        <v>2572.1</v>
      </c>
      <c r="F1397">
        <v>715591</v>
      </c>
      <c r="G1397" s="8">
        <f t="shared" si="210"/>
        <v>2572.5666666666671</v>
      </c>
      <c r="H1397" s="9">
        <f t="shared" si="211"/>
        <v>1840905553.5666668</v>
      </c>
      <c r="I1397" s="9">
        <f t="shared" si="214"/>
        <v>23168059924.916668</v>
      </c>
      <c r="J1397" s="9">
        <f t="shared" si="215"/>
        <v>9190460</v>
      </c>
      <c r="K1397" s="21">
        <f t="shared" si="216"/>
        <v>2520.8814275799764</v>
      </c>
      <c r="L1397" s="4" t="str">
        <f t="shared" si="212"/>
        <v>BUY</v>
      </c>
      <c r="M1397" s="4">
        <f t="shared" si="217"/>
        <v>0</v>
      </c>
      <c r="N1397" s="4">
        <f t="shared" si="213"/>
        <v>1</v>
      </c>
      <c r="O1397" s="4">
        <f t="shared" si="218"/>
        <v>2509.6</v>
      </c>
      <c r="P1397" s="4">
        <f t="shared" si="219"/>
        <v>0</v>
      </c>
    </row>
    <row r="1398" spans="1:16" x14ac:dyDescent="0.25">
      <c r="A1398" s="1">
        <v>43234</v>
      </c>
      <c r="B1398">
        <v>2578</v>
      </c>
      <c r="C1398">
        <v>2610</v>
      </c>
      <c r="D1398">
        <v>2542.1</v>
      </c>
      <c r="E1398" s="7">
        <v>2604.1999999999998</v>
      </c>
      <c r="F1398">
        <v>1100153</v>
      </c>
      <c r="G1398" s="8">
        <f t="shared" si="210"/>
        <v>2585.4333333333334</v>
      </c>
      <c r="H1398" s="9">
        <f t="shared" si="211"/>
        <v>2844372237.9666667</v>
      </c>
      <c r="I1398" s="9">
        <f t="shared" si="214"/>
        <v>23644286549.283333</v>
      </c>
      <c r="J1398" s="9">
        <f t="shared" si="215"/>
        <v>9345019</v>
      </c>
      <c r="K1398" s="21">
        <f t="shared" si="216"/>
        <v>2530.1485796105212</v>
      </c>
      <c r="L1398" s="4" t="str">
        <f t="shared" si="212"/>
        <v>BUY</v>
      </c>
      <c r="M1398" s="4">
        <f t="shared" si="217"/>
        <v>0</v>
      </c>
      <c r="N1398" s="4">
        <f t="shared" si="213"/>
        <v>1</v>
      </c>
      <c r="O1398" s="4">
        <f t="shared" si="218"/>
        <v>2509.6</v>
      </c>
      <c r="P1398" s="4">
        <f t="shared" si="219"/>
        <v>0</v>
      </c>
    </row>
    <row r="1399" spans="1:16" x14ac:dyDescent="0.25">
      <c r="A1399" s="1">
        <v>43235</v>
      </c>
      <c r="B1399">
        <v>2603.1</v>
      </c>
      <c r="C1399">
        <v>2691.4</v>
      </c>
      <c r="D1399">
        <v>2602</v>
      </c>
      <c r="E1399" s="7">
        <v>2671.7</v>
      </c>
      <c r="F1399">
        <v>1739892</v>
      </c>
      <c r="G1399" s="8">
        <f t="shared" si="210"/>
        <v>2655.0333333333333</v>
      </c>
      <c r="H1399" s="9">
        <f t="shared" si="211"/>
        <v>4619471256.3999996</v>
      </c>
      <c r="I1399" s="9">
        <f t="shared" si="214"/>
        <v>25244978541.449997</v>
      </c>
      <c r="J1399" s="9">
        <f t="shared" si="215"/>
        <v>9878252</v>
      </c>
      <c r="K1399" s="21">
        <f t="shared" si="216"/>
        <v>2555.6119181257977</v>
      </c>
      <c r="L1399" s="4" t="str">
        <f t="shared" si="212"/>
        <v>BUY</v>
      </c>
      <c r="M1399" s="4">
        <f t="shared" si="217"/>
        <v>0</v>
      </c>
      <c r="N1399" s="4">
        <f t="shared" si="213"/>
        <v>1</v>
      </c>
      <c r="O1399" s="4">
        <f t="shared" si="218"/>
        <v>2509.6</v>
      </c>
      <c r="P1399" s="4">
        <f t="shared" si="219"/>
        <v>0</v>
      </c>
    </row>
    <row r="1400" spans="1:16" x14ac:dyDescent="0.25">
      <c r="A1400" s="1">
        <v>43236</v>
      </c>
      <c r="B1400">
        <v>2670</v>
      </c>
      <c r="C1400">
        <v>2684</v>
      </c>
      <c r="D1400">
        <v>2556</v>
      </c>
      <c r="E1400" s="7">
        <v>2635.6</v>
      </c>
      <c r="F1400">
        <v>703213</v>
      </c>
      <c r="G1400" s="8">
        <f t="shared" si="210"/>
        <v>2625.2000000000003</v>
      </c>
      <c r="H1400" s="9">
        <f t="shared" si="211"/>
        <v>1846074767.6000001</v>
      </c>
      <c r="I1400" s="9">
        <f t="shared" si="214"/>
        <v>23641573238.466667</v>
      </c>
      <c r="J1400" s="9">
        <f t="shared" si="215"/>
        <v>9196178</v>
      </c>
      <c r="K1400" s="21">
        <f t="shared" si="216"/>
        <v>2570.8042230660026</v>
      </c>
      <c r="L1400" s="4" t="str">
        <f t="shared" si="212"/>
        <v>BUY</v>
      </c>
      <c r="M1400" s="4">
        <f t="shared" si="217"/>
        <v>0</v>
      </c>
      <c r="N1400" s="4">
        <f t="shared" si="213"/>
        <v>1</v>
      </c>
      <c r="O1400" s="4">
        <f t="shared" si="218"/>
        <v>2509.6</v>
      </c>
      <c r="P1400" s="4">
        <f t="shared" si="219"/>
        <v>0</v>
      </c>
    </row>
    <row r="1401" spans="1:16" x14ac:dyDescent="0.25">
      <c r="A1401" s="1">
        <v>43237</v>
      </c>
      <c r="B1401">
        <v>2638</v>
      </c>
      <c r="C1401">
        <v>2719.35</v>
      </c>
      <c r="D1401">
        <v>2637.1</v>
      </c>
      <c r="E1401" s="7">
        <v>2703.2</v>
      </c>
      <c r="F1401">
        <v>1146982</v>
      </c>
      <c r="G1401" s="8">
        <f t="shared" si="210"/>
        <v>2686.5499999999997</v>
      </c>
      <c r="H1401" s="9">
        <f t="shared" si="211"/>
        <v>3081424492.0999999</v>
      </c>
      <c r="I1401" s="9">
        <f t="shared" si="214"/>
        <v>24262795522.566666</v>
      </c>
      <c r="J1401" s="9">
        <f t="shared" si="215"/>
        <v>9361272</v>
      </c>
      <c r="K1401" s="21">
        <f t="shared" si="216"/>
        <v>2591.8267862066891</v>
      </c>
      <c r="L1401" s="4" t="str">
        <f t="shared" si="212"/>
        <v>BUY</v>
      </c>
      <c r="M1401" s="4">
        <f t="shared" si="217"/>
        <v>0</v>
      </c>
      <c r="N1401" s="4">
        <f t="shared" si="213"/>
        <v>1</v>
      </c>
      <c r="O1401" s="4">
        <f t="shared" si="218"/>
        <v>2509.6</v>
      </c>
      <c r="P1401" s="4">
        <f t="shared" si="219"/>
        <v>0</v>
      </c>
    </row>
    <row r="1402" spans="1:16" x14ac:dyDescent="0.25">
      <c r="A1402" s="1">
        <v>43238</v>
      </c>
      <c r="B1402">
        <v>2690.1</v>
      </c>
      <c r="C1402">
        <v>2696.8</v>
      </c>
      <c r="D1402">
        <v>2655</v>
      </c>
      <c r="E1402" s="7">
        <v>2684.75</v>
      </c>
      <c r="F1402">
        <v>386822</v>
      </c>
      <c r="G1402" s="8">
        <f t="shared" si="210"/>
        <v>2678.85</v>
      </c>
      <c r="H1402" s="9">
        <f t="shared" si="211"/>
        <v>1036238114.6999999</v>
      </c>
      <c r="I1402" s="9">
        <f t="shared" si="214"/>
        <v>23817900970.266666</v>
      </c>
      <c r="J1402" s="9">
        <f t="shared" si="215"/>
        <v>9158432</v>
      </c>
      <c r="K1402" s="21">
        <f t="shared" si="216"/>
        <v>2600.6527067369902</v>
      </c>
      <c r="L1402" s="4" t="str">
        <f t="shared" si="212"/>
        <v>BUY</v>
      </c>
      <c r="M1402" s="4">
        <f t="shared" si="217"/>
        <v>0</v>
      </c>
      <c r="N1402" s="4">
        <f t="shared" si="213"/>
        <v>1</v>
      </c>
      <c r="O1402" s="4">
        <f t="shared" si="218"/>
        <v>2509.6</v>
      </c>
      <c r="P1402" s="4">
        <f t="shared" si="219"/>
        <v>0</v>
      </c>
    </row>
    <row r="1403" spans="1:16" x14ac:dyDescent="0.25">
      <c r="A1403" s="1">
        <v>43241</v>
      </c>
      <c r="B1403">
        <v>2706.9</v>
      </c>
      <c r="C1403">
        <v>2749.9</v>
      </c>
      <c r="D1403">
        <v>2690</v>
      </c>
      <c r="E1403" s="7">
        <v>2740.9</v>
      </c>
      <c r="F1403">
        <v>958463</v>
      </c>
      <c r="G1403" s="8">
        <f t="shared" si="210"/>
        <v>2726.9333333333329</v>
      </c>
      <c r="H1403" s="9">
        <f t="shared" si="211"/>
        <v>2613664703.4666662</v>
      </c>
      <c r="I1403" s="9">
        <f t="shared" si="214"/>
        <v>23496211642.600002</v>
      </c>
      <c r="J1403" s="9">
        <f t="shared" si="215"/>
        <v>8945549</v>
      </c>
      <c r="K1403" s="21">
        <f t="shared" si="216"/>
        <v>2626.5812911650255</v>
      </c>
      <c r="L1403" s="4" t="str">
        <f t="shared" si="212"/>
        <v>BUY</v>
      </c>
      <c r="M1403" s="4">
        <f t="shared" si="217"/>
        <v>0</v>
      </c>
      <c r="N1403" s="4">
        <f t="shared" si="213"/>
        <v>1</v>
      </c>
      <c r="O1403" s="4">
        <f t="shared" si="218"/>
        <v>2509.6</v>
      </c>
      <c r="P1403" s="4">
        <f t="shared" si="219"/>
        <v>0</v>
      </c>
    </row>
    <row r="1404" spans="1:16" x14ac:dyDescent="0.25">
      <c r="A1404" s="1">
        <v>43242</v>
      </c>
      <c r="B1404">
        <v>2750</v>
      </c>
      <c r="C1404">
        <v>2752.85</v>
      </c>
      <c r="D1404">
        <v>2721.9</v>
      </c>
      <c r="E1404" s="7">
        <v>2733.6</v>
      </c>
      <c r="F1404">
        <v>845035</v>
      </c>
      <c r="G1404" s="8">
        <f t="shared" si="210"/>
        <v>2736.1166666666668</v>
      </c>
      <c r="H1404" s="9">
        <f t="shared" si="211"/>
        <v>2312114347.416667</v>
      </c>
      <c r="I1404" s="9">
        <f t="shared" si="214"/>
        <v>24554256873.166668</v>
      </c>
      <c r="J1404" s="9">
        <f t="shared" si="215"/>
        <v>9296087</v>
      </c>
      <c r="K1404" s="21">
        <f t="shared" si="216"/>
        <v>2641.3540313431522</v>
      </c>
      <c r="L1404" s="4" t="str">
        <f t="shared" si="212"/>
        <v>BUY</v>
      </c>
      <c r="M1404" s="4">
        <f t="shared" si="217"/>
        <v>0</v>
      </c>
      <c r="N1404" s="4">
        <f t="shared" si="213"/>
        <v>1</v>
      </c>
      <c r="O1404" s="4">
        <f t="shared" si="218"/>
        <v>2509.6</v>
      </c>
      <c r="P1404" s="4">
        <f t="shared" si="219"/>
        <v>0</v>
      </c>
    </row>
    <row r="1405" spans="1:16" x14ac:dyDescent="0.25">
      <c r="A1405" s="1">
        <v>43243</v>
      </c>
      <c r="B1405">
        <v>2745</v>
      </c>
      <c r="C1405">
        <v>2745</v>
      </c>
      <c r="D1405">
        <v>2672</v>
      </c>
      <c r="E1405" s="7">
        <v>2686.85</v>
      </c>
      <c r="F1405">
        <v>1174649</v>
      </c>
      <c r="G1405" s="8">
        <f t="shared" si="210"/>
        <v>2701.2833333333333</v>
      </c>
      <c r="H1405" s="9">
        <f t="shared" si="211"/>
        <v>3173059766.2166667</v>
      </c>
      <c r="I1405" s="9">
        <f t="shared" si="214"/>
        <v>24887038148.983337</v>
      </c>
      <c r="J1405" s="9">
        <f t="shared" si="215"/>
        <v>9365053</v>
      </c>
      <c r="K1405" s="21">
        <f t="shared" si="216"/>
        <v>2657.4369786250368</v>
      </c>
      <c r="L1405" s="4" t="str">
        <f t="shared" si="212"/>
        <v>BUY</v>
      </c>
      <c r="M1405" s="4">
        <f t="shared" si="217"/>
        <v>0</v>
      </c>
      <c r="N1405" s="4">
        <f t="shared" si="213"/>
        <v>1</v>
      </c>
      <c r="O1405" s="4">
        <f t="shared" si="218"/>
        <v>2509.6</v>
      </c>
      <c r="P1405" s="4">
        <f t="shared" si="219"/>
        <v>0</v>
      </c>
    </row>
    <row r="1406" spans="1:16" x14ac:dyDescent="0.25">
      <c r="A1406" s="1">
        <v>43244</v>
      </c>
      <c r="B1406">
        <v>2712</v>
      </c>
      <c r="C1406">
        <v>2729.9</v>
      </c>
      <c r="D1406">
        <v>2655.1</v>
      </c>
      <c r="E1406" s="7">
        <v>2676.15</v>
      </c>
      <c r="F1406">
        <v>1768040</v>
      </c>
      <c r="G1406" s="8">
        <f t="shared" si="210"/>
        <v>2687.0499999999997</v>
      </c>
      <c r="H1406" s="9">
        <f t="shared" si="211"/>
        <v>4750811881.999999</v>
      </c>
      <c r="I1406" s="9">
        <f t="shared" si="214"/>
        <v>28118137121.433338</v>
      </c>
      <c r="J1406" s="9">
        <f t="shared" si="215"/>
        <v>10538840</v>
      </c>
      <c r="K1406" s="21">
        <f t="shared" si="216"/>
        <v>2668.0485823329072</v>
      </c>
      <c r="L1406" s="4" t="str">
        <f t="shared" si="212"/>
        <v>BUY</v>
      </c>
      <c r="M1406" s="4">
        <f t="shared" si="217"/>
        <v>0</v>
      </c>
      <c r="N1406" s="4">
        <f t="shared" si="213"/>
        <v>1</v>
      </c>
      <c r="O1406" s="4">
        <f t="shared" si="218"/>
        <v>2509.6</v>
      </c>
      <c r="P1406" s="4">
        <f t="shared" si="219"/>
        <v>0</v>
      </c>
    </row>
    <row r="1407" spans="1:16" x14ac:dyDescent="0.25">
      <c r="A1407" s="1">
        <v>43245</v>
      </c>
      <c r="B1407">
        <v>2639</v>
      </c>
      <c r="C1407">
        <v>2645</v>
      </c>
      <c r="D1407">
        <v>2569.1</v>
      </c>
      <c r="E1407" s="7">
        <v>2578.65</v>
      </c>
      <c r="F1407">
        <v>2346172</v>
      </c>
      <c r="G1407" s="8">
        <f t="shared" si="210"/>
        <v>2597.5833333333335</v>
      </c>
      <c r="H1407" s="9">
        <f t="shared" si="211"/>
        <v>6094377284.333334</v>
      </c>
      <c r="I1407" s="9">
        <f t="shared" si="214"/>
        <v>32371608852.200005</v>
      </c>
      <c r="J1407" s="9">
        <f t="shared" si="215"/>
        <v>12169421</v>
      </c>
      <c r="K1407" s="21">
        <f t="shared" si="216"/>
        <v>2660.0779817051284</v>
      </c>
      <c r="L1407" s="4" t="str">
        <f t="shared" si="212"/>
        <v>SELL</v>
      </c>
      <c r="M1407" s="4" t="str">
        <f t="shared" si="217"/>
        <v>SELL</v>
      </c>
      <c r="N1407" s="4">
        <f t="shared" si="213"/>
        <v>-1</v>
      </c>
      <c r="O1407" s="4">
        <f t="shared" si="218"/>
        <v>2578.65</v>
      </c>
      <c r="P1407" s="4">
        <f t="shared" si="219"/>
        <v>2.7514344915524461E-2</v>
      </c>
    </row>
    <row r="1408" spans="1:16" x14ac:dyDescent="0.25">
      <c r="A1408" s="1">
        <v>43248</v>
      </c>
      <c r="B1408">
        <v>2587.9</v>
      </c>
      <c r="C1408">
        <v>2622</v>
      </c>
      <c r="D1408">
        <v>2535.5</v>
      </c>
      <c r="E1408" s="7">
        <v>2567.15</v>
      </c>
      <c r="F1408">
        <v>1962900</v>
      </c>
      <c r="G1408" s="8">
        <f t="shared" si="210"/>
        <v>2574.8833333333332</v>
      </c>
      <c r="H1408" s="9">
        <f t="shared" si="211"/>
        <v>5054238495</v>
      </c>
      <c r="I1408" s="9">
        <f t="shared" si="214"/>
        <v>34581475109.233337</v>
      </c>
      <c r="J1408" s="9">
        <f t="shared" si="215"/>
        <v>13032168</v>
      </c>
      <c r="K1408" s="21">
        <f t="shared" si="216"/>
        <v>2653.5473690358608</v>
      </c>
      <c r="L1408" s="4" t="str">
        <f t="shared" si="212"/>
        <v>SELL</v>
      </c>
      <c r="M1408" s="4">
        <f t="shared" si="217"/>
        <v>0</v>
      </c>
      <c r="N1408" s="4">
        <f t="shared" si="213"/>
        <v>-1</v>
      </c>
      <c r="O1408" s="4">
        <f t="shared" si="218"/>
        <v>2578.65</v>
      </c>
      <c r="P1408" s="4">
        <f t="shared" si="219"/>
        <v>0</v>
      </c>
    </row>
    <row r="1409" spans="1:16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 s="7">
        <v>2576.75</v>
      </c>
      <c r="F1409">
        <v>1608079</v>
      </c>
      <c r="G1409" s="8">
        <f t="shared" si="210"/>
        <v>2575.9</v>
      </c>
      <c r="H1409" s="9">
        <f t="shared" si="211"/>
        <v>4142250696.1000004</v>
      </c>
      <c r="I1409" s="9">
        <f t="shared" si="214"/>
        <v>34104254548.933334</v>
      </c>
      <c r="J1409" s="9">
        <f t="shared" si="215"/>
        <v>12900355</v>
      </c>
      <c r="K1409" s="21">
        <f t="shared" si="216"/>
        <v>2643.6679106065944</v>
      </c>
      <c r="L1409" s="4" t="str">
        <f t="shared" si="212"/>
        <v>SELL</v>
      </c>
      <c r="M1409" s="4">
        <f t="shared" si="217"/>
        <v>0</v>
      </c>
      <c r="N1409" s="4">
        <f t="shared" si="213"/>
        <v>-1</v>
      </c>
      <c r="O1409" s="4">
        <f t="shared" si="218"/>
        <v>2578.65</v>
      </c>
      <c r="P1409" s="4">
        <f t="shared" si="219"/>
        <v>0</v>
      </c>
    </row>
    <row r="1410" spans="1:16" x14ac:dyDescent="0.25">
      <c r="A1410" s="1">
        <v>43250</v>
      </c>
      <c r="B1410">
        <v>2614.9</v>
      </c>
      <c r="C1410">
        <v>2614.9</v>
      </c>
      <c r="D1410">
        <v>2545.8000000000002</v>
      </c>
      <c r="E1410" s="7">
        <v>2574.65</v>
      </c>
      <c r="F1410">
        <v>2632399</v>
      </c>
      <c r="G1410" s="8">
        <f t="shared" ref="G1410:G1473" si="220">AVERAGE(C1410:E1410)</f>
        <v>2578.4500000000003</v>
      </c>
      <c r="H1410" s="9">
        <f t="shared" si="211"/>
        <v>6787509201.5500011</v>
      </c>
      <c r="I1410" s="9">
        <f t="shared" si="214"/>
        <v>39045688982.883339</v>
      </c>
      <c r="J1410" s="9">
        <f t="shared" si="215"/>
        <v>14829541</v>
      </c>
      <c r="K1410" s="21">
        <f t="shared" si="216"/>
        <v>2632.966791277177</v>
      </c>
      <c r="L1410" s="4" t="str">
        <f t="shared" si="212"/>
        <v>SELL</v>
      </c>
      <c r="M1410" s="4">
        <f t="shared" si="217"/>
        <v>0</v>
      </c>
      <c r="N1410" s="4">
        <f t="shared" si="213"/>
        <v>-1</v>
      </c>
      <c r="O1410" s="4">
        <f t="shared" si="218"/>
        <v>2578.65</v>
      </c>
      <c r="P1410" s="4">
        <f t="shared" si="219"/>
        <v>0</v>
      </c>
    </row>
    <row r="1411" spans="1:16" x14ac:dyDescent="0.25">
      <c r="A1411" s="1">
        <v>43251</v>
      </c>
      <c r="B1411">
        <v>2609</v>
      </c>
      <c r="C1411">
        <v>2609</v>
      </c>
      <c r="D1411">
        <v>2557.6999999999998</v>
      </c>
      <c r="E1411" s="7">
        <v>2570.85</v>
      </c>
      <c r="F1411">
        <v>1372076</v>
      </c>
      <c r="G1411" s="8">
        <f t="shared" si="220"/>
        <v>2579.1833333333329</v>
      </c>
      <c r="H1411" s="9">
        <f t="shared" ref="H1411:H1474" si="221">G1411*F1411</f>
        <v>3538835551.2666659</v>
      </c>
      <c r="I1411" s="9">
        <f t="shared" si="214"/>
        <v>39503100042.049995</v>
      </c>
      <c r="J1411" s="9">
        <f t="shared" si="215"/>
        <v>15054635</v>
      </c>
      <c r="K1411" s="21">
        <f t="shared" si="216"/>
        <v>2623.9825835730985</v>
      </c>
      <c r="L1411" s="4" t="str">
        <f t="shared" si="212"/>
        <v>SELL</v>
      </c>
      <c r="M1411" s="4">
        <f t="shared" si="217"/>
        <v>0</v>
      </c>
      <c r="N1411" s="4">
        <f t="shared" si="213"/>
        <v>-1</v>
      </c>
      <c r="O1411" s="4">
        <f t="shared" si="218"/>
        <v>2578.65</v>
      </c>
      <c r="P1411" s="4">
        <f t="shared" si="219"/>
        <v>0</v>
      </c>
    </row>
    <row r="1412" spans="1:16" x14ac:dyDescent="0.25">
      <c r="A1412" s="1">
        <v>43252</v>
      </c>
      <c r="B1412">
        <v>2590</v>
      </c>
      <c r="C1412">
        <v>2590</v>
      </c>
      <c r="D1412">
        <v>2531.0500000000002</v>
      </c>
      <c r="E1412" s="7">
        <v>2564.0500000000002</v>
      </c>
      <c r="F1412">
        <v>1846022</v>
      </c>
      <c r="G1412" s="8">
        <f t="shared" si="220"/>
        <v>2561.7000000000003</v>
      </c>
      <c r="H1412" s="9">
        <f t="shared" si="221"/>
        <v>4728954557.4000006</v>
      </c>
      <c r="I1412" s="9">
        <f t="shared" si="214"/>
        <v>43195816484.75</v>
      </c>
      <c r="J1412" s="9">
        <f t="shared" si="215"/>
        <v>16513835</v>
      </c>
      <c r="K1412" s="21">
        <f t="shared" si="216"/>
        <v>2615.7350176231021</v>
      </c>
      <c r="L1412" s="4" t="str">
        <f t="shared" si="212"/>
        <v>SELL</v>
      </c>
      <c r="M1412" s="4">
        <f t="shared" si="217"/>
        <v>0</v>
      </c>
      <c r="N1412" s="4">
        <f t="shared" si="213"/>
        <v>-1</v>
      </c>
      <c r="O1412" s="4">
        <f t="shared" si="218"/>
        <v>2578.65</v>
      </c>
      <c r="P1412" s="4">
        <f t="shared" si="219"/>
        <v>0</v>
      </c>
    </row>
    <row r="1413" spans="1:16" x14ac:dyDescent="0.25">
      <c r="A1413" s="1">
        <v>43255</v>
      </c>
      <c r="B1413">
        <v>2556</v>
      </c>
      <c r="C1413">
        <v>2611.1999999999998</v>
      </c>
      <c r="D1413">
        <v>2530</v>
      </c>
      <c r="E1413" s="7">
        <v>2537.4</v>
      </c>
      <c r="F1413">
        <v>1493801</v>
      </c>
      <c r="G1413" s="8">
        <f t="shared" si="220"/>
        <v>2559.5333333333333</v>
      </c>
      <c r="H1413" s="9">
        <f t="shared" si="221"/>
        <v>3823433452.8666668</v>
      </c>
      <c r="I1413" s="9">
        <f t="shared" si="214"/>
        <v>44405585234.150002</v>
      </c>
      <c r="J1413" s="9">
        <f t="shared" si="215"/>
        <v>17049173</v>
      </c>
      <c r="K1413" s="21">
        <f t="shared" si="216"/>
        <v>2604.5594841550378</v>
      </c>
      <c r="L1413" s="4" t="str">
        <f t="shared" si="212"/>
        <v>SELL</v>
      </c>
      <c r="M1413" s="4">
        <f t="shared" si="217"/>
        <v>0</v>
      </c>
      <c r="N1413" s="4">
        <f t="shared" si="213"/>
        <v>-1</v>
      </c>
      <c r="O1413" s="4">
        <f t="shared" si="218"/>
        <v>2578.65</v>
      </c>
      <c r="P1413" s="4">
        <f t="shared" si="219"/>
        <v>0</v>
      </c>
    </row>
    <row r="1414" spans="1:16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 s="7">
        <v>2591.8000000000002</v>
      </c>
      <c r="F1414">
        <v>1882975</v>
      </c>
      <c r="G1414" s="8">
        <f t="shared" si="220"/>
        <v>2586.75</v>
      </c>
      <c r="H1414" s="9">
        <f t="shared" si="221"/>
        <v>4870785581.25</v>
      </c>
      <c r="I1414" s="9">
        <f t="shared" si="214"/>
        <v>46964256467.983337</v>
      </c>
      <c r="J1414" s="9">
        <f t="shared" si="215"/>
        <v>18087113</v>
      </c>
      <c r="K1414" s="21">
        <f t="shared" si="216"/>
        <v>2596.5590234319507</v>
      </c>
      <c r="L1414" s="4" t="str">
        <f t="shared" si="212"/>
        <v>SELL</v>
      </c>
      <c r="M1414" s="4">
        <f t="shared" si="217"/>
        <v>0</v>
      </c>
      <c r="N1414" s="4">
        <f t="shared" si="213"/>
        <v>-1</v>
      </c>
      <c r="O1414" s="4">
        <f t="shared" si="218"/>
        <v>2578.65</v>
      </c>
      <c r="P1414" s="4">
        <f t="shared" si="219"/>
        <v>0</v>
      </c>
    </row>
    <row r="1415" spans="1:16" x14ac:dyDescent="0.25">
      <c r="A1415" s="1">
        <v>43257</v>
      </c>
      <c r="B1415">
        <v>2596.1</v>
      </c>
      <c r="C1415">
        <v>2615</v>
      </c>
      <c r="D1415">
        <v>2576.25</v>
      </c>
      <c r="E1415" s="7">
        <v>2605.6</v>
      </c>
      <c r="F1415">
        <v>1132537</v>
      </c>
      <c r="G1415" s="8">
        <f t="shared" si="220"/>
        <v>2598.9500000000003</v>
      </c>
      <c r="H1415" s="9">
        <f t="shared" si="221"/>
        <v>2943407036.1500001</v>
      </c>
      <c r="I1415" s="9">
        <f t="shared" si="214"/>
        <v>46734603737.916672</v>
      </c>
      <c r="J1415" s="9">
        <f t="shared" si="215"/>
        <v>18045001</v>
      </c>
      <c r="K1415" s="21">
        <f t="shared" si="216"/>
        <v>2589.8920004447032</v>
      </c>
      <c r="L1415" s="4" t="str">
        <f t="shared" si="212"/>
        <v>BUY</v>
      </c>
      <c r="M1415" s="4" t="str">
        <f t="shared" si="217"/>
        <v>BUY</v>
      </c>
      <c r="N1415" s="4">
        <f t="shared" si="213"/>
        <v>1</v>
      </c>
      <c r="O1415" s="4">
        <f t="shared" si="218"/>
        <v>2605.6</v>
      </c>
      <c r="P1415" s="4">
        <f t="shared" si="219"/>
        <v>-1.0451205087933537E-2</v>
      </c>
    </row>
    <row r="1416" spans="1:16" x14ac:dyDescent="0.25">
      <c r="A1416" s="1">
        <v>43258</v>
      </c>
      <c r="B1416">
        <v>2611.4</v>
      </c>
      <c r="C1416">
        <v>2614.9</v>
      </c>
      <c r="D1416">
        <v>2539.15</v>
      </c>
      <c r="E1416" s="7">
        <v>2547.4499999999998</v>
      </c>
      <c r="F1416">
        <v>1213198</v>
      </c>
      <c r="G1416" s="8">
        <f t="shared" si="220"/>
        <v>2567.1666666666665</v>
      </c>
      <c r="H1416" s="9">
        <f t="shared" si="221"/>
        <v>3114481465.6666665</v>
      </c>
      <c r="I1416" s="9">
        <f t="shared" si="214"/>
        <v>45098273321.583336</v>
      </c>
      <c r="J1416" s="9">
        <f t="shared" si="215"/>
        <v>17490159</v>
      </c>
      <c r="K1416" s="21">
        <f t="shared" si="216"/>
        <v>2578.4941875933396</v>
      </c>
      <c r="L1416" s="4" t="str">
        <f t="shared" si="212"/>
        <v>SELL</v>
      </c>
      <c r="M1416" s="4" t="str">
        <f t="shared" si="217"/>
        <v>SELL</v>
      </c>
      <c r="N1416" s="4">
        <f t="shared" si="213"/>
        <v>-1</v>
      </c>
      <c r="O1416" s="4">
        <f t="shared" si="218"/>
        <v>2547.4499999999998</v>
      </c>
      <c r="P1416" s="4">
        <f t="shared" si="219"/>
        <v>-2.2317316548971483E-2</v>
      </c>
    </row>
    <row r="1417" spans="1:16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 s="7">
        <v>2539.75</v>
      </c>
      <c r="F1417">
        <v>879592</v>
      </c>
      <c r="G1417" s="8">
        <f t="shared" si="220"/>
        <v>2544.1333333333332</v>
      </c>
      <c r="H1417" s="9">
        <f t="shared" si="221"/>
        <v>2237799326.9333334</v>
      </c>
      <c r="I1417" s="9">
        <f t="shared" si="214"/>
        <v>41241695364.183334</v>
      </c>
      <c r="J1417" s="9">
        <f t="shared" si="215"/>
        <v>16023579</v>
      </c>
      <c r="K1417" s="21">
        <f t="shared" si="216"/>
        <v>2573.8129642686777</v>
      </c>
      <c r="L1417" s="4" t="str">
        <f t="shared" si="212"/>
        <v>SELL</v>
      </c>
      <c r="M1417" s="4">
        <f t="shared" si="217"/>
        <v>0</v>
      </c>
      <c r="N1417" s="4">
        <f t="shared" si="213"/>
        <v>-1</v>
      </c>
      <c r="O1417" s="4">
        <f t="shared" si="218"/>
        <v>2547.4499999999998</v>
      </c>
      <c r="P1417" s="4">
        <f t="shared" si="219"/>
        <v>0</v>
      </c>
    </row>
    <row r="1418" spans="1:16" x14ac:dyDescent="0.25">
      <c r="A1418" s="1">
        <v>43262</v>
      </c>
      <c r="B1418">
        <v>2545</v>
      </c>
      <c r="C1418">
        <v>2564.1</v>
      </c>
      <c r="D1418">
        <v>2523.5</v>
      </c>
      <c r="E1418" s="7">
        <v>2540.3000000000002</v>
      </c>
      <c r="F1418">
        <v>893873</v>
      </c>
      <c r="G1418" s="8">
        <f t="shared" si="220"/>
        <v>2542.6333333333337</v>
      </c>
      <c r="H1418" s="9">
        <f t="shared" si="221"/>
        <v>2272791285.5666671</v>
      </c>
      <c r="I1418" s="9">
        <f t="shared" si="214"/>
        <v>38460248154.75</v>
      </c>
      <c r="J1418" s="9">
        <f t="shared" si="215"/>
        <v>14954552</v>
      </c>
      <c r="K1418" s="21">
        <f t="shared" si="216"/>
        <v>2571.8087813496518</v>
      </c>
      <c r="L1418" s="4" t="str">
        <f t="shared" si="212"/>
        <v>SELL</v>
      </c>
      <c r="M1418" s="4">
        <f t="shared" si="217"/>
        <v>0</v>
      </c>
      <c r="N1418" s="4">
        <f t="shared" si="213"/>
        <v>-1</v>
      </c>
      <c r="O1418" s="4">
        <f t="shared" si="218"/>
        <v>2547.4499999999998</v>
      </c>
      <c r="P1418" s="4">
        <f t="shared" si="219"/>
        <v>0</v>
      </c>
    </row>
    <row r="1419" spans="1:16" x14ac:dyDescent="0.25">
      <c r="A1419" s="1">
        <v>43263</v>
      </c>
      <c r="B1419">
        <v>2562.9499999999998</v>
      </c>
      <c r="C1419">
        <v>2574</v>
      </c>
      <c r="D1419">
        <v>2544</v>
      </c>
      <c r="E1419" s="7">
        <v>2549.75</v>
      </c>
      <c r="F1419">
        <v>1022538</v>
      </c>
      <c r="G1419" s="8">
        <f t="shared" si="220"/>
        <v>2555.9166666666665</v>
      </c>
      <c r="H1419" s="9">
        <f t="shared" si="221"/>
        <v>2613521916.5</v>
      </c>
      <c r="I1419" s="9">
        <f t="shared" si="214"/>
        <v>36931519375.150009</v>
      </c>
      <c r="J1419" s="9">
        <f t="shared" si="215"/>
        <v>14369011</v>
      </c>
      <c r="K1419" s="21">
        <f t="shared" si="216"/>
        <v>2570.2199946224559</v>
      </c>
      <c r="L1419" s="4" t="str">
        <f t="shared" ref="L1419:L1482" si="222">IF(E1419&gt;K1419,"BUY",IF(E1419&lt;K1419,"SELL",0))</f>
        <v>SELL</v>
      </c>
      <c r="M1419" s="4">
        <f t="shared" si="217"/>
        <v>0</v>
      </c>
      <c r="N1419" s="4">
        <f t="shared" ref="N1419:N1482" si="223">IF(M1419="BUY",1,IF(M1419="SELL",-1,N1418))</f>
        <v>-1</v>
      </c>
      <c r="O1419" s="4">
        <f t="shared" si="218"/>
        <v>2547.4499999999998</v>
      </c>
      <c r="P1419" s="4">
        <f t="shared" si="219"/>
        <v>0</v>
      </c>
    </row>
    <row r="1420" spans="1:16" x14ac:dyDescent="0.25">
      <c r="A1420" s="1">
        <v>43264</v>
      </c>
      <c r="B1420">
        <v>2542</v>
      </c>
      <c r="C1420">
        <v>2578.5</v>
      </c>
      <c r="D1420">
        <v>2527</v>
      </c>
      <c r="E1420" s="7">
        <v>2545.4</v>
      </c>
      <c r="F1420">
        <v>1332909</v>
      </c>
      <c r="G1420" s="8">
        <f t="shared" si="220"/>
        <v>2550.2999999999997</v>
      </c>
      <c r="H1420" s="9">
        <f t="shared" si="221"/>
        <v>3399317822.6999998</v>
      </c>
      <c r="I1420" s="9">
        <f t="shared" ref="I1420:I1483" si="224">SUM(H1411:H1420)</f>
        <v>33543327996.300003</v>
      </c>
      <c r="J1420" s="9">
        <f t="shared" ref="J1420:J1483" si="225">SUM(F1411:F1420)</f>
        <v>13069521</v>
      </c>
      <c r="K1420" s="21">
        <f t="shared" ref="K1420:K1483" si="226">I1420/J1420</f>
        <v>2566.5307853516592</v>
      </c>
      <c r="L1420" s="4" t="str">
        <f t="shared" si="222"/>
        <v>SELL</v>
      </c>
      <c r="M1420" s="4">
        <f t="shared" ref="M1420:M1483" si="227">IF(L1420&lt;&gt;L1419,L1420,0)</f>
        <v>0</v>
      </c>
      <c r="N1420" s="4">
        <f t="shared" si="223"/>
        <v>-1</v>
      </c>
      <c r="O1420" s="4">
        <f t="shared" ref="O1420:O1483" si="228">IF(M1420&lt;&gt;0,E1420,O1419)</f>
        <v>2547.4499999999998</v>
      </c>
      <c r="P1420" s="4">
        <f t="shared" ref="P1420:P1483" si="229">IF(M1420="BUY",(O1419-O1420)/O1419,IF(M1420="SELL",(O1420-O1419)/O1419,0))</f>
        <v>0</v>
      </c>
    </row>
    <row r="1421" spans="1:16" x14ac:dyDescent="0.25">
      <c r="A1421" s="1">
        <v>43265</v>
      </c>
      <c r="B1421">
        <v>2546.5</v>
      </c>
      <c r="C1421">
        <v>2568.4</v>
      </c>
      <c r="D1421">
        <v>2540.6</v>
      </c>
      <c r="E1421" s="7">
        <v>2552</v>
      </c>
      <c r="F1421">
        <v>796336</v>
      </c>
      <c r="G1421" s="8">
        <f t="shared" si="220"/>
        <v>2553.6666666666665</v>
      </c>
      <c r="H1421" s="9">
        <f t="shared" si="221"/>
        <v>2033576698.6666665</v>
      </c>
      <c r="I1421" s="9">
        <f t="shared" si="224"/>
        <v>32038069143.700001</v>
      </c>
      <c r="J1421" s="9">
        <f t="shared" si="225"/>
        <v>12493781</v>
      </c>
      <c r="K1421" s="21">
        <f t="shared" si="226"/>
        <v>2564.3213326454179</v>
      </c>
      <c r="L1421" s="4" t="str">
        <f t="shared" si="222"/>
        <v>SELL</v>
      </c>
      <c r="M1421" s="4">
        <f t="shared" si="227"/>
        <v>0</v>
      </c>
      <c r="N1421" s="4">
        <f t="shared" si="223"/>
        <v>-1</v>
      </c>
      <c r="O1421" s="4">
        <f t="shared" si="228"/>
        <v>2547.4499999999998</v>
      </c>
      <c r="P1421" s="4">
        <f t="shared" si="229"/>
        <v>0</v>
      </c>
    </row>
    <row r="1422" spans="1:16" x14ac:dyDescent="0.25">
      <c r="A1422" s="1">
        <v>43266</v>
      </c>
      <c r="B1422">
        <v>2565</v>
      </c>
      <c r="C1422">
        <v>2565</v>
      </c>
      <c r="D1422">
        <v>2543</v>
      </c>
      <c r="E1422" s="7">
        <v>2551.65</v>
      </c>
      <c r="F1422">
        <v>794659</v>
      </c>
      <c r="G1422" s="8">
        <f t="shared" si="220"/>
        <v>2553.2166666666667</v>
      </c>
      <c r="H1422" s="9">
        <f t="shared" si="221"/>
        <v>2028936603.1166668</v>
      </c>
      <c r="I1422" s="9">
        <f t="shared" si="224"/>
        <v>29338051189.416664</v>
      </c>
      <c r="J1422" s="9">
        <f t="shared" si="225"/>
        <v>11442418</v>
      </c>
      <c r="K1422" s="21">
        <f t="shared" si="226"/>
        <v>2563.9730334459609</v>
      </c>
      <c r="L1422" s="4" t="str">
        <f t="shared" si="222"/>
        <v>SELL</v>
      </c>
      <c r="M1422" s="4">
        <f t="shared" si="227"/>
        <v>0</v>
      </c>
      <c r="N1422" s="4">
        <f t="shared" si="223"/>
        <v>-1</v>
      </c>
      <c r="O1422" s="4">
        <f t="shared" si="228"/>
        <v>2547.4499999999998</v>
      </c>
      <c r="P1422" s="4">
        <f t="shared" si="229"/>
        <v>0</v>
      </c>
    </row>
    <row r="1423" spans="1:16" x14ac:dyDescent="0.25">
      <c r="A1423" s="1">
        <v>43269</v>
      </c>
      <c r="B1423">
        <v>2551.65</v>
      </c>
      <c r="C1423">
        <v>2558.9</v>
      </c>
      <c r="D1423">
        <v>2536</v>
      </c>
      <c r="E1423" s="7">
        <v>2547.6</v>
      </c>
      <c r="F1423">
        <v>689950</v>
      </c>
      <c r="G1423" s="8">
        <f t="shared" si="220"/>
        <v>2547.5</v>
      </c>
      <c r="H1423" s="9">
        <f t="shared" si="221"/>
        <v>1757647625</v>
      </c>
      <c r="I1423" s="9">
        <f t="shared" si="224"/>
        <v>27272265361.550003</v>
      </c>
      <c r="J1423" s="9">
        <f t="shared" si="225"/>
        <v>10638567</v>
      </c>
      <c r="K1423" s="21">
        <f t="shared" si="226"/>
        <v>2563.5280918520325</v>
      </c>
      <c r="L1423" s="4" t="str">
        <f t="shared" si="222"/>
        <v>SELL</v>
      </c>
      <c r="M1423" s="4">
        <f t="shared" si="227"/>
        <v>0</v>
      </c>
      <c r="N1423" s="4">
        <f t="shared" si="223"/>
        <v>-1</v>
      </c>
      <c r="O1423" s="4">
        <f t="shared" si="228"/>
        <v>2547.4499999999998</v>
      </c>
      <c r="P1423" s="4">
        <f t="shared" si="229"/>
        <v>0</v>
      </c>
    </row>
    <row r="1424" spans="1:16" x14ac:dyDescent="0.25">
      <c r="A1424" s="1">
        <v>43270</v>
      </c>
      <c r="B1424">
        <v>2555</v>
      </c>
      <c r="C1424">
        <v>2565</v>
      </c>
      <c r="D1424">
        <v>2541.0500000000002</v>
      </c>
      <c r="E1424" s="7">
        <v>2550.35</v>
      </c>
      <c r="F1424">
        <v>878408</v>
      </c>
      <c r="G1424" s="8">
        <f t="shared" si="220"/>
        <v>2552.1333333333332</v>
      </c>
      <c r="H1424" s="9">
        <f t="shared" si="221"/>
        <v>2241814337.0666666</v>
      </c>
      <c r="I1424" s="9">
        <f t="shared" si="224"/>
        <v>24643294117.366669</v>
      </c>
      <c r="J1424" s="9">
        <f t="shared" si="225"/>
        <v>9634000</v>
      </c>
      <c r="K1424" s="21">
        <f t="shared" si="226"/>
        <v>2557.9503962390149</v>
      </c>
      <c r="L1424" s="4" t="str">
        <f t="shared" si="222"/>
        <v>SELL</v>
      </c>
      <c r="M1424" s="4">
        <f t="shared" si="227"/>
        <v>0</v>
      </c>
      <c r="N1424" s="4">
        <f t="shared" si="223"/>
        <v>-1</v>
      </c>
      <c r="O1424" s="4">
        <f t="shared" si="228"/>
        <v>2547.4499999999998</v>
      </c>
      <c r="P1424" s="4">
        <f t="shared" si="229"/>
        <v>0</v>
      </c>
    </row>
    <row r="1425" spans="1:16" x14ac:dyDescent="0.25">
      <c r="A1425" s="1">
        <v>43271</v>
      </c>
      <c r="B1425">
        <v>2565</v>
      </c>
      <c r="C1425">
        <v>2586</v>
      </c>
      <c r="D1425">
        <v>2539</v>
      </c>
      <c r="E1425" s="7">
        <v>2551.25</v>
      </c>
      <c r="F1425">
        <v>1227647</v>
      </c>
      <c r="G1425" s="8">
        <f t="shared" si="220"/>
        <v>2558.75</v>
      </c>
      <c r="H1425" s="9">
        <f t="shared" si="221"/>
        <v>3141241761.25</v>
      </c>
      <c r="I1425" s="9">
        <f t="shared" si="224"/>
        <v>24841128842.466667</v>
      </c>
      <c r="J1425" s="9">
        <f t="shared" si="225"/>
        <v>9729110</v>
      </c>
      <c r="K1425" s="21">
        <f t="shared" si="226"/>
        <v>2553.2786495852824</v>
      </c>
      <c r="L1425" s="4" t="str">
        <f t="shared" si="222"/>
        <v>SELL</v>
      </c>
      <c r="M1425" s="4">
        <f t="shared" si="227"/>
        <v>0</v>
      </c>
      <c r="N1425" s="4">
        <f t="shared" si="223"/>
        <v>-1</v>
      </c>
      <c r="O1425" s="4">
        <f t="shared" si="228"/>
        <v>2547.4499999999998</v>
      </c>
      <c r="P1425" s="4">
        <f t="shared" si="229"/>
        <v>0</v>
      </c>
    </row>
    <row r="1426" spans="1:16" x14ac:dyDescent="0.25">
      <c r="A1426" s="1">
        <v>43272</v>
      </c>
      <c r="B1426">
        <v>2550</v>
      </c>
      <c r="C1426">
        <v>2557.1</v>
      </c>
      <c r="D1426">
        <v>2533.1999999999998</v>
      </c>
      <c r="E1426" s="7">
        <v>2551.0500000000002</v>
      </c>
      <c r="F1426">
        <v>554420</v>
      </c>
      <c r="G1426" s="8">
        <f t="shared" si="220"/>
        <v>2547.1166666666663</v>
      </c>
      <c r="H1426" s="9">
        <f t="shared" si="221"/>
        <v>1412172422.3333333</v>
      </c>
      <c r="I1426" s="9">
        <f t="shared" si="224"/>
        <v>23138819799.133331</v>
      </c>
      <c r="J1426" s="9">
        <f t="shared" si="225"/>
        <v>9070332</v>
      </c>
      <c r="K1426" s="21">
        <f t="shared" si="226"/>
        <v>2551.0444159192111</v>
      </c>
      <c r="L1426" s="4" t="str">
        <f t="shared" si="222"/>
        <v>BUY</v>
      </c>
      <c r="M1426" s="4" t="str">
        <f t="shared" si="227"/>
        <v>BUY</v>
      </c>
      <c r="N1426" s="4">
        <f t="shared" si="223"/>
        <v>1</v>
      </c>
      <c r="O1426" s="4">
        <f t="shared" si="228"/>
        <v>2551.0500000000002</v>
      </c>
      <c r="P1426" s="4">
        <f t="shared" si="229"/>
        <v>-1.413177883766262E-3</v>
      </c>
    </row>
    <row r="1427" spans="1:16" x14ac:dyDescent="0.25">
      <c r="A1427" s="1">
        <v>43273</v>
      </c>
      <c r="B1427">
        <v>2557.5</v>
      </c>
      <c r="C1427">
        <v>2572.4</v>
      </c>
      <c r="D1427">
        <v>2490</v>
      </c>
      <c r="E1427" s="7">
        <v>2526.8000000000002</v>
      </c>
      <c r="F1427">
        <v>1040623</v>
      </c>
      <c r="G1427" s="8">
        <f t="shared" si="220"/>
        <v>2529.7333333333331</v>
      </c>
      <c r="H1427" s="9">
        <f t="shared" si="221"/>
        <v>2632498690.5333333</v>
      </c>
      <c r="I1427" s="9">
        <f t="shared" si="224"/>
        <v>23533519162.733334</v>
      </c>
      <c r="J1427" s="9">
        <f t="shared" si="225"/>
        <v>9231363</v>
      </c>
      <c r="K1427" s="21">
        <f t="shared" si="226"/>
        <v>2549.3005922021844</v>
      </c>
      <c r="L1427" s="4" t="str">
        <f t="shared" si="222"/>
        <v>SELL</v>
      </c>
      <c r="M1427" s="4" t="str">
        <f t="shared" si="227"/>
        <v>SELL</v>
      </c>
      <c r="N1427" s="4">
        <f t="shared" si="223"/>
        <v>-1</v>
      </c>
      <c r="O1427" s="4">
        <f t="shared" si="228"/>
        <v>2526.8000000000002</v>
      </c>
      <c r="P1427" s="4">
        <f t="shared" si="229"/>
        <v>-9.5058897316791114E-3</v>
      </c>
    </row>
    <row r="1428" spans="1:16" x14ac:dyDescent="0.25">
      <c r="A1428" s="1">
        <v>43276</v>
      </c>
      <c r="B1428">
        <v>2534.3000000000002</v>
      </c>
      <c r="C1428">
        <v>2557.75</v>
      </c>
      <c r="D1428">
        <v>2512.6</v>
      </c>
      <c r="E1428" s="7">
        <v>2532.65</v>
      </c>
      <c r="F1428">
        <v>614176</v>
      </c>
      <c r="G1428" s="8">
        <f t="shared" si="220"/>
        <v>2534.3333333333335</v>
      </c>
      <c r="H1428" s="9">
        <f t="shared" si="221"/>
        <v>1556526709.3333335</v>
      </c>
      <c r="I1428" s="9">
        <f t="shared" si="224"/>
        <v>22817254586.499996</v>
      </c>
      <c r="J1428" s="9">
        <f t="shared" si="225"/>
        <v>8951666</v>
      </c>
      <c r="K1428" s="21">
        <f t="shared" si="226"/>
        <v>2548.9394473051157</v>
      </c>
      <c r="L1428" s="4" t="str">
        <f t="shared" si="222"/>
        <v>SELL</v>
      </c>
      <c r="M1428" s="4">
        <f t="shared" si="227"/>
        <v>0</v>
      </c>
      <c r="N1428" s="4">
        <f t="shared" si="223"/>
        <v>-1</v>
      </c>
      <c r="O1428" s="4">
        <f t="shared" si="228"/>
        <v>2526.8000000000002</v>
      </c>
      <c r="P1428" s="4">
        <f t="shared" si="229"/>
        <v>0</v>
      </c>
    </row>
    <row r="1429" spans="1:16" x14ac:dyDescent="0.25">
      <c r="A1429" s="1">
        <v>43277</v>
      </c>
      <c r="B1429">
        <v>2535.5</v>
      </c>
      <c r="C1429">
        <v>2590</v>
      </c>
      <c r="D1429">
        <v>2529.9</v>
      </c>
      <c r="E1429" s="7">
        <v>2580.4</v>
      </c>
      <c r="F1429">
        <v>1177127</v>
      </c>
      <c r="G1429" s="8">
        <f t="shared" si="220"/>
        <v>2566.7666666666664</v>
      </c>
      <c r="H1429" s="9">
        <f t="shared" si="221"/>
        <v>3021410346.0333328</v>
      </c>
      <c r="I1429" s="9">
        <f t="shared" si="224"/>
        <v>23225143016.033333</v>
      </c>
      <c r="J1429" s="9">
        <f t="shared" si="225"/>
        <v>9106255</v>
      </c>
      <c r="K1429" s="21">
        <f t="shared" si="226"/>
        <v>2550.4604270398022</v>
      </c>
      <c r="L1429" s="4" t="str">
        <f t="shared" si="222"/>
        <v>BUY</v>
      </c>
      <c r="M1429" s="4" t="str">
        <f t="shared" si="227"/>
        <v>BUY</v>
      </c>
      <c r="N1429" s="4">
        <f t="shared" si="223"/>
        <v>1</v>
      </c>
      <c r="O1429" s="4">
        <f t="shared" si="228"/>
        <v>2580.4</v>
      </c>
      <c r="P1429" s="4">
        <f t="shared" si="229"/>
        <v>-2.1212600918157316E-2</v>
      </c>
    </row>
    <row r="1430" spans="1:16" x14ac:dyDescent="0.25">
      <c r="A1430" s="1">
        <v>43278</v>
      </c>
      <c r="B1430">
        <v>2594</v>
      </c>
      <c r="C1430">
        <v>2619</v>
      </c>
      <c r="D1430">
        <v>2579.5</v>
      </c>
      <c r="E1430" s="7">
        <v>2593.6999999999998</v>
      </c>
      <c r="F1430">
        <v>1183406</v>
      </c>
      <c r="G1430" s="8">
        <f t="shared" si="220"/>
        <v>2597.4</v>
      </c>
      <c r="H1430" s="9">
        <f t="shared" si="221"/>
        <v>3073778744.4000001</v>
      </c>
      <c r="I1430" s="9">
        <f t="shared" si="224"/>
        <v>22899603937.733334</v>
      </c>
      <c r="J1430" s="9">
        <f t="shared" si="225"/>
        <v>8956752</v>
      </c>
      <c r="K1430" s="21">
        <f t="shared" si="226"/>
        <v>2556.6861667860553</v>
      </c>
      <c r="L1430" s="4" t="str">
        <f t="shared" si="222"/>
        <v>BUY</v>
      </c>
      <c r="M1430" s="4">
        <f t="shared" si="227"/>
        <v>0</v>
      </c>
      <c r="N1430" s="4">
        <f t="shared" si="223"/>
        <v>1</v>
      </c>
      <c r="O1430" s="4">
        <f t="shared" si="228"/>
        <v>2580.4</v>
      </c>
      <c r="P1430" s="4">
        <f t="shared" si="229"/>
        <v>0</v>
      </c>
    </row>
    <row r="1431" spans="1:16" x14ac:dyDescent="0.25">
      <c r="A1431" s="1">
        <v>43279</v>
      </c>
      <c r="B1431">
        <v>2583.35</v>
      </c>
      <c r="C1431">
        <v>2634</v>
      </c>
      <c r="D1431">
        <v>2569.85</v>
      </c>
      <c r="E1431" s="7">
        <v>2588.25</v>
      </c>
      <c r="F1431">
        <v>1662976</v>
      </c>
      <c r="G1431" s="8">
        <f t="shared" si="220"/>
        <v>2597.3666666666668</v>
      </c>
      <c r="H1431" s="9">
        <f t="shared" si="221"/>
        <v>4319358429.8666668</v>
      </c>
      <c r="I1431" s="9">
        <f t="shared" si="224"/>
        <v>25185385668.933334</v>
      </c>
      <c r="J1431" s="9">
        <f t="shared" si="225"/>
        <v>9823392</v>
      </c>
      <c r="K1431" s="21">
        <f t="shared" si="226"/>
        <v>2563.8176374243576</v>
      </c>
      <c r="L1431" s="4" t="str">
        <f t="shared" si="222"/>
        <v>BUY</v>
      </c>
      <c r="M1431" s="4">
        <f t="shared" si="227"/>
        <v>0</v>
      </c>
      <c r="N1431" s="4">
        <f t="shared" si="223"/>
        <v>1</v>
      </c>
      <c r="O1431" s="4">
        <f t="shared" si="228"/>
        <v>2580.4</v>
      </c>
      <c r="P1431" s="4">
        <f t="shared" si="229"/>
        <v>0</v>
      </c>
    </row>
    <row r="1432" spans="1:16" x14ac:dyDescent="0.25">
      <c r="A1432" s="1">
        <v>43280</v>
      </c>
      <c r="B1432">
        <v>2643.7</v>
      </c>
      <c r="C1432">
        <v>2643.7</v>
      </c>
      <c r="D1432">
        <v>2570.9499999999998</v>
      </c>
      <c r="E1432" s="7">
        <v>2588.0500000000002</v>
      </c>
      <c r="F1432">
        <v>1684168</v>
      </c>
      <c r="G1432" s="8">
        <f t="shared" si="220"/>
        <v>2600.9</v>
      </c>
      <c r="H1432" s="9">
        <f t="shared" si="221"/>
        <v>4380352551.1999998</v>
      </c>
      <c r="I1432" s="9">
        <f t="shared" si="224"/>
        <v>27536801617.016666</v>
      </c>
      <c r="J1432" s="9">
        <f t="shared" si="225"/>
        <v>10712901</v>
      </c>
      <c r="K1432" s="21">
        <f t="shared" si="226"/>
        <v>2570.4336871046103</v>
      </c>
      <c r="L1432" s="4" t="str">
        <f t="shared" si="222"/>
        <v>BUY</v>
      </c>
      <c r="M1432" s="4">
        <f t="shared" si="227"/>
        <v>0</v>
      </c>
      <c r="N1432" s="4">
        <f t="shared" si="223"/>
        <v>1</v>
      </c>
      <c r="O1432" s="4">
        <f t="shared" si="228"/>
        <v>2580.4</v>
      </c>
      <c r="P1432" s="4">
        <f t="shared" si="229"/>
        <v>0</v>
      </c>
    </row>
    <row r="1433" spans="1:16" x14ac:dyDescent="0.25">
      <c r="A1433" s="1">
        <v>43283</v>
      </c>
      <c r="B1433">
        <v>2599</v>
      </c>
      <c r="C1433">
        <v>2649.95</v>
      </c>
      <c r="D1433">
        <v>2592.1999999999998</v>
      </c>
      <c r="E1433" s="7">
        <v>2644.6</v>
      </c>
      <c r="F1433">
        <v>1417204</v>
      </c>
      <c r="G1433" s="8">
        <f t="shared" si="220"/>
        <v>2628.9166666666665</v>
      </c>
      <c r="H1433" s="9">
        <f t="shared" si="221"/>
        <v>3725711215.6666665</v>
      </c>
      <c r="I1433" s="9">
        <f t="shared" si="224"/>
        <v>29504865207.683334</v>
      </c>
      <c r="J1433" s="9">
        <f t="shared" si="225"/>
        <v>11440155</v>
      </c>
      <c r="K1433" s="21">
        <f t="shared" si="226"/>
        <v>2579.0616654829705</v>
      </c>
      <c r="L1433" s="4" t="str">
        <f t="shared" si="222"/>
        <v>BUY</v>
      </c>
      <c r="M1433" s="4">
        <f t="shared" si="227"/>
        <v>0</v>
      </c>
      <c r="N1433" s="4">
        <f t="shared" si="223"/>
        <v>1</v>
      </c>
      <c r="O1433" s="4">
        <f t="shared" si="228"/>
        <v>2580.4</v>
      </c>
      <c r="P1433" s="4">
        <f t="shared" si="229"/>
        <v>0</v>
      </c>
    </row>
    <row r="1434" spans="1:16" x14ac:dyDescent="0.25">
      <c r="A1434" s="1">
        <v>43284</v>
      </c>
      <c r="B1434">
        <v>2652.7</v>
      </c>
      <c r="C1434">
        <v>2770</v>
      </c>
      <c r="D1434">
        <v>2652.7</v>
      </c>
      <c r="E1434" s="7">
        <v>2711.65</v>
      </c>
      <c r="F1434">
        <v>2403653</v>
      </c>
      <c r="G1434" s="8">
        <f t="shared" si="220"/>
        <v>2711.4500000000003</v>
      </c>
      <c r="H1434" s="9">
        <f t="shared" si="221"/>
        <v>6517384926.8500004</v>
      </c>
      <c r="I1434" s="9">
        <f t="shared" si="224"/>
        <v>33780435797.466667</v>
      </c>
      <c r="J1434" s="9">
        <f t="shared" si="225"/>
        <v>12965400</v>
      </c>
      <c r="K1434" s="21">
        <f t="shared" si="226"/>
        <v>2605.4295121991354</v>
      </c>
      <c r="L1434" s="4" t="str">
        <f t="shared" si="222"/>
        <v>BUY</v>
      </c>
      <c r="M1434" s="4">
        <f t="shared" si="227"/>
        <v>0</v>
      </c>
      <c r="N1434" s="4">
        <f t="shared" si="223"/>
        <v>1</v>
      </c>
      <c r="O1434" s="4">
        <f t="shared" si="228"/>
        <v>2580.4</v>
      </c>
      <c r="P1434" s="4">
        <f t="shared" si="229"/>
        <v>0</v>
      </c>
    </row>
    <row r="1435" spans="1:16" x14ac:dyDescent="0.25">
      <c r="A1435" s="1">
        <v>43285</v>
      </c>
      <c r="B1435">
        <v>2725</v>
      </c>
      <c r="C1435">
        <v>2726</v>
      </c>
      <c r="D1435">
        <v>2684</v>
      </c>
      <c r="E1435" s="7">
        <v>2700</v>
      </c>
      <c r="F1435">
        <v>1989795</v>
      </c>
      <c r="G1435" s="8">
        <f t="shared" si="220"/>
        <v>2703.3333333333335</v>
      </c>
      <c r="H1435" s="9">
        <f t="shared" si="221"/>
        <v>5379079150</v>
      </c>
      <c r="I1435" s="9">
        <f t="shared" si="224"/>
        <v>36018273186.216667</v>
      </c>
      <c r="J1435" s="9">
        <f t="shared" si="225"/>
        <v>13727548</v>
      </c>
      <c r="K1435" s="21">
        <f t="shared" si="226"/>
        <v>2623.7951006411827</v>
      </c>
      <c r="L1435" s="4" t="str">
        <f t="shared" si="222"/>
        <v>BUY</v>
      </c>
      <c r="M1435" s="4">
        <f t="shared" si="227"/>
        <v>0</v>
      </c>
      <c r="N1435" s="4">
        <f t="shared" si="223"/>
        <v>1</v>
      </c>
      <c r="O1435" s="4">
        <f t="shared" si="228"/>
        <v>2580.4</v>
      </c>
      <c r="P1435" s="4">
        <f t="shared" si="229"/>
        <v>0</v>
      </c>
    </row>
    <row r="1436" spans="1:16" x14ac:dyDescent="0.25">
      <c r="A1436" s="1">
        <v>43286</v>
      </c>
      <c r="B1436">
        <v>2693.95</v>
      </c>
      <c r="C1436">
        <v>2717</v>
      </c>
      <c r="D1436">
        <v>2646.95</v>
      </c>
      <c r="E1436" s="7">
        <v>2653.95</v>
      </c>
      <c r="F1436">
        <v>1032765</v>
      </c>
      <c r="G1436" s="8">
        <f t="shared" si="220"/>
        <v>2672.6333333333332</v>
      </c>
      <c r="H1436" s="9">
        <f t="shared" si="221"/>
        <v>2760202164.5</v>
      </c>
      <c r="I1436" s="9">
        <f t="shared" si="224"/>
        <v>37366302928.383331</v>
      </c>
      <c r="J1436" s="9">
        <f t="shared" si="225"/>
        <v>14205893</v>
      </c>
      <c r="K1436" s="21">
        <f t="shared" si="226"/>
        <v>2630.3381933387313</v>
      </c>
      <c r="L1436" s="4" t="str">
        <f t="shared" si="222"/>
        <v>BUY</v>
      </c>
      <c r="M1436" s="4">
        <f t="shared" si="227"/>
        <v>0</v>
      </c>
      <c r="N1436" s="4">
        <f t="shared" si="223"/>
        <v>1</v>
      </c>
      <c r="O1436" s="4">
        <f t="shared" si="228"/>
        <v>2580.4</v>
      </c>
      <c r="P1436" s="4">
        <f t="shared" si="229"/>
        <v>0</v>
      </c>
    </row>
    <row r="1437" spans="1:16" x14ac:dyDescent="0.25">
      <c r="A1437" s="1">
        <v>43287</v>
      </c>
      <c r="B1437">
        <v>2670</v>
      </c>
      <c r="C1437">
        <v>2678.35</v>
      </c>
      <c r="D1437">
        <v>2620</v>
      </c>
      <c r="E1437" s="7">
        <v>2633.8</v>
      </c>
      <c r="F1437">
        <v>1178775</v>
      </c>
      <c r="G1437" s="8">
        <f t="shared" si="220"/>
        <v>2644.05</v>
      </c>
      <c r="H1437" s="9">
        <f t="shared" si="221"/>
        <v>3116740038.75</v>
      </c>
      <c r="I1437" s="9">
        <f t="shared" si="224"/>
        <v>37850544276.599998</v>
      </c>
      <c r="J1437" s="9">
        <f t="shared" si="225"/>
        <v>14344045</v>
      </c>
      <c r="K1437" s="21">
        <f t="shared" si="226"/>
        <v>2638.763631639471</v>
      </c>
      <c r="L1437" s="4" t="str">
        <f t="shared" si="222"/>
        <v>SELL</v>
      </c>
      <c r="M1437" s="4" t="str">
        <f t="shared" si="227"/>
        <v>SELL</v>
      </c>
      <c r="N1437" s="4">
        <f t="shared" si="223"/>
        <v>-1</v>
      </c>
      <c r="O1437" s="4">
        <f t="shared" si="228"/>
        <v>2633.8</v>
      </c>
      <c r="P1437" s="4">
        <f t="shared" si="229"/>
        <v>2.0694465974267589E-2</v>
      </c>
    </row>
    <row r="1438" spans="1:16" x14ac:dyDescent="0.25">
      <c r="A1438" s="1">
        <v>43290</v>
      </c>
      <c r="B1438">
        <v>2650.5</v>
      </c>
      <c r="C1438">
        <v>2650.6</v>
      </c>
      <c r="D1438">
        <v>2608</v>
      </c>
      <c r="E1438" s="7">
        <v>2629.65</v>
      </c>
      <c r="F1438">
        <v>1124862</v>
      </c>
      <c r="G1438" s="8">
        <f t="shared" si="220"/>
        <v>2629.4166666666665</v>
      </c>
      <c r="H1438" s="9">
        <f t="shared" si="221"/>
        <v>2957730890.5</v>
      </c>
      <c r="I1438" s="9">
        <f t="shared" si="224"/>
        <v>39251748457.76667</v>
      </c>
      <c r="J1438" s="9">
        <f t="shared" si="225"/>
        <v>14854731</v>
      </c>
      <c r="K1438" s="21">
        <f t="shared" si="226"/>
        <v>2642.3735615115934</v>
      </c>
      <c r="L1438" s="4" t="str">
        <f t="shared" si="222"/>
        <v>SELL</v>
      </c>
      <c r="M1438" s="4">
        <f t="shared" si="227"/>
        <v>0</v>
      </c>
      <c r="N1438" s="4">
        <f t="shared" si="223"/>
        <v>-1</v>
      </c>
      <c r="O1438" s="4">
        <f t="shared" si="228"/>
        <v>2633.8</v>
      </c>
      <c r="P1438" s="4">
        <f t="shared" si="229"/>
        <v>0</v>
      </c>
    </row>
    <row r="1439" spans="1:16" x14ac:dyDescent="0.25">
      <c r="A1439" s="1">
        <v>43291</v>
      </c>
      <c r="B1439">
        <v>2655</v>
      </c>
      <c r="C1439">
        <v>2660.35</v>
      </c>
      <c r="D1439">
        <v>2587</v>
      </c>
      <c r="E1439" s="7">
        <v>2592.6</v>
      </c>
      <c r="F1439">
        <v>1227956</v>
      </c>
      <c r="G1439" s="8">
        <f t="shared" si="220"/>
        <v>2613.3166666666671</v>
      </c>
      <c r="H1439" s="9">
        <f t="shared" si="221"/>
        <v>3209037880.7333336</v>
      </c>
      <c r="I1439" s="9">
        <f t="shared" si="224"/>
        <v>39439375992.466675</v>
      </c>
      <c r="J1439" s="9">
        <f t="shared" si="225"/>
        <v>14905560</v>
      </c>
      <c r="K1439" s="21">
        <f t="shared" si="226"/>
        <v>2645.9506380482635</v>
      </c>
      <c r="L1439" s="4" t="str">
        <f t="shared" si="222"/>
        <v>SELL</v>
      </c>
      <c r="M1439" s="4">
        <f t="shared" si="227"/>
        <v>0</v>
      </c>
      <c r="N1439" s="4">
        <f t="shared" si="223"/>
        <v>-1</v>
      </c>
      <c r="O1439" s="4">
        <f t="shared" si="228"/>
        <v>2633.8</v>
      </c>
      <c r="P1439" s="4">
        <f t="shared" si="229"/>
        <v>0</v>
      </c>
    </row>
    <row r="1440" spans="1:16" x14ac:dyDescent="0.25">
      <c r="A1440" s="1">
        <v>43292</v>
      </c>
      <c r="B1440">
        <v>2602.8000000000002</v>
      </c>
      <c r="C1440">
        <v>2612</v>
      </c>
      <c r="D1440">
        <v>2567.6</v>
      </c>
      <c r="E1440" s="7">
        <v>2598.5500000000002</v>
      </c>
      <c r="F1440">
        <v>3089856</v>
      </c>
      <c r="G1440" s="8">
        <f t="shared" si="220"/>
        <v>2592.7166666666667</v>
      </c>
      <c r="H1440" s="9">
        <f t="shared" si="221"/>
        <v>8011121148.8000002</v>
      </c>
      <c r="I1440" s="9">
        <f t="shared" si="224"/>
        <v>44376718396.866669</v>
      </c>
      <c r="J1440" s="9">
        <f t="shared" si="225"/>
        <v>16812010</v>
      </c>
      <c r="K1440" s="21">
        <f t="shared" si="226"/>
        <v>2639.5843445766845</v>
      </c>
      <c r="L1440" s="4" t="str">
        <f t="shared" si="222"/>
        <v>SELL</v>
      </c>
      <c r="M1440" s="4">
        <f t="shared" si="227"/>
        <v>0</v>
      </c>
      <c r="N1440" s="4">
        <f t="shared" si="223"/>
        <v>-1</v>
      </c>
      <c r="O1440" s="4">
        <f t="shared" si="228"/>
        <v>2633.8</v>
      </c>
      <c r="P1440" s="4">
        <f t="shared" si="229"/>
        <v>0</v>
      </c>
    </row>
    <row r="1441" spans="1:16" x14ac:dyDescent="0.25">
      <c r="A1441" s="1">
        <v>43293</v>
      </c>
      <c r="B1441">
        <v>2548</v>
      </c>
      <c r="C1441">
        <v>2548</v>
      </c>
      <c r="D1441">
        <v>2480</v>
      </c>
      <c r="E1441" s="7">
        <v>2483.6999999999998</v>
      </c>
      <c r="F1441">
        <v>4168564</v>
      </c>
      <c r="G1441" s="8">
        <f t="shared" si="220"/>
        <v>2503.9</v>
      </c>
      <c r="H1441" s="9">
        <f t="shared" si="221"/>
        <v>10437667399.6</v>
      </c>
      <c r="I1441" s="9">
        <f t="shared" si="224"/>
        <v>50495027366.599998</v>
      </c>
      <c r="J1441" s="9">
        <f t="shared" si="225"/>
        <v>19317598</v>
      </c>
      <c r="K1441" s="21">
        <f t="shared" si="226"/>
        <v>2613.9392364723603</v>
      </c>
      <c r="L1441" s="4" t="str">
        <f t="shared" si="222"/>
        <v>SELL</v>
      </c>
      <c r="M1441" s="4">
        <f t="shared" si="227"/>
        <v>0</v>
      </c>
      <c r="N1441" s="4">
        <f t="shared" si="223"/>
        <v>-1</v>
      </c>
      <c r="O1441" s="4">
        <f t="shared" si="228"/>
        <v>2633.8</v>
      </c>
      <c r="P1441" s="4">
        <f t="shared" si="229"/>
        <v>0</v>
      </c>
    </row>
    <row r="1442" spans="1:16" x14ac:dyDescent="0.25">
      <c r="A1442" s="1">
        <v>43294</v>
      </c>
      <c r="B1442">
        <v>2490</v>
      </c>
      <c r="C1442">
        <v>2503.5</v>
      </c>
      <c r="D1442">
        <v>2465</v>
      </c>
      <c r="E1442" s="7">
        <v>2467.75</v>
      </c>
      <c r="F1442">
        <v>1607855</v>
      </c>
      <c r="G1442" s="8">
        <f t="shared" si="220"/>
        <v>2478.75</v>
      </c>
      <c r="H1442" s="9">
        <f t="shared" si="221"/>
        <v>3985470581.25</v>
      </c>
      <c r="I1442" s="9">
        <f t="shared" si="224"/>
        <v>50100145396.650002</v>
      </c>
      <c r="J1442" s="9">
        <f t="shared" si="225"/>
        <v>19241285</v>
      </c>
      <c r="K1442" s="21">
        <f t="shared" si="226"/>
        <v>2603.7837595903807</v>
      </c>
      <c r="L1442" s="4" t="str">
        <f t="shared" si="222"/>
        <v>SELL</v>
      </c>
      <c r="M1442" s="4">
        <f t="shared" si="227"/>
        <v>0</v>
      </c>
      <c r="N1442" s="4">
        <f t="shared" si="223"/>
        <v>-1</v>
      </c>
      <c r="O1442" s="4">
        <f t="shared" si="228"/>
        <v>2633.8</v>
      </c>
      <c r="P1442" s="4">
        <f t="shared" si="229"/>
        <v>0</v>
      </c>
    </row>
    <row r="1443" spans="1:16" x14ac:dyDescent="0.25">
      <c r="A1443" s="1">
        <v>43297</v>
      </c>
      <c r="B1443">
        <v>2480.9</v>
      </c>
      <c r="C1443">
        <v>2492</v>
      </c>
      <c r="D1443">
        <v>2470</v>
      </c>
      <c r="E1443" s="7">
        <v>2473.75</v>
      </c>
      <c r="F1443">
        <v>1166914</v>
      </c>
      <c r="G1443" s="8">
        <f t="shared" si="220"/>
        <v>2478.5833333333335</v>
      </c>
      <c r="H1443" s="9">
        <f t="shared" si="221"/>
        <v>2892293591.8333335</v>
      </c>
      <c r="I1443" s="9">
        <f t="shared" si="224"/>
        <v>49266727772.816666</v>
      </c>
      <c r="J1443" s="9">
        <f t="shared" si="225"/>
        <v>18990995</v>
      </c>
      <c r="K1443" s="21">
        <f t="shared" si="226"/>
        <v>2594.2151937176891</v>
      </c>
      <c r="L1443" s="4" t="str">
        <f t="shared" si="222"/>
        <v>SELL</v>
      </c>
      <c r="M1443" s="4">
        <f t="shared" si="227"/>
        <v>0</v>
      </c>
      <c r="N1443" s="4">
        <f t="shared" si="223"/>
        <v>-1</v>
      </c>
      <c r="O1443" s="4">
        <f t="shared" si="228"/>
        <v>2633.8</v>
      </c>
      <c r="P1443" s="4">
        <f t="shared" si="229"/>
        <v>0</v>
      </c>
    </row>
    <row r="1444" spans="1:16" x14ac:dyDescent="0.25">
      <c r="A1444" s="1">
        <v>43298</v>
      </c>
      <c r="B1444">
        <v>2490</v>
      </c>
      <c r="C1444">
        <v>2494.9499999999998</v>
      </c>
      <c r="D1444">
        <v>2455.85</v>
      </c>
      <c r="E1444" s="7">
        <v>2488.75</v>
      </c>
      <c r="F1444">
        <v>1565321</v>
      </c>
      <c r="G1444" s="8">
        <f t="shared" si="220"/>
        <v>2479.85</v>
      </c>
      <c r="H1444" s="9">
        <f t="shared" si="221"/>
        <v>3881761281.8499999</v>
      </c>
      <c r="I1444" s="9">
        <f t="shared" si="224"/>
        <v>46631104127.816666</v>
      </c>
      <c r="J1444" s="9">
        <f t="shared" si="225"/>
        <v>18152663</v>
      </c>
      <c r="K1444" s="21">
        <f t="shared" si="226"/>
        <v>2568.8299357409251</v>
      </c>
      <c r="L1444" s="4" t="str">
        <f t="shared" si="222"/>
        <v>SELL</v>
      </c>
      <c r="M1444" s="4">
        <f t="shared" si="227"/>
        <v>0</v>
      </c>
      <c r="N1444" s="4">
        <f t="shared" si="223"/>
        <v>-1</v>
      </c>
      <c r="O1444" s="4">
        <f t="shared" si="228"/>
        <v>2633.8</v>
      </c>
      <c r="P1444" s="4">
        <f t="shared" si="229"/>
        <v>0</v>
      </c>
    </row>
    <row r="1445" spans="1:16" x14ac:dyDescent="0.25">
      <c r="A1445" s="1">
        <v>43299</v>
      </c>
      <c r="B1445">
        <v>2496.25</v>
      </c>
      <c r="C1445">
        <v>2530</v>
      </c>
      <c r="D1445">
        <v>2495.6</v>
      </c>
      <c r="E1445" s="7">
        <v>2526.75</v>
      </c>
      <c r="F1445">
        <v>1347542</v>
      </c>
      <c r="G1445" s="8">
        <f t="shared" si="220"/>
        <v>2517.4500000000003</v>
      </c>
      <c r="H1445" s="9">
        <f t="shared" si="221"/>
        <v>3392369607.9000006</v>
      </c>
      <c r="I1445" s="9">
        <f t="shared" si="224"/>
        <v>44644394585.716667</v>
      </c>
      <c r="J1445" s="9">
        <f t="shared" si="225"/>
        <v>17510410</v>
      </c>
      <c r="K1445" s="21">
        <f t="shared" si="226"/>
        <v>2549.5916192548698</v>
      </c>
      <c r="L1445" s="4" t="str">
        <f t="shared" si="222"/>
        <v>SELL</v>
      </c>
      <c r="M1445" s="4">
        <f t="shared" si="227"/>
        <v>0</v>
      </c>
      <c r="N1445" s="4">
        <f t="shared" si="223"/>
        <v>-1</v>
      </c>
      <c r="O1445" s="4">
        <f t="shared" si="228"/>
        <v>2633.8</v>
      </c>
      <c r="P1445" s="4">
        <f t="shared" si="229"/>
        <v>0</v>
      </c>
    </row>
    <row r="1446" spans="1:16" x14ac:dyDescent="0.25">
      <c r="A1446" s="1">
        <v>43300</v>
      </c>
      <c r="B1446">
        <v>2535</v>
      </c>
      <c r="C1446">
        <v>2542</v>
      </c>
      <c r="D1446">
        <v>2522.25</v>
      </c>
      <c r="E1446" s="7">
        <v>2530</v>
      </c>
      <c r="F1446">
        <v>964844</v>
      </c>
      <c r="G1446" s="8">
        <f t="shared" si="220"/>
        <v>2531.4166666666665</v>
      </c>
      <c r="H1446" s="9">
        <f t="shared" si="221"/>
        <v>2442422182.333333</v>
      </c>
      <c r="I1446" s="9">
        <f t="shared" si="224"/>
        <v>44326614603.550003</v>
      </c>
      <c r="J1446" s="9">
        <f t="shared" si="225"/>
        <v>17442489</v>
      </c>
      <c r="K1446" s="21">
        <f t="shared" si="226"/>
        <v>2541.3009922809756</v>
      </c>
      <c r="L1446" s="4" t="str">
        <f t="shared" si="222"/>
        <v>SELL</v>
      </c>
      <c r="M1446" s="4">
        <f t="shared" si="227"/>
        <v>0</v>
      </c>
      <c r="N1446" s="4">
        <f t="shared" si="223"/>
        <v>-1</v>
      </c>
      <c r="O1446" s="4">
        <f t="shared" si="228"/>
        <v>2633.8</v>
      </c>
      <c r="P1446" s="4">
        <f t="shared" si="229"/>
        <v>0</v>
      </c>
    </row>
    <row r="1447" spans="1:16" x14ac:dyDescent="0.25">
      <c r="A1447" s="1">
        <v>43301</v>
      </c>
      <c r="B1447">
        <v>2548</v>
      </c>
      <c r="C1447">
        <v>2548</v>
      </c>
      <c r="D1447">
        <v>2527.3000000000002</v>
      </c>
      <c r="E1447" s="7">
        <v>2537.15</v>
      </c>
      <c r="F1447">
        <v>1167699</v>
      </c>
      <c r="G1447" s="8">
        <f t="shared" si="220"/>
        <v>2537.4833333333336</v>
      </c>
      <c r="H1447" s="9">
        <f t="shared" si="221"/>
        <v>2963016750.8500004</v>
      </c>
      <c r="I1447" s="9">
        <f t="shared" si="224"/>
        <v>44172891315.650002</v>
      </c>
      <c r="J1447" s="9">
        <f t="shared" si="225"/>
        <v>17431413</v>
      </c>
      <c r="K1447" s="21">
        <f t="shared" si="226"/>
        <v>2534.09699578858</v>
      </c>
      <c r="L1447" s="4" t="str">
        <f t="shared" si="222"/>
        <v>BUY</v>
      </c>
      <c r="M1447" s="4" t="str">
        <f t="shared" si="227"/>
        <v>BUY</v>
      </c>
      <c r="N1447" s="4">
        <f t="shared" si="223"/>
        <v>1</v>
      </c>
      <c r="O1447" s="4">
        <f t="shared" si="228"/>
        <v>2537.15</v>
      </c>
      <c r="P1447" s="4">
        <f t="shared" si="229"/>
        <v>3.6696028551902224E-2</v>
      </c>
    </row>
    <row r="1448" spans="1:16" x14ac:dyDescent="0.25">
      <c r="A1448" s="1">
        <v>43304</v>
      </c>
      <c r="B1448">
        <v>2549</v>
      </c>
      <c r="C1448">
        <v>2549</v>
      </c>
      <c r="D1448">
        <v>2515.1</v>
      </c>
      <c r="E1448" s="7">
        <v>2536.5500000000002</v>
      </c>
      <c r="F1448">
        <v>707315</v>
      </c>
      <c r="G1448" s="8">
        <f t="shared" si="220"/>
        <v>2533.5500000000002</v>
      </c>
      <c r="H1448" s="9">
        <f t="shared" si="221"/>
        <v>1792017918.2500002</v>
      </c>
      <c r="I1448" s="9">
        <f t="shared" si="224"/>
        <v>43007178343.399994</v>
      </c>
      <c r="J1448" s="9">
        <f t="shared" si="225"/>
        <v>17013866</v>
      </c>
      <c r="K1448" s="21">
        <f t="shared" si="226"/>
        <v>2527.7722501987491</v>
      </c>
      <c r="L1448" s="4" t="str">
        <f t="shared" si="222"/>
        <v>BUY</v>
      </c>
      <c r="M1448" s="4">
        <f t="shared" si="227"/>
        <v>0</v>
      </c>
      <c r="N1448" s="4">
        <f t="shared" si="223"/>
        <v>1</v>
      </c>
      <c r="O1448" s="4">
        <f t="shared" si="228"/>
        <v>2537.15</v>
      </c>
      <c r="P1448" s="4">
        <f t="shared" si="229"/>
        <v>0</v>
      </c>
    </row>
    <row r="1449" spans="1:16" x14ac:dyDescent="0.25">
      <c r="A1449" s="1">
        <v>43305</v>
      </c>
      <c r="B1449">
        <v>2530.0500000000002</v>
      </c>
      <c r="C1449">
        <v>2544.9</v>
      </c>
      <c r="D1449">
        <v>2520.35</v>
      </c>
      <c r="E1449" s="7">
        <v>2531.1</v>
      </c>
      <c r="F1449">
        <v>765210</v>
      </c>
      <c r="G1449" s="8">
        <f t="shared" si="220"/>
        <v>2532.1166666666668</v>
      </c>
      <c r="H1449" s="9">
        <f t="shared" si="221"/>
        <v>1937600994.5</v>
      </c>
      <c r="I1449" s="9">
        <f t="shared" si="224"/>
        <v>41735741457.166664</v>
      </c>
      <c r="J1449" s="9">
        <f t="shared" si="225"/>
        <v>16551120</v>
      </c>
      <c r="K1449" s="21">
        <f t="shared" si="226"/>
        <v>2521.6264190681154</v>
      </c>
      <c r="L1449" s="4" t="str">
        <f t="shared" si="222"/>
        <v>BUY</v>
      </c>
      <c r="M1449" s="4">
        <f t="shared" si="227"/>
        <v>0</v>
      </c>
      <c r="N1449" s="4">
        <f t="shared" si="223"/>
        <v>1</v>
      </c>
      <c r="O1449" s="4">
        <f t="shared" si="228"/>
        <v>2537.15</v>
      </c>
      <c r="P1449" s="4">
        <f t="shared" si="229"/>
        <v>0</v>
      </c>
    </row>
    <row r="1450" spans="1:16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 s="7">
        <v>2529.1</v>
      </c>
      <c r="F1450">
        <v>627671</v>
      </c>
      <c r="G1450" s="8">
        <f t="shared" si="220"/>
        <v>2524.2333333333336</v>
      </c>
      <c r="H1450" s="9">
        <f t="shared" si="221"/>
        <v>1584388060.5666668</v>
      </c>
      <c r="I1450" s="9">
        <f t="shared" si="224"/>
        <v>35309008368.933334</v>
      </c>
      <c r="J1450" s="9">
        <f t="shared" si="225"/>
        <v>14088935</v>
      </c>
      <c r="K1450" s="21">
        <f t="shared" si="226"/>
        <v>2506.1516976927874</v>
      </c>
      <c r="L1450" s="4" t="str">
        <f t="shared" si="222"/>
        <v>BUY</v>
      </c>
      <c r="M1450" s="4">
        <f t="shared" si="227"/>
        <v>0</v>
      </c>
      <c r="N1450" s="4">
        <f t="shared" si="223"/>
        <v>1</v>
      </c>
      <c r="O1450" s="4">
        <f t="shared" si="228"/>
        <v>2537.15</v>
      </c>
      <c r="P1450" s="4">
        <f t="shared" si="229"/>
        <v>0</v>
      </c>
    </row>
    <row r="1451" spans="1:16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 s="7">
        <v>2495.35</v>
      </c>
      <c r="F1451">
        <v>1565158</v>
      </c>
      <c r="G1451" s="8">
        <f t="shared" si="220"/>
        <v>2506.9333333333338</v>
      </c>
      <c r="H1451" s="9">
        <f t="shared" si="221"/>
        <v>3923746762.1333342</v>
      </c>
      <c r="I1451" s="9">
        <f t="shared" si="224"/>
        <v>28795087731.466671</v>
      </c>
      <c r="J1451" s="9">
        <f t="shared" si="225"/>
        <v>11485529</v>
      </c>
      <c r="K1451" s="21">
        <f t="shared" si="226"/>
        <v>2507.0754452378005</v>
      </c>
      <c r="L1451" s="4" t="str">
        <f t="shared" si="222"/>
        <v>SELL</v>
      </c>
      <c r="M1451" s="4" t="str">
        <f t="shared" si="227"/>
        <v>SELL</v>
      </c>
      <c r="N1451" s="4">
        <f t="shared" si="223"/>
        <v>-1</v>
      </c>
      <c r="O1451" s="4">
        <f t="shared" si="228"/>
        <v>2495.35</v>
      </c>
      <c r="P1451" s="4">
        <f t="shared" si="229"/>
        <v>-1.6475178842401978E-2</v>
      </c>
    </row>
    <row r="1452" spans="1:16" x14ac:dyDescent="0.25">
      <c r="A1452" s="1">
        <v>43308</v>
      </c>
      <c r="B1452">
        <v>2500</v>
      </c>
      <c r="C1452">
        <v>2511.9</v>
      </c>
      <c r="D1452">
        <v>2485</v>
      </c>
      <c r="E1452" s="7">
        <v>2495.1999999999998</v>
      </c>
      <c r="F1452">
        <v>758348</v>
      </c>
      <c r="G1452" s="8">
        <f t="shared" si="220"/>
        <v>2497.3666666666663</v>
      </c>
      <c r="H1452" s="9">
        <f t="shared" si="221"/>
        <v>1893873016.9333332</v>
      </c>
      <c r="I1452" s="9">
        <f t="shared" si="224"/>
        <v>26703490167.150005</v>
      </c>
      <c r="J1452" s="9">
        <f t="shared" si="225"/>
        <v>10636022</v>
      </c>
      <c r="K1452" s="21">
        <f t="shared" si="226"/>
        <v>2510.6651873369578</v>
      </c>
      <c r="L1452" s="4" t="str">
        <f t="shared" si="222"/>
        <v>SELL</v>
      </c>
      <c r="M1452" s="4">
        <f t="shared" si="227"/>
        <v>0</v>
      </c>
      <c r="N1452" s="4">
        <f t="shared" si="223"/>
        <v>-1</v>
      </c>
      <c r="O1452" s="4">
        <f t="shared" si="228"/>
        <v>2495.35</v>
      </c>
      <c r="P1452" s="4">
        <f t="shared" si="229"/>
        <v>0</v>
      </c>
    </row>
    <row r="1453" spans="1:16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 s="7">
        <v>2517.35</v>
      </c>
      <c r="F1453">
        <v>659647</v>
      </c>
      <c r="G1453" s="8">
        <f t="shared" si="220"/>
        <v>2509.2333333333336</v>
      </c>
      <c r="H1453" s="9">
        <f t="shared" si="221"/>
        <v>1655208240.6333334</v>
      </c>
      <c r="I1453" s="9">
        <f t="shared" si="224"/>
        <v>25466404815.950005</v>
      </c>
      <c r="J1453" s="9">
        <f t="shared" si="225"/>
        <v>10128755</v>
      </c>
      <c r="K1453" s="21">
        <f t="shared" si="226"/>
        <v>2514.2680236564124</v>
      </c>
      <c r="L1453" s="4" t="str">
        <f t="shared" si="222"/>
        <v>BUY</v>
      </c>
      <c r="M1453" s="4" t="str">
        <f t="shared" si="227"/>
        <v>BUY</v>
      </c>
      <c r="N1453" s="4">
        <f t="shared" si="223"/>
        <v>1</v>
      </c>
      <c r="O1453" s="4">
        <f t="shared" si="228"/>
        <v>2517.35</v>
      </c>
      <c r="P1453" s="4">
        <f t="shared" si="229"/>
        <v>-8.8163985012122553E-3</v>
      </c>
    </row>
    <row r="1454" spans="1:16" x14ac:dyDescent="0.25">
      <c r="A1454" s="1">
        <v>43312</v>
      </c>
      <c r="B1454">
        <v>2528</v>
      </c>
      <c r="C1454">
        <v>2547.8000000000002</v>
      </c>
      <c r="D1454">
        <v>2518.5</v>
      </c>
      <c r="E1454" s="7">
        <v>2543.4499999999998</v>
      </c>
      <c r="F1454">
        <v>682453</v>
      </c>
      <c r="G1454" s="8">
        <f t="shared" si="220"/>
        <v>2536.5833333333335</v>
      </c>
      <c r="H1454" s="9">
        <f t="shared" si="221"/>
        <v>1731098905.5833335</v>
      </c>
      <c r="I1454" s="9">
        <f t="shared" si="224"/>
        <v>23315742439.683338</v>
      </c>
      <c r="J1454" s="9">
        <f t="shared" si="225"/>
        <v>9245887</v>
      </c>
      <c r="K1454" s="21">
        <f t="shared" si="226"/>
        <v>2521.7420935042078</v>
      </c>
      <c r="L1454" s="4" t="str">
        <f t="shared" si="222"/>
        <v>BUY</v>
      </c>
      <c r="M1454" s="4">
        <f t="shared" si="227"/>
        <v>0</v>
      </c>
      <c r="N1454" s="4">
        <f t="shared" si="223"/>
        <v>1</v>
      </c>
      <c r="O1454" s="4">
        <f t="shared" si="228"/>
        <v>2517.35</v>
      </c>
      <c r="P1454" s="4">
        <f t="shared" si="229"/>
        <v>0</v>
      </c>
    </row>
    <row r="1455" spans="1:16" x14ac:dyDescent="0.25">
      <c r="A1455" s="1">
        <v>43313</v>
      </c>
      <c r="B1455">
        <v>2545</v>
      </c>
      <c r="C1455">
        <v>2547.1999999999998</v>
      </c>
      <c r="D1455">
        <v>2520</v>
      </c>
      <c r="E1455" s="7">
        <v>2533.8000000000002</v>
      </c>
      <c r="F1455">
        <v>495717</v>
      </c>
      <c r="G1455" s="8">
        <f t="shared" si="220"/>
        <v>2533.6666666666665</v>
      </c>
      <c r="H1455" s="9">
        <f t="shared" si="221"/>
        <v>1255981639</v>
      </c>
      <c r="I1455" s="9">
        <f t="shared" si="224"/>
        <v>21179354470.783333</v>
      </c>
      <c r="J1455" s="9">
        <f t="shared" si="225"/>
        <v>8394062</v>
      </c>
      <c r="K1455" s="21">
        <f t="shared" si="226"/>
        <v>2523.1353390984405</v>
      </c>
      <c r="L1455" s="4" t="str">
        <f t="shared" si="222"/>
        <v>BUY</v>
      </c>
      <c r="M1455" s="4">
        <f t="shared" si="227"/>
        <v>0</v>
      </c>
      <c r="N1455" s="4">
        <f t="shared" si="223"/>
        <v>1</v>
      </c>
      <c r="O1455" s="4">
        <f t="shared" si="228"/>
        <v>2517.35</v>
      </c>
      <c r="P1455" s="4">
        <f t="shared" si="229"/>
        <v>0</v>
      </c>
    </row>
    <row r="1456" spans="1:16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 s="7">
        <v>2482.65</v>
      </c>
      <c r="F1456">
        <v>798049</v>
      </c>
      <c r="G1456" s="8">
        <f t="shared" si="220"/>
        <v>2499.2000000000003</v>
      </c>
      <c r="H1456" s="9">
        <f t="shared" si="221"/>
        <v>1994484060.8000002</v>
      </c>
      <c r="I1456" s="9">
        <f t="shared" si="224"/>
        <v>20731416349.25</v>
      </c>
      <c r="J1456" s="9">
        <f t="shared" si="225"/>
        <v>8227267</v>
      </c>
      <c r="K1456" s="21">
        <f t="shared" si="226"/>
        <v>2519.8424153792503</v>
      </c>
      <c r="L1456" s="4" t="str">
        <f t="shared" si="222"/>
        <v>SELL</v>
      </c>
      <c r="M1456" s="4" t="str">
        <f t="shared" si="227"/>
        <v>SELL</v>
      </c>
      <c r="N1456" s="4">
        <f t="shared" si="223"/>
        <v>-1</v>
      </c>
      <c r="O1456" s="4">
        <f t="shared" si="228"/>
        <v>2482.65</v>
      </c>
      <c r="P1456" s="4">
        <f t="shared" si="229"/>
        <v>-1.378433670327917E-2</v>
      </c>
    </row>
    <row r="1457" spans="1:16" x14ac:dyDescent="0.25">
      <c r="A1457" s="1">
        <v>43315</v>
      </c>
      <c r="B1457">
        <v>2492</v>
      </c>
      <c r="C1457">
        <v>2518.25</v>
      </c>
      <c r="D1457">
        <v>2483.4499999999998</v>
      </c>
      <c r="E1457" s="7">
        <v>2505.75</v>
      </c>
      <c r="F1457">
        <v>454012</v>
      </c>
      <c r="G1457" s="8">
        <f t="shared" si="220"/>
        <v>2502.4833333333331</v>
      </c>
      <c r="H1457" s="9">
        <f t="shared" si="221"/>
        <v>1136157463.1333332</v>
      </c>
      <c r="I1457" s="9">
        <f t="shared" si="224"/>
        <v>18904557061.533333</v>
      </c>
      <c r="J1457" s="9">
        <f t="shared" si="225"/>
        <v>7513580</v>
      </c>
      <c r="K1457" s="21">
        <f t="shared" si="226"/>
        <v>2516.0518769392665</v>
      </c>
      <c r="L1457" s="4" t="str">
        <f t="shared" si="222"/>
        <v>SELL</v>
      </c>
      <c r="M1457" s="4">
        <f t="shared" si="227"/>
        <v>0</v>
      </c>
      <c r="N1457" s="4">
        <f t="shared" si="223"/>
        <v>-1</v>
      </c>
      <c r="O1457" s="4">
        <f t="shared" si="228"/>
        <v>2482.65</v>
      </c>
      <c r="P1457" s="4">
        <f t="shared" si="229"/>
        <v>0</v>
      </c>
    </row>
    <row r="1458" spans="1:16" x14ac:dyDescent="0.25">
      <c r="A1458" s="1">
        <v>43318</v>
      </c>
      <c r="B1458">
        <v>2495</v>
      </c>
      <c r="C1458">
        <v>2502.75</v>
      </c>
      <c r="D1458">
        <v>2468.6</v>
      </c>
      <c r="E1458" s="7">
        <v>2471.35</v>
      </c>
      <c r="F1458">
        <v>1010778</v>
      </c>
      <c r="G1458" s="8">
        <f t="shared" si="220"/>
        <v>2480.9</v>
      </c>
      <c r="H1458" s="9">
        <f t="shared" si="221"/>
        <v>2507639140.2000003</v>
      </c>
      <c r="I1458" s="9">
        <f t="shared" si="224"/>
        <v>19620178283.483334</v>
      </c>
      <c r="J1458" s="9">
        <f t="shared" si="225"/>
        <v>7817043</v>
      </c>
      <c r="K1458" s="21">
        <f t="shared" si="226"/>
        <v>2509.9232898531241</v>
      </c>
      <c r="L1458" s="4" t="str">
        <f t="shared" si="222"/>
        <v>SELL</v>
      </c>
      <c r="M1458" s="4">
        <f t="shared" si="227"/>
        <v>0</v>
      </c>
      <c r="N1458" s="4">
        <f t="shared" si="223"/>
        <v>-1</v>
      </c>
      <c r="O1458" s="4">
        <f t="shared" si="228"/>
        <v>2482.65</v>
      </c>
      <c r="P1458" s="4">
        <f t="shared" si="229"/>
        <v>0</v>
      </c>
    </row>
    <row r="1459" spans="1:16" x14ac:dyDescent="0.25">
      <c r="A1459" s="1">
        <v>43319</v>
      </c>
      <c r="B1459">
        <v>2472.9499999999998</v>
      </c>
      <c r="C1459">
        <v>2477</v>
      </c>
      <c r="D1459">
        <v>2450</v>
      </c>
      <c r="E1459" s="7">
        <v>2458.15</v>
      </c>
      <c r="F1459">
        <v>680960</v>
      </c>
      <c r="G1459" s="8">
        <f t="shared" si="220"/>
        <v>2461.7166666666667</v>
      </c>
      <c r="H1459" s="9">
        <f t="shared" si="221"/>
        <v>1676330581.3333333</v>
      </c>
      <c r="I1459" s="9">
        <f t="shared" si="224"/>
        <v>19358907870.316666</v>
      </c>
      <c r="J1459" s="9">
        <f t="shared" si="225"/>
        <v>7732793</v>
      </c>
      <c r="K1459" s="21">
        <f t="shared" si="226"/>
        <v>2503.4819722080579</v>
      </c>
      <c r="L1459" s="4" t="str">
        <f t="shared" si="222"/>
        <v>SELL</v>
      </c>
      <c r="M1459" s="4">
        <f t="shared" si="227"/>
        <v>0</v>
      </c>
      <c r="N1459" s="4">
        <f t="shared" si="223"/>
        <v>-1</v>
      </c>
      <c r="O1459" s="4">
        <f t="shared" si="228"/>
        <v>2482.65</v>
      </c>
      <c r="P1459" s="4">
        <f t="shared" si="229"/>
        <v>0</v>
      </c>
    </row>
    <row r="1460" spans="1:16" x14ac:dyDescent="0.25">
      <c r="A1460" s="1">
        <v>43320</v>
      </c>
      <c r="B1460">
        <v>2475</v>
      </c>
      <c r="C1460">
        <v>2475</v>
      </c>
      <c r="D1460">
        <v>2450</v>
      </c>
      <c r="E1460" s="7">
        <v>2468.8000000000002</v>
      </c>
      <c r="F1460">
        <v>67582</v>
      </c>
      <c r="G1460" s="8">
        <f t="shared" si="220"/>
        <v>2464.6</v>
      </c>
      <c r="H1460" s="9">
        <f t="shared" si="221"/>
        <v>166562597.19999999</v>
      </c>
      <c r="I1460" s="9">
        <f t="shared" si="224"/>
        <v>17941082406.950005</v>
      </c>
      <c r="J1460" s="9">
        <f t="shared" si="225"/>
        <v>7172704</v>
      </c>
      <c r="K1460" s="21">
        <f t="shared" si="226"/>
        <v>2501.2997060731914</v>
      </c>
      <c r="L1460" s="4" t="str">
        <f t="shared" si="222"/>
        <v>SELL</v>
      </c>
      <c r="M1460" s="4">
        <f t="shared" si="227"/>
        <v>0</v>
      </c>
      <c r="N1460" s="4">
        <f t="shared" si="223"/>
        <v>-1</v>
      </c>
      <c r="O1460" s="4">
        <f t="shared" si="228"/>
        <v>2482.65</v>
      </c>
      <c r="P1460" s="4">
        <f t="shared" si="229"/>
        <v>0</v>
      </c>
    </row>
    <row r="1461" spans="1:16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 s="7">
        <v>2397.4</v>
      </c>
      <c r="F1461">
        <v>1371616</v>
      </c>
      <c r="G1461" s="8">
        <f t="shared" si="220"/>
        <v>2407.3333333333335</v>
      </c>
      <c r="H1461" s="9">
        <f t="shared" si="221"/>
        <v>3301936917.3333335</v>
      </c>
      <c r="I1461" s="9">
        <f t="shared" si="224"/>
        <v>17319272562.150002</v>
      </c>
      <c r="J1461" s="9">
        <f t="shared" si="225"/>
        <v>6979162</v>
      </c>
      <c r="K1461" s="21">
        <f t="shared" si="226"/>
        <v>2481.5690712079763</v>
      </c>
      <c r="L1461" s="4" t="str">
        <f t="shared" si="222"/>
        <v>SELL</v>
      </c>
      <c r="M1461" s="4">
        <f t="shared" si="227"/>
        <v>0</v>
      </c>
      <c r="N1461" s="4">
        <f t="shared" si="223"/>
        <v>-1</v>
      </c>
      <c r="O1461" s="4">
        <f t="shared" si="228"/>
        <v>2482.65</v>
      </c>
      <c r="P1461" s="4">
        <f t="shared" si="229"/>
        <v>0</v>
      </c>
    </row>
    <row r="1462" spans="1:16" x14ac:dyDescent="0.25">
      <c r="A1462" s="1">
        <v>43322</v>
      </c>
      <c r="B1462">
        <v>2390</v>
      </c>
      <c r="C1462">
        <v>2390</v>
      </c>
      <c r="D1462">
        <v>2356</v>
      </c>
      <c r="E1462" s="7">
        <v>2374.6</v>
      </c>
      <c r="F1462">
        <v>1021764</v>
      </c>
      <c r="G1462" s="8">
        <f t="shared" si="220"/>
        <v>2373.5333333333333</v>
      </c>
      <c r="H1462" s="9">
        <f t="shared" si="221"/>
        <v>2425190912.8000002</v>
      </c>
      <c r="I1462" s="9">
        <f t="shared" si="224"/>
        <v>17850590458.01667</v>
      </c>
      <c r="J1462" s="9">
        <f t="shared" si="225"/>
        <v>7242578</v>
      </c>
      <c r="K1462" s="21">
        <f t="shared" si="226"/>
        <v>2464.6735538114563</v>
      </c>
      <c r="L1462" s="4" t="str">
        <f t="shared" si="222"/>
        <v>SELL</v>
      </c>
      <c r="M1462" s="4">
        <f t="shared" si="227"/>
        <v>0</v>
      </c>
      <c r="N1462" s="4">
        <f t="shared" si="223"/>
        <v>-1</v>
      </c>
      <c r="O1462" s="4">
        <f t="shared" si="228"/>
        <v>2482.65</v>
      </c>
      <c r="P1462" s="4">
        <f t="shared" si="229"/>
        <v>0</v>
      </c>
    </row>
    <row r="1463" spans="1:16" x14ac:dyDescent="0.25">
      <c r="A1463" s="1">
        <v>43325</v>
      </c>
      <c r="B1463">
        <v>2380.5</v>
      </c>
      <c r="C1463">
        <v>2398.4499999999998</v>
      </c>
      <c r="D1463">
        <v>2375</v>
      </c>
      <c r="E1463" s="7">
        <v>2390.5500000000002</v>
      </c>
      <c r="F1463">
        <v>992514</v>
      </c>
      <c r="G1463" s="8">
        <f t="shared" si="220"/>
        <v>2388</v>
      </c>
      <c r="H1463" s="9">
        <f t="shared" si="221"/>
        <v>2370123432</v>
      </c>
      <c r="I1463" s="9">
        <f t="shared" si="224"/>
        <v>18565505649.383335</v>
      </c>
      <c r="J1463" s="9">
        <f t="shared" si="225"/>
        <v>7575445</v>
      </c>
      <c r="K1463" s="21">
        <f t="shared" si="226"/>
        <v>2450.7478635754514</v>
      </c>
      <c r="L1463" s="4" t="str">
        <f t="shared" si="222"/>
        <v>SELL</v>
      </c>
      <c r="M1463" s="4">
        <f t="shared" si="227"/>
        <v>0</v>
      </c>
      <c r="N1463" s="4">
        <f t="shared" si="223"/>
        <v>-1</v>
      </c>
      <c r="O1463" s="4">
        <f t="shared" si="228"/>
        <v>2482.65</v>
      </c>
      <c r="P1463" s="4">
        <f t="shared" si="229"/>
        <v>0</v>
      </c>
    </row>
    <row r="1464" spans="1:16" x14ac:dyDescent="0.25">
      <c r="A1464" s="1">
        <v>43326</v>
      </c>
      <c r="B1464">
        <v>2388.9</v>
      </c>
      <c r="C1464">
        <v>2388.9</v>
      </c>
      <c r="D1464">
        <v>2346</v>
      </c>
      <c r="E1464" s="7">
        <v>2351.4499999999998</v>
      </c>
      <c r="F1464">
        <v>760176</v>
      </c>
      <c r="G1464" s="8">
        <f t="shared" si="220"/>
        <v>2362.1166666666663</v>
      </c>
      <c r="H1464" s="9">
        <f t="shared" si="221"/>
        <v>1795624399.1999998</v>
      </c>
      <c r="I1464" s="9">
        <f t="shared" si="224"/>
        <v>18630031143</v>
      </c>
      <c r="J1464" s="9">
        <f t="shared" si="225"/>
        <v>7653168</v>
      </c>
      <c r="K1464" s="21">
        <f t="shared" si="226"/>
        <v>2434.2901061364391</v>
      </c>
      <c r="L1464" s="4" t="str">
        <f t="shared" si="222"/>
        <v>SELL</v>
      </c>
      <c r="M1464" s="4">
        <f t="shared" si="227"/>
        <v>0</v>
      </c>
      <c r="N1464" s="4">
        <f t="shared" si="223"/>
        <v>-1</v>
      </c>
      <c r="O1464" s="4">
        <f t="shared" si="228"/>
        <v>2482.65</v>
      </c>
      <c r="P1464" s="4">
        <f t="shared" si="229"/>
        <v>0</v>
      </c>
    </row>
    <row r="1465" spans="1:16" x14ac:dyDescent="0.25">
      <c r="A1465" s="1">
        <v>43327</v>
      </c>
      <c r="B1465">
        <v>2365.35</v>
      </c>
      <c r="C1465">
        <v>2381.6</v>
      </c>
      <c r="D1465">
        <v>2352</v>
      </c>
      <c r="E1465" s="7">
        <v>2362.5500000000002</v>
      </c>
      <c r="F1465">
        <v>933453</v>
      </c>
      <c r="G1465" s="8">
        <f t="shared" si="220"/>
        <v>2365.3833333333337</v>
      </c>
      <c r="H1465" s="9">
        <f t="shared" si="221"/>
        <v>2207974168.6500001</v>
      </c>
      <c r="I1465" s="9">
        <f t="shared" si="224"/>
        <v>19582023672.650002</v>
      </c>
      <c r="J1465" s="9">
        <f t="shared" si="225"/>
        <v>8090904</v>
      </c>
      <c r="K1465" s="21">
        <f t="shared" si="226"/>
        <v>2420.2516396993465</v>
      </c>
      <c r="L1465" s="4" t="str">
        <f t="shared" si="222"/>
        <v>SELL</v>
      </c>
      <c r="M1465" s="4">
        <f t="shared" si="227"/>
        <v>0</v>
      </c>
      <c r="N1465" s="4">
        <f t="shared" si="223"/>
        <v>-1</v>
      </c>
      <c r="O1465" s="4">
        <f t="shared" si="228"/>
        <v>2482.65</v>
      </c>
      <c r="P1465" s="4">
        <f t="shared" si="229"/>
        <v>0</v>
      </c>
    </row>
    <row r="1466" spans="1:16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 s="7">
        <v>2398.35</v>
      </c>
      <c r="F1466">
        <v>1006063</v>
      </c>
      <c r="G1466" s="8">
        <f t="shared" si="220"/>
        <v>2394.6166666666668</v>
      </c>
      <c r="H1466" s="9">
        <f t="shared" si="221"/>
        <v>2409135227.5166669</v>
      </c>
      <c r="I1466" s="9">
        <f t="shared" si="224"/>
        <v>19996674839.366669</v>
      </c>
      <c r="J1466" s="9">
        <f t="shared" si="225"/>
        <v>8298918</v>
      </c>
      <c r="K1466" s="21">
        <f t="shared" si="226"/>
        <v>2409.5520451421098</v>
      </c>
      <c r="L1466" s="4" t="str">
        <f t="shared" si="222"/>
        <v>SELL</v>
      </c>
      <c r="M1466" s="4">
        <f t="shared" si="227"/>
        <v>0</v>
      </c>
      <c r="N1466" s="4">
        <f t="shared" si="223"/>
        <v>-1</v>
      </c>
      <c r="O1466" s="4">
        <f t="shared" si="228"/>
        <v>2482.65</v>
      </c>
      <c r="P1466" s="4">
        <f t="shared" si="229"/>
        <v>0</v>
      </c>
    </row>
    <row r="1467" spans="1:16" x14ac:dyDescent="0.25">
      <c r="A1467" s="1">
        <v>43329</v>
      </c>
      <c r="B1467">
        <v>2405.3000000000002</v>
      </c>
      <c r="C1467">
        <v>2413.4</v>
      </c>
      <c r="D1467">
        <v>2382.25</v>
      </c>
      <c r="E1467" s="7">
        <v>2391.0500000000002</v>
      </c>
      <c r="F1467">
        <v>544041</v>
      </c>
      <c r="G1467" s="8">
        <f t="shared" si="220"/>
        <v>2395.5666666666666</v>
      </c>
      <c r="H1467" s="9">
        <f t="shared" si="221"/>
        <v>1303286484.8999999</v>
      </c>
      <c r="I1467" s="9">
        <f t="shared" si="224"/>
        <v>20163803861.133339</v>
      </c>
      <c r="J1467" s="9">
        <f t="shared" si="225"/>
        <v>8388947</v>
      </c>
      <c r="K1467" s="21">
        <f t="shared" si="226"/>
        <v>2403.6155981356587</v>
      </c>
      <c r="L1467" s="4" t="str">
        <f t="shared" si="222"/>
        <v>SELL</v>
      </c>
      <c r="M1467" s="4">
        <f t="shared" si="227"/>
        <v>0</v>
      </c>
      <c r="N1467" s="4">
        <f t="shared" si="223"/>
        <v>-1</v>
      </c>
      <c r="O1467" s="4">
        <f t="shared" si="228"/>
        <v>2482.65</v>
      </c>
      <c r="P1467" s="4">
        <f t="shared" si="229"/>
        <v>0</v>
      </c>
    </row>
    <row r="1468" spans="1:16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 s="7">
        <v>2367.9499999999998</v>
      </c>
      <c r="F1468">
        <v>499320</v>
      </c>
      <c r="G1468" s="8">
        <f t="shared" si="220"/>
        <v>2375.2999999999997</v>
      </c>
      <c r="H1468" s="9">
        <f t="shared" si="221"/>
        <v>1186034795.9999998</v>
      </c>
      <c r="I1468" s="9">
        <f t="shared" si="224"/>
        <v>18842199516.933334</v>
      </c>
      <c r="J1468" s="9">
        <f t="shared" si="225"/>
        <v>7877489</v>
      </c>
      <c r="K1468" s="21">
        <f t="shared" si="226"/>
        <v>2391.90426250463</v>
      </c>
      <c r="L1468" s="4" t="str">
        <f t="shared" si="222"/>
        <v>SELL</v>
      </c>
      <c r="M1468" s="4">
        <f t="shared" si="227"/>
        <v>0</v>
      </c>
      <c r="N1468" s="4">
        <f t="shared" si="223"/>
        <v>-1</v>
      </c>
      <c r="O1468" s="4">
        <f t="shared" si="228"/>
        <v>2482.65</v>
      </c>
      <c r="P1468" s="4">
        <f t="shared" si="229"/>
        <v>0</v>
      </c>
    </row>
    <row r="1469" spans="1:16" x14ac:dyDescent="0.25">
      <c r="A1469" s="1">
        <v>43333</v>
      </c>
      <c r="B1469">
        <v>2377.9</v>
      </c>
      <c r="C1469">
        <v>2382.4</v>
      </c>
      <c r="D1469">
        <v>2337.85</v>
      </c>
      <c r="E1469" s="7">
        <v>2345.5500000000002</v>
      </c>
      <c r="F1469">
        <v>1457646</v>
      </c>
      <c r="G1469" s="8">
        <f t="shared" si="220"/>
        <v>2355.2666666666669</v>
      </c>
      <c r="H1469" s="9">
        <f t="shared" si="221"/>
        <v>3433145035.6000004</v>
      </c>
      <c r="I1469" s="9">
        <f t="shared" si="224"/>
        <v>20599013971.199997</v>
      </c>
      <c r="J1469" s="9">
        <f t="shared" si="225"/>
        <v>8654175</v>
      </c>
      <c r="K1469" s="21">
        <f t="shared" si="226"/>
        <v>2380.240054216606</v>
      </c>
      <c r="L1469" s="4" t="str">
        <f t="shared" si="222"/>
        <v>SELL</v>
      </c>
      <c r="M1469" s="4">
        <f t="shared" si="227"/>
        <v>0</v>
      </c>
      <c r="N1469" s="4">
        <f t="shared" si="223"/>
        <v>-1</v>
      </c>
      <c r="O1469" s="4">
        <f t="shared" si="228"/>
        <v>2482.65</v>
      </c>
      <c r="P1469" s="4">
        <f t="shared" si="229"/>
        <v>0</v>
      </c>
    </row>
    <row r="1470" spans="1:16" x14ac:dyDescent="0.25">
      <c r="A1470" s="1">
        <v>43334</v>
      </c>
      <c r="B1470">
        <v>2348</v>
      </c>
      <c r="C1470">
        <v>2359.4499999999998</v>
      </c>
      <c r="D1470">
        <v>2332.5</v>
      </c>
      <c r="E1470" s="7">
        <v>2353.35</v>
      </c>
      <c r="F1470">
        <v>868603</v>
      </c>
      <c r="G1470" s="8">
        <f t="shared" si="220"/>
        <v>2348.4333333333329</v>
      </c>
      <c r="H1470" s="9">
        <f t="shared" si="221"/>
        <v>2039856238.633333</v>
      </c>
      <c r="I1470" s="9">
        <f t="shared" si="224"/>
        <v>22472307612.633331</v>
      </c>
      <c r="J1470" s="9">
        <f t="shared" si="225"/>
        <v>9455196</v>
      </c>
      <c r="K1470" s="21">
        <f t="shared" si="226"/>
        <v>2376.7151535127705</v>
      </c>
      <c r="L1470" s="4" t="str">
        <f t="shared" si="222"/>
        <v>SELL</v>
      </c>
      <c r="M1470" s="4">
        <f t="shared" si="227"/>
        <v>0</v>
      </c>
      <c r="N1470" s="4">
        <f t="shared" si="223"/>
        <v>-1</v>
      </c>
      <c r="O1470" s="4">
        <f t="shared" si="228"/>
        <v>2482.65</v>
      </c>
      <c r="P1470" s="4">
        <f t="shared" si="229"/>
        <v>0</v>
      </c>
    </row>
    <row r="1471" spans="1:16" x14ac:dyDescent="0.25">
      <c r="A1471" s="1">
        <v>43335</v>
      </c>
      <c r="B1471">
        <v>2365</v>
      </c>
      <c r="C1471">
        <v>2391.25</v>
      </c>
      <c r="D1471">
        <v>2350.15</v>
      </c>
      <c r="E1471" s="7">
        <v>2364.6999999999998</v>
      </c>
      <c r="F1471">
        <v>2050024</v>
      </c>
      <c r="G1471" s="8">
        <f t="shared" si="220"/>
        <v>2368.6999999999998</v>
      </c>
      <c r="H1471" s="9">
        <f t="shared" si="221"/>
        <v>4855891848.7999992</v>
      </c>
      <c r="I1471" s="9">
        <f t="shared" si="224"/>
        <v>24026262544.099998</v>
      </c>
      <c r="J1471" s="9">
        <f t="shared" si="225"/>
        <v>10133604</v>
      </c>
      <c r="K1471" s="21">
        <f t="shared" si="226"/>
        <v>2370.9494217555766</v>
      </c>
      <c r="L1471" s="4" t="str">
        <f t="shared" si="222"/>
        <v>SELL</v>
      </c>
      <c r="M1471" s="4">
        <f t="shared" si="227"/>
        <v>0</v>
      </c>
      <c r="N1471" s="4">
        <f t="shared" si="223"/>
        <v>-1</v>
      </c>
      <c r="O1471" s="4">
        <f t="shared" si="228"/>
        <v>2482.65</v>
      </c>
      <c r="P1471" s="4">
        <f t="shared" si="229"/>
        <v>0</v>
      </c>
    </row>
    <row r="1472" spans="1:16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 s="7">
        <v>2361.9</v>
      </c>
      <c r="F1472">
        <v>860997</v>
      </c>
      <c r="G1472" s="8">
        <f t="shared" si="220"/>
        <v>2365.6666666666665</v>
      </c>
      <c r="H1472" s="9">
        <f t="shared" si="221"/>
        <v>2036831902.9999998</v>
      </c>
      <c r="I1472" s="9">
        <f t="shared" si="224"/>
        <v>23637903534.299999</v>
      </c>
      <c r="J1472" s="9">
        <f t="shared" si="225"/>
        <v>9972837</v>
      </c>
      <c r="K1472" s="21">
        <f t="shared" si="226"/>
        <v>2370.2286053908228</v>
      </c>
      <c r="L1472" s="4" t="str">
        <f t="shared" si="222"/>
        <v>SELL</v>
      </c>
      <c r="M1472" s="4">
        <f t="shared" si="227"/>
        <v>0</v>
      </c>
      <c r="N1472" s="4">
        <f t="shared" si="223"/>
        <v>-1</v>
      </c>
      <c r="O1472" s="4">
        <f t="shared" si="228"/>
        <v>2482.65</v>
      </c>
      <c r="P1472" s="4">
        <f t="shared" si="229"/>
        <v>0</v>
      </c>
    </row>
    <row r="1473" spans="1:16" x14ac:dyDescent="0.25">
      <c r="A1473" s="1">
        <v>43339</v>
      </c>
      <c r="B1473">
        <v>2378</v>
      </c>
      <c r="C1473">
        <v>2378.1</v>
      </c>
      <c r="D1473">
        <v>2346.5</v>
      </c>
      <c r="E1473" s="7">
        <v>2365.1999999999998</v>
      </c>
      <c r="F1473">
        <v>820148</v>
      </c>
      <c r="G1473" s="8">
        <f t="shared" si="220"/>
        <v>2363.2666666666669</v>
      </c>
      <c r="H1473" s="9">
        <f t="shared" si="221"/>
        <v>1938228430.1333334</v>
      </c>
      <c r="I1473" s="9">
        <f t="shared" si="224"/>
        <v>23206008532.433334</v>
      </c>
      <c r="J1473" s="9">
        <f t="shared" si="225"/>
        <v>9800471</v>
      </c>
      <c r="K1473" s="21">
        <f t="shared" si="226"/>
        <v>2367.8462527396218</v>
      </c>
      <c r="L1473" s="4" t="str">
        <f t="shared" si="222"/>
        <v>SELL</v>
      </c>
      <c r="M1473" s="4">
        <f t="shared" si="227"/>
        <v>0</v>
      </c>
      <c r="N1473" s="4">
        <f t="shared" si="223"/>
        <v>-1</v>
      </c>
      <c r="O1473" s="4">
        <f t="shared" si="228"/>
        <v>2482.65</v>
      </c>
      <c r="P1473" s="4">
        <f t="shared" si="229"/>
        <v>0</v>
      </c>
    </row>
    <row r="1474" spans="1:16" x14ac:dyDescent="0.25">
      <c r="A1474" s="1">
        <v>43340</v>
      </c>
      <c r="B1474">
        <v>2360</v>
      </c>
      <c r="C1474">
        <v>2373</v>
      </c>
      <c r="D1474">
        <v>2347</v>
      </c>
      <c r="E1474" s="7">
        <v>2350.75</v>
      </c>
      <c r="F1474">
        <v>1141679</v>
      </c>
      <c r="G1474" s="8">
        <f t="shared" ref="G1474:G1537" si="230">AVERAGE(C1474:E1474)</f>
        <v>2356.9166666666665</v>
      </c>
      <c r="H1474" s="9">
        <f t="shared" si="221"/>
        <v>2690842263.083333</v>
      </c>
      <c r="I1474" s="9">
        <f t="shared" si="224"/>
        <v>24101226396.316666</v>
      </c>
      <c r="J1474" s="9">
        <f t="shared" si="225"/>
        <v>10181974</v>
      </c>
      <c r="K1474" s="21">
        <f t="shared" si="226"/>
        <v>2367.048511056566</v>
      </c>
      <c r="L1474" s="4" t="str">
        <f t="shared" si="222"/>
        <v>SELL</v>
      </c>
      <c r="M1474" s="4">
        <f t="shared" si="227"/>
        <v>0</v>
      </c>
      <c r="N1474" s="4">
        <f t="shared" si="223"/>
        <v>-1</v>
      </c>
      <c r="O1474" s="4">
        <f t="shared" si="228"/>
        <v>2482.65</v>
      </c>
      <c r="P1474" s="4">
        <f t="shared" si="229"/>
        <v>0</v>
      </c>
    </row>
    <row r="1475" spans="1:16" x14ac:dyDescent="0.25">
      <c r="A1475" s="1">
        <v>43341</v>
      </c>
      <c r="B1475">
        <v>2340</v>
      </c>
      <c r="C1475">
        <v>2347.3000000000002</v>
      </c>
      <c r="D1475">
        <v>2321.1</v>
      </c>
      <c r="E1475" s="7">
        <v>2328.4</v>
      </c>
      <c r="F1475">
        <v>623046</v>
      </c>
      <c r="G1475" s="8">
        <f t="shared" si="230"/>
        <v>2332.2666666666664</v>
      </c>
      <c r="H1475" s="9">
        <f t="shared" ref="H1475:H1538" si="231">G1475*F1475</f>
        <v>1453109417.5999999</v>
      </c>
      <c r="I1475" s="9">
        <f t="shared" si="224"/>
        <v>23346361645.266663</v>
      </c>
      <c r="J1475" s="9">
        <f t="shared" si="225"/>
        <v>9871567</v>
      </c>
      <c r="K1475" s="21">
        <f t="shared" si="226"/>
        <v>2365.010706533893</v>
      </c>
      <c r="L1475" s="4" t="str">
        <f t="shared" si="222"/>
        <v>SELL</v>
      </c>
      <c r="M1475" s="4">
        <f t="shared" si="227"/>
        <v>0</v>
      </c>
      <c r="N1475" s="4">
        <f t="shared" si="223"/>
        <v>-1</v>
      </c>
      <c r="O1475" s="4">
        <f t="shared" si="228"/>
        <v>2482.65</v>
      </c>
      <c r="P1475" s="4">
        <f t="shared" si="229"/>
        <v>0</v>
      </c>
    </row>
    <row r="1476" spans="1:16" x14ac:dyDescent="0.25">
      <c r="A1476" s="1">
        <v>43342</v>
      </c>
      <c r="B1476">
        <v>2332.1999999999998</v>
      </c>
      <c r="C1476">
        <v>2343.9</v>
      </c>
      <c r="D1476">
        <v>2315.25</v>
      </c>
      <c r="E1476" s="7">
        <v>2319.8000000000002</v>
      </c>
      <c r="F1476">
        <v>691302</v>
      </c>
      <c r="G1476" s="8">
        <f t="shared" si="230"/>
        <v>2326.3166666666666</v>
      </c>
      <c r="H1476" s="9">
        <f t="shared" si="231"/>
        <v>1608187364.3</v>
      </c>
      <c r="I1476" s="9">
        <f t="shared" si="224"/>
        <v>22545413782.049995</v>
      </c>
      <c r="J1476" s="9">
        <f t="shared" si="225"/>
        <v>9556806</v>
      </c>
      <c r="K1476" s="21">
        <f t="shared" si="226"/>
        <v>2359.0950556127218</v>
      </c>
      <c r="L1476" s="4" t="str">
        <f t="shared" si="222"/>
        <v>SELL</v>
      </c>
      <c r="M1476" s="4">
        <f t="shared" si="227"/>
        <v>0</v>
      </c>
      <c r="N1476" s="4">
        <f t="shared" si="223"/>
        <v>-1</v>
      </c>
      <c r="O1476" s="4">
        <f t="shared" si="228"/>
        <v>2482.65</v>
      </c>
      <c r="P1476" s="4">
        <f t="shared" si="229"/>
        <v>0</v>
      </c>
    </row>
    <row r="1477" spans="1:16" x14ac:dyDescent="0.25">
      <c r="A1477" s="1">
        <v>43343</v>
      </c>
      <c r="B1477">
        <v>2319.4</v>
      </c>
      <c r="C1477">
        <v>2349</v>
      </c>
      <c r="D1477">
        <v>2317.3000000000002</v>
      </c>
      <c r="E1477" s="7">
        <v>2329</v>
      </c>
      <c r="F1477">
        <v>569982</v>
      </c>
      <c r="G1477" s="8">
        <f t="shared" si="230"/>
        <v>2331.7666666666669</v>
      </c>
      <c r="H1477" s="9">
        <f t="shared" si="231"/>
        <v>1329065028.2</v>
      </c>
      <c r="I1477" s="9">
        <f t="shared" si="224"/>
        <v>22571192325.349998</v>
      </c>
      <c r="J1477" s="9">
        <f t="shared" si="225"/>
        <v>9582747</v>
      </c>
      <c r="K1477" s="21">
        <f t="shared" si="226"/>
        <v>2355.3989607938097</v>
      </c>
      <c r="L1477" s="4" t="str">
        <f t="shared" si="222"/>
        <v>SELL</v>
      </c>
      <c r="M1477" s="4">
        <f t="shared" si="227"/>
        <v>0</v>
      </c>
      <c r="N1477" s="4">
        <f t="shared" si="223"/>
        <v>-1</v>
      </c>
      <c r="O1477" s="4">
        <f t="shared" si="228"/>
        <v>2482.65</v>
      </c>
      <c r="P1477" s="4">
        <f t="shared" si="229"/>
        <v>0</v>
      </c>
    </row>
    <row r="1478" spans="1:16" x14ac:dyDescent="0.25">
      <c r="A1478" s="1">
        <v>43346</v>
      </c>
      <c r="B1478">
        <v>2337.9</v>
      </c>
      <c r="C1478">
        <v>2372.8000000000002</v>
      </c>
      <c r="D1478">
        <v>2320</v>
      </c>
      <c r="E1478" s="7">
        <v>2367.65</v>
      </c>
      <c r="F1478">
        <v>2641403</v>
      </c>
      <c r="G1478" s="8">
        <f t="shared" si="230"/>
        <v>2353.4833333333336</v>
      </c>
      <c r="H1478" s="9">
        <f t="shared" si="231"/>
        <v>6216497937.1166677</v>
      </c>
      <c r="I1478" s="9">
        <f t="shared" si="224"/>
        <v>27601655466.466667</v>
      </c>
      <c r="J1478" s="9">
        <f t="shared" si="225"/>
        <v>11724830</v>
      </c>
      <c r="K1478" s="21">
        <f t="shared" si="226"/>
        <v>2354.1198862982806</v>
      </c>
      <c r="L1478" s="4" t="str">
        <f t="shared" si="222"/>
        <v>BUY</v>
      </c>
      <c r="M1478" s="4" t="str">
        <f t="shared" si="227"/>
        <v>BUY</v>
      </c>
      <c r="N1478" s="4">
        <f t="shared" si="223"/>
        <v>1</v>
      </c>
      <c r="O1478" s="4">
        <f t="shared" si="228"/>
        <v>2367.65</v>
      </c>
      <c r="P1478" s="4">
        <f t="shared" si="229"/>
        <v>4.6321471008801081E-2</v>
      </c>
    </row>
    <row r="1479" spans="1:16" x14ac:dyDescent="0.25">
      <c r="A1479" s="1">
        <v>43347</v>
      </c>
      <c r="B1479">
        <v>2369</v>
      </c>
      <c r="C1479">
        <v>2391.1999999999998</v>
      </c>
      <c r="D1479">
        <v>2352</v>
      </c>
      <c r="E1479" s="7">
        <v>2384.5500000000002</v>
      </c>
      <c r="F1479">
        <v>861994</v>
      </c>
      <c r="G1479" s="8">
        <f t="shared" si="230"/>
        <v>2375.9166666666665</v>
      </c>
      <c r="H1479" s="9">
        <f t="shared" si="231"/>
        <v>2048025911.1666665</v>
      </c>
      <c r="I1479" s="9">
        <f t="shared" si="224"/>
        <v>26216536342.033333</v>
      </c>
      <c r="J1479" s="9">
        <f t="shared" si="225"/>
        <v>11129178</v>
      </c>
      <c r="K1479" s="21">
        <f t="shared" si="226"/>
        <v>2355.6579238856034</v>
      </c>
      <c r="L1479" s="4" t="str">
        <f t="shared" si="222"/>
        <v>BUY</v>
      </c>
      <c r="M1479" s="4">
        <f t="shared" si="227"/>
        <v>0</v>
      </c>
      <c r="N1479" s="4">
        <f t="shared" si="223"/>
        <v>1</v>
      </c>
      <c r="O1479" s="4">
        <f t="shared" si="228"/>
        <v>2367.65</v>
      </c>
      <c r="P1479" s="4">
        <f t="shared" si="229"/>
        <v>0</v>
      </c>
    </row>
    <row r="1480" spans="1:16" x14ac:dyDescent="0.25">
      <c r="A1480" s="1">
        <v>43348</v>
      </c>
      <c r="B1480">
        <v>2383</v>
      </c>
      <c r="C1480">
        <v>2391.9499999999998</v>
      </c>
      <c r="D1480">
        <v>2363.25</v>
      </c>
      <c r="E1480" s="7">
        <v>2386</v>
      </c>
      <c r="F1480">
        <v>826189</v>
      </c>
      <c r="G1480" s="8">
        <f t="shared" si="230"/>
        <v>2380.4</v>
      </c>
      <c r="H1480" s="9">
        <f t="shared" si="231"/>
        <v>1966660295.6000001</v>
      </c>
      <c r="I1480" s="9">
        <f t="shared" si="224"/>
        <v>26143340399</v>
      </c>
      <c r="J1480" s="9">
        <f t="shared" si="225"/>
        <v>11086764</v>
      </c>
      <c r="K1480" s="21">
        <f t="shared" si="226"/>
        <v>2358.067728238826</v>
      </c>
      <c r="L1480" s="4" t="str">
        <f t="shared" si="222"/>
        <v>BUY</v>
      </c>
      <c r="M1480" s="4">
        <f t="shared" si="227"/>
        <v>0</v>
      </c>
      <c r="N1480" s="4">
        <f t="shared" si="223"/>
        <v>1</v>
      </c>
      <c r="O1480" s="4">
        <f t="shared" si="228"/>
        <v>2367.65</v>
      </c>
      <c r="P1480" s="4">
        <f t="shared" si="229"/>
        <v>0</v>
      </c>
    </row>
    <row r="1481" spans="1:16" x14ac:dyDescent="0.25">
      <c r="A1481" s="1">
        <v>43349</v>
      </c>
      <c r="B1481">
        <v>2335.1999999999998</v>
      </c>
      <c r="C1481">
        <v>2387</v>
      </c>
      <c r="D1481">
        <v>2330.6</v>
      </c>
      <c r="E1481" s="7">
        <v>2378.4499999999998</v>
      </c>
      <c r="F1481">
        <v>1359266</v>
      </c>
      <c r="G1481" s="8">
        <f t="shared" si="230"/>
        <v>2365.35</v>
      </c>
      <c r="H1481" s="9">
        <f t="shared" si="231"/>
        <v>3215139833.0999999</v>
      </c>
      <c r="I1481" s="9">
        <f t="shared" si="224"/>
        <v>24502588383.299999</v>
      </c>
      <c r="J1481" s="9">
        <f t="shared" si="225"/>
        <v>10396006</v>
      </c>
      <c r="K1481" s="21">
        <f t="shared" si="226"/>
        <v>2356.9232629627186</v>
      </c>
      <c r="L1481" s="4" t="str">
        <f t="shared" si="222"/>
        <v>BUY</v>
      </c>
      <c r="M1481" s="4">
        <f t="shared" si="227"/>
        <v>0</v>
      </c>
      <c r="N1481" s="4">
        <f t="shared" si="223"/>
        <v>1</v>
      </c>
      <c r="O1481" s="4">
        <f t="shared" si="228"/>
        <v>2367.65</v>
      </c>
      <c r="P1481" s="4">
        <f t="shared" si="229"/>
        <v>0</v>
      </c>
    </row>
    <row r="1482" spans="1:16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 s="7">
        <v>2375.85</v>
      </c>
      <c r="F1482">
        <v>567934</v>
      </c>
      <c r="G1482" s="8">
        <f t="shared" si="230"/>
        <v>2374.6333333333332</v>
      </c>
      <c r="H1482" s="9">
        <f t="shared" si="231"/>
        <v>1348635007.5333333</v>
      </c>
      <c r="I1482" s="9">
        <f t="shared" si="224"/>
        <v>23814391487.833332</v>
      </c>
      <c r="J1482" s="9">
        <f t="shared" si="225"/>
        <v>10102943</v>
      </c>
      <c r="K1482" s="21">
        <f t="shared" si="226"/>
        <v>2357.1736956086293</v>
      </c>
      <c r="L1482" s="4" t="str">
        <f t="shared" si="222"/>
        <v>BUY</v>
      </c>
      <c r="M1482" s="4">
        <f t="shared" si="227"/>
        <v>0</v>
      </c>
      <c r="N1482" s="4">
        <f t="shared" si="223"/>
        <v>1</v>
      </c>
      <c r="O1482" s="4">
        <f t="shared" si="228"/>
        <v>2367.65</v>
      </c>
      <c r="P1482" s="4">
        <f t="shared" si="229"/>
        <v>0</v>
      </c>
    </row>
    <row r="1483" spans="1:16" x14ac:dyDescent="0.25">
      <c r="A1483" s="1">
        <v>43353</v>
      </c>
      <c r="B1483">
        <v>2384</v>
      </c>
      <c r="C1483">
        <v>2414.5</v>
      </c>
      <c r="D1483">
        <v>2384</v>
      </c>
      <c r="E1483" s="7">
        <v>2408.4</v>
      </c>
      <c r="F1483">
        <v>717967</v>
      </c>
      <c r="G1483" s="8">
        <f t="shared" si="230"/>
        <v>2402.2999999999997</v>
      </c>
      <c r="H1483" s="9">
        <f t="shared" si="231"/>
        <v>1724772124.0999999</v>
      </c>
      <c r="I1483" s="9">
        <f t="shared" si="224"/>
        <v>23600935181.799995</v>
      </c>
      <c r="J1483" s="9">
        <f t="shared" si="225"/>
        <v>10000762</v>
      </c>
      <c r="K1483" s="21">
        <f t="shared" si="226"/>
        <v>2359.9136927566115</v>
      </c>
      <c r="L1483" s="4" t="str">
        <f t="shared" ref="L1483:L1546" si="232">IF(E1483&gt;K1483,"BUY",IF(E1483&lt;K1483,"SELL",0))</f>
        <v>BUY</v>
      </c>
      <c r="M1483" s="4">
        <f t="shared" si="227"/>
        <v>0</v>
      </c>
      <c r="N1483" s="4">
        <f t="shared" ref="N1483:N1546" si="233">IF(M1483="BUY",1,IF(M1483="SELL",-1,N1482))</f>
        <v>1</v>
      </c>
      <c r="O1483" s="4">
        <f t="shared" si="228"/>
        <v>2367.65</v>
      </c>
      <c r="P1483" s="4">
        <f t="shared" si="229"/>
        <v>0</v>
      </c>
    </row>
    <row r="1484" spans="1:16" x14ac:dyDescent="0.25">
      <c r="A1484" s="1">
        <v>43354</v>
      </c>
      <c r="B1484">
        <v>2415</v>
      </c>
      <c r="C1484">
        <v>2445</v>
      </c>
      <c r="D1484">
        <v>2393.35</v>
      </c>
      <c r="E1484" s="7">
        <v>2439.75</v>
      </c>
      <c r="F1484">
        <v>809422</v>
      </c>
      <c r="G1484" s="8">
        <f t="shared" si="230"/>
        <v>2426.0333333333333</v>
      </c>
      <c r="H1484" s="9">
        <f t="shared" si="231"/>
        <v>1963684752.7333333</v>
      </c>
      <c r="I1484" s="9">
        <f t="shared" ref="I1484:I1547" si="234">SUM(H1475:H1484)</f>
        <v>22873777671.449997</v>
      </c>
      <c r="J1484" s="9">
        <f t="shared" ref="J1484:J1547" si="235">SUM(F1475:F1484)</f>
        <v>9668505</v>
      </c>
      <c r="K1484" s="21">
        <f t="shared" ref="K1484:K1547" si="236">I1484/J1484</f>
        <v>2365.802952105832</v>
      </c>
      <c r="L1484" s="4" t="str">
        <f t="shared" si="232"/>
        <v>BUY</v>
      </c>
      <c r="M1484" s="4">
        <f t="shared" ref="M1484:M1547" si="237">IF(L1484&lt;&gt;L1483,L1484,0)</f>
        <v>0</v>
      </c>
      <c r="N1484" s="4">
        <f t="shared" si="233"/>
        <v>1</v>
      </c>
      <c r="O1484" s="4">
        <f t="shared" ref="O1484:O1547" si="238">IF(M1484&lt;&gt;0,E1484,O1483)</f>
        <v>2367.65</v>
      </c>
      <c r="P1484" s="4">
        <f t="shared" ref="P1484:P1547" si="239">IF(M1484="BUY",(O1483-O1484)/O1483,IF(M1484="SELL",(O1484-O1483)/O1483,0))</f>
        <v>0</v>
      </c>
    </row>
    <row r="1485" spans="1:16" x14ac:dyDescent="0.25">
      <c r="A1485" s="1">
        <v>43355</v>
      </c>
      <c r="B1485">
        <v>2420</v>
      </c>
      <c r="C1485">
        <v>2434.1999999999998</v>
      </c>
      <c r="D1485">
        <v>2400.65</v>
      </c>
      <c r="E1485" s="7">
        <v>2416.8000000000002</v>
      </c>
      <c r="F1485">
        <v>1512485</v>
      </c>
      <c r="G1485" s="8">
        <f t="shared" si="230"/>
        <v>2417.2166666666667</v>
      </c>
      <c r="H1485" s="9">
        <f t="shared" si="231"/>
        <v>3656003950.0833335</v>
      </c>
      <c r="I1485" s="9">
        <f t="shared" si="234"/>
        <v>25076672203.933334</v>
      </c>
      <c r="J1485" s="9">
        <f t="shared" si="235"/>
        <v>10557944</v>
      </c>
      <c r="K1485" s="21">
        <f t="shared" si="236"/>
        <v>2375.1473017789576</v>
      </c>
      <c r="L1485" s="4" t="str">
        <f t="shared" si="232"/>
        <v>BUY</v>
      </c>
      <c r="M1485" s="4">
        <f t="shared" si="237"/>
        <v>0</v>
      </c>
      <c r="N1485" s="4">
        <f t="shared" si="233"/>
        <v>1</v>
      </c>
      <c r="O1485" s="4">
        <f t="shared" si="238"/>
        <v>2367.65</v>
      </c>
      <c r="P1485" s="4">
        <f t="shared" si="239"/>
        <v>0</v>
      </c>
    </row>
    <row r="1486" spans="1:16" x14ac:dyDescent="0.25">
      <c r="A1486" s="1">
        <v>43356</v>
      </c>
      <c r="B1486">
        <v>2419.9499999999998</v>
      </c>
      <c r="C1486">
        <v>2450</v>
      </c>
      <c r="D1486">
        <v>2406.85</v>
      </c>
      <c r="E1486" s="7">
        <v>2446.4</v>
      </c>
      <c r="F1486">
        <v>805052</v>
      </c>
      <c r="G1486" s="8">
        <f t="shared" si="230"/>
        <v>2434.4166666666665</v>
      </c>
      <c r="H1486" s="9">
        <f t="shared" si="231"/>
        <v>1959832006.3333333</v>
      </c>
      <c r="I1486" s="9">
        <f t="shared" si="234"/>
        <v>25428316845.966663</v>
      </c>
      <c r="J1486" s="9">
        <f t="shared" si="235"/>
        <v>10671694</v>
      </c>
      <c r="K1486" s="21">
        <f t="shared" si="236"/>
        <v>2382.7816695237575</v>
      </c>
      <c r="L1486" s="4" t="str">
        <f t="shared" si="232"/>
        <v>BUY</v>
      </c>
      <c r="M1486" s="4">
        <f t="shared" si="237"/>
        <v>0</v>
      </c>
      <c r="N1486" s="4">
        <f t="shared" si="233"/>
        <v>1</v>
      </c>
      <c r="O1486" s="4">
        <f t="shared" si="238"/>
        <v>2367.65</v>
      </c>
      <c r="P1486" s="4">
        <f t="shared" si="239"/>
        <v>0</v>
      </c>
    </row>
    <row r="1487" spans="1:16" x14ac:dyDescent="0.25">
      <c r="A1487" s="1">
        <v>43357</v>
      </c>
      <c r="B1487">
        <v>2440</v>
      </c>
      <c r="C1487">
        <v>2440</v>
      </c>
      <c r="D1487">
        <v>2400</v>
      </c>
      <c r="E1487" s="7">
        <v>2405.0500000000002</v>
      </c>
      <c r="F1487">
        <v>780429</v>
      </c>
      <c r="G1487" s="8">
        <f t="shared" si="230"/>
        <v>2415.0166666666669</v>
      </c>
      <c r="H1487" s="9">
        <f t="shared" si="231"/>
        <v>1884749042.1500001</v>
      </c>
      <c r="I1487" s="9">
        <f t="shared" si="234"/>
        <v>25984000859.916668</v>
      </c>
      <c r="J1487" s="9">
        <f t="shared" si="235"/>
        <v>10882141</v>
      </c>
      <c r="K1487" s="21">
        <f t="shared" si="236"/>
        <v>2387.7655012847808</v>
      </c>
      <c r="L1487" s="4" t="str">
        <f t="shared" si="232"/>
        <v>BUY</v>
      </c>
      <c r="M1487" s="4">
        <f t="shared" si="237"/>
        <v>0</v>
      </c>
      <c r="N1487" s="4">
        <f t="shared" si="233"/>
        <v>1</v>
      </c>
      <c r="O1487" s="4">
        <f t="shared" si="238"/>
        <v>2367.65</v>
      </c>
      <c r="P1487" s="4">
        <f t="shared" si="239"/>
        <v>0</v>
      </c>
    </row>
    <row r="1488" spans="1:16" x14ac:dyDescent="0.25">
      <c r="A1488" s="1">
        <v>43360</v>
      </c>
      <c r="B1488">
        <v>2415</v>
      </c>
      <c r="C1488">
        <v>2435</v>
      </c>
      <c r="D1488">
        <v>2410.5500000000002</v>
      </c>
      <c r="E1488" s="7">
        <v>2425.8000000000002</v>
      </c>
      <c r="F1488">
        <v>424917</v>
      </c>
      <c r="G1488" s="8">
        <f t="shared" si="230"/>
        <v>2423.7833333333333</v>
      </c>
      <c r="H1488" s="9">
        <f t="shared" si="231"/>
        <v>1029906742.65</v>
      </c>
      <c r="I1488" s="9">
        <f t="shared" si="234"/>
        <v>20797409665.450005</v>
      </c>
      <c r="J1488" s="9">
        <f t="shared" si="235"/>
        <v>8665655</v>
      </c>
      <c r="K1488" s="21">
        <f t="shared" si="236"/>
        <v>2399.9812669036564</v>
      </c>
      <c r="L1488" s="4" t="str">
        <f t="shared" si="232"/>
        <v>BUY</v>
      </c>
      <c r="M1488" s="4">
        <f t="shared" si="237"/>
        <v>0</v>
      </c>
      <c r="N1488" s="4">
        <f t="shared" si="233"/>
        <v>1</v>
      </c>
      <c r="O1488" s="4">
        <f t="shared" si="238"/>
        <v>2367.65</v>
      </c>
      <c r="P1488" s="4">
        <f t="shared" si="239"/>
        <v>0</v>
      </c>
    </row>
    <row r="1489" spans="1:16" x14ac:dyDescent="0.25">
      <c r="A1489" s="1">
        <v>43361</v>
      </c>
      <c r="B1489">
        <v>2421</v>
      </c>
      <c r="C1489">
        <v>2438.1999999999998</v>
      </c>
      <c r="D1489">
        <v>2404</v>
      </c>
      <c r="E1489" s="7">
        <v>2434.25</v>
      </c>
      <c r="F1489">
        <v>421580</v>
      </c>
      <c r="G1489" s="8">
        <f t="shared" si="230"/>
        <v>2425.4833333333331</v>
      </c>
      <c r="H1489" s="9">
        <f t="shared" si="231"/>
        <v>1022535263.6666666</v>
      </c>
      <c r="I1489" s="9">
        <f t="shared" si="234"/>
        <v>19771919017.950005</v>
      </c>
      <c r="J1489" s="9">
        <f t="shared" si="235"/>
        <v>8225241</v>
      </c>
      <c r="K1489" s="21">
        <f t="shared" si="236"/>
        <v>2403.8102978320035</v>
      </c>
      <c r="L1489" s="4" t="str">
        <f t="shared" si="232"/>
        <v>BUY</v>
      </c>
      <c r="M1489" s="4">
        <f t="shared" si="237"/>
        <v>0</v>
      </c>
      <c r="N1489" s="4">
        <f t="shared" si="233"/>
        <v>1</v>
      </c>
      <c r="O1489" s="4">
        <f t="shared" si="238"/>
        <v>2367.65</v>
      </c>
      <c r="P1489" s="4">
        <f t="shared" si="239"/>
        <v>0</v>
      </c>
    </row>
    <row r="1490" spans="1:16" x14ac:dyDescent="0.25">
      <c r="A1490" s="1">
        <v>43362</v>
      </c>
      <c r="B1490">
        <v>2428</v>
      </c>
      <c r="C1490">
        <v>2466.4</v>
      </c>
      <c r="D1490">
        <v>2420.1999999999998</v>
      </c>
      <c r="E1490" s="7">
        <v>2462.6999999999998</v>
      </c>
      <c r="F1490">
        <v>1852099</v>
      </c>
      <c r="G1490" s="8">
        <f t="shared" si="230"/>
        <v>2449.7666666666669</v>
      </c>
      <c r="H1490" s="9">
        <f t="shared" si="231"/>
        <v>4537210393.5666666</v>
      </c>
      <c r="I1490" s="9">
        <f t="shared" si="234"/>
        <v>22342469115.916668</v>
      </c>
      <c r="J1490" s="9">
        <f t="shared" si="235"/>
        <v>9251151</v>
      </c>
      <c r="K1490" s="21">
        <f t="shared" si="236"/>
        <v>2415.1015496251944</v>
      </c>
      <c r="L1490" s="4" t="str">
        <f t="shared" si="232"/>
        <v>BUY</v>
      </c>
      <c r="M1490" s="4">
        <f t="shared" si="237"/>
        <v>0</v>
      </c>
      <c r="N1490" s="4">
        <f t="shared" si="233"/>
        <v>1</v>
      </c>
      <c r="O1490" s="4">
        <f t="shared" si="238"/>
        <v>2367.65</v>
      </c>
      <c r="P1490" s="4">
        <f t="shared" si="239"/>
        <v>0</v>
      </c>
    </row>
    <row r="1491" spans="1:16" x14ac:dyDescent="0.25">
      <c r="A1491" s="1">
        <v>43363</v>
      </c>
      <c r="B1491">
        <v>2458.35</v>
      </c>
      <c r="C1491">
        <v>2465.3000000000002</v>
      </c>
      <c r="D1491">
        <v>2445.75</v>
      </c>
      <c r="E1491" s="7">
        <v>2455.8000000000002</v>
      </c>
      <c r="F1491">
        <v>854262</v>
      </c>
      <c r="G1491" s="8">
        <f t="shared" si="230"/>
        <v>2455.6166666666668</v>
      </c>
      <c r="H1491" s="9">
        <f t="shared" si="231"/>
        <v>2097740004.9000001</v>
      </c>
      <c r="I1491" s="9">
        <f t="shared" si="234"/>
        <v>21225069287.716667</v>
      </c>
      <c r="J1491" s="9">
        <f t="shared" si="235"/>
        <v>8746147</v>
      </c>
      <c r="K1491" s="21">
        <f t="shared" si="236"/>
        <v>2426.7908243157435</v>
      </c>
      <c r="L1491" s="4" t="str">
        <f t="shared" si="232"/>
        <v>BUY</v>
      </c>
      <c r="M1491" s="4">
        <f t="shared" si="237"/>
        <v>0</v>
      </c>
      <c r="N1491" s="4">
        <f t="shared" si="233"/>
        <v>1</v>
      </c>
      <c r="O1491" s="4">
        <f t="shared" si="238"/>
        <v>2367.65</v>
      </c>
      <c r="P1491" s="4">
        <f t="shared" si="239"/>
        <v>0</v>
      </c>
    </row>
    <row r="1492" spans="1:16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 s="7">
        <v>2418.3000000000002</v>
      </c>
      <c r="F1492">
        <v>802881</v>
      </c>
      <c r="G1492" s="8">
        <f t="shared" si="230"/>
        <v>2429.8666666666668</v>
      </c>
      <c r="H1492" s="9">
        <f t="shared" si="231"/>
        <v>1950893779.2</v>
      </c>
      <c r="I1492" s="9">
        <f t="shared" si="234"/>
        <v>21827328059.383335</v>
      </c>
      <c r="J1492" s="9">
        <f t="shared" si="235"/>
        <v>8981094</v>
      </c>
      <c r="K1492" s="21">
        <f t="shared" si="236"/>
        <v>2430.3640580293822</v>
      </c>
      <c r="L1492" s="4" t="str">
        <f t="shared" si="232"/>
        <v>SELL</v>
      </c>
      <c r="M1492" s="4" t="str">
        <f t="shared" si="237"/>
        <v>SELL</v>
      </c>
      <c r="N1492" s="4">
        <f t="shared" si="233"/>
        <v>-1</v>
      </c>
      <c r="O1492" s="4">
        <f t="shared" si="238"/>
        <v>2418.3000000000002</v>
      </c>
      <c r="P1492" s="4">
        <f t="shared" si="239"/>
        <v>2.1392520009291951E-2</v>
      </c>
    </row>
    <row r="1493" spans="1:16" x14ac:dyDescent="0.25">
      <c r="A1493" s="1">
        <v>43367</v>
      </c>
      <c r="B1493">
        <v>2415.75</v>
      </c>
      <c r="C1493">
        <v>2448.5</v>
      </c>
      <c r="D1493">
        <v>2407.5</v>
      </c>
      <c r="E1493" s="7">
        <v>2436.85</v>
      </c>
      <c r="F1493">
        <v>620159</v>
      </c>
      <c r="G1493" s="8">
        <f t="shared" si="230"/>
        <v>2430.9500000000003</v>
      </c>
      <c r="H1493" s="9">
        <f t="shared" si="231"/>
        <v>1507575521.0500002</v>
      </c>
      <c r="I1493" s="9">
        <f t="shared" si="234"/>
        <v>21610131456.333332</v>
      </c>
      <c r="J1493" s="9">
        <f t="shared" si="235"/>
        <v>8883286</v>
      </c>
      <c r="K1493" s="21">
        <f t="shared" si="236"/>
        <v>2432.6731635493143</v>
      </c>
      <c r="L1493" s="4" t="str">
        <f t="shared" si="232"/>
        <v>BUY</v>
      </c>
      <c r="M1493" s="4" t="str">
        <f t="shared" si="237"/>
        <v>BUY</v>
      </c>
      <c r="N1493" s="4">
        <f t="shared" si="233"/>
        <v>1</v>
      </c>
      <c r="O1493" s="4">
        <f t="shared" si="238"/>
        <v>2436.85</v>
      </c>
      <c r="P1493" s="4">
        <f t="shared" si="239"/>
        <v>-7.6706777488317109E-3</v>
      </c>
    </row>
    <row r="1494" spans="1:16" x14ac:dyDescent="0.25">
      <c r="A1494" s="1">
        <v>43368</v>
      </c>
      <c r="B1494">
        <v>2439</v>
      </c>
      <c r="C1494">
        <v>2439</v>
      </c>
      <c r="D1494">
        <v>2412.25</v>
      </c>
      <c r="E1494" s="7">
        <v>2416.4</v>
      </c>
      <c r="F1494">
        <v>356131</v>
      </c>
      <c r="G1494" s="8">
        <f t="shared" si="230"/>
        <v>2422.5499999999997</v>
      </c>
      <c r="H1494" s="9">
        <f t="shared" si="231"/>
        <v>862745154.04999995</v>
      </c>
      <c r="I1494" s="9">
        <f t="shared" si="234"/>
        <v>20509191857.649998</v>
      </c>
      <c r="J1494" s="9">
        <f t="shared" si="235"/>
        <v>8429995</v>
      </c>
      <c r="K1494" s="21">
        <f t="shared" si="236"/>
        <v>2432.8830393908888</v>
      </c>
      <c r="L1494" s="4" t="str">
        <f t="shared" si="232"/>
        <v>SELL</v>
      </c>
      <c r="M1494" s="4" t="str">
        <f t="shared" si="237"/>
        <v>SELL</v>
      </c>
      <c r="N1494" s="4">
        <f t="shared" si="233"/>
        <v>-1</v>
      </c>
      <c r="O1494" s="4">
        <f t="shared" si="238"/>
        <v>2416.4</v>
      </c>
      <c r="P1494" s="4">
        <f t="shared" si="239"/>
        <v>-8.3919814514639059E-3</v>
      </c>
    </row>
    <row r="1495" spans="1:16" x14ac:dyDescent="0.25">
      <c r="A1495" s="1">
        <v>43369</v>
      </c>
      <c r="B1495">
        <v>2410.15</v>
      </c>
      <c r="C1495">
        <v>2414</v>
      </c>
      <c r="D1495">
        <v>2366.0500000000002</v>
      </c>
      <c r="E1495" s="7">
        <v>2369.6</v>
      </c>
      <c r="F1495">
        <v>935092</v>
      </c>
      <c r="G1495" s="8">
        <f t="shared" si="230"/>
        <v>2383.2166666666667</v>
      </c>
      <c r="H1495" s="9">
        <f t="shared" si="231"/>
        <v>2228526839.2666669</v>
      </c>
      <c r="I1495" s="9">
        <f t="shared" si="234"/>
        <v>19081714746.833332</v>
      </c>
      <c r="J1495" s="9">
        <f t="shared" si="235"/>
        <v>7852602</v>
      </c>
      <c r="K1495" s="21">
        <f t="shared" si="236"/>
        <v>2429.9862321856285</v>
      </c>
      <c r="L1495" s="4" t="str">
        <f t="shared" si="232"/>
        <v>SELL</v>
      </c>
      <c r="M1495" s="4">
        <f t="shared" si="237"/>
        <v>0</v>
      </c>
      <c r="N1495" s="4">
        <f t="shared" si="233"/>
        <v>-1</v>
      </c>
      <c r="O1495" s="4">
        <f t="shared" si="238"/>
        <v>2416.4</v>
      </c>
      <c r="P1495" s="4">
        <f t="shared" si="239"/>
        <v>0</v>
      </c>
    </row>
    <row r="1496" spans="1:16" x14ac:dyDescent="0.25">
      <c r="A1496" s="1">
        <v>43370</v>
      </c>
      <c r="B1496">
        <v>2385</v>
      </c>
      <c r="C1496">
        <v>2386.6</v>
      </c>
      <c r="D1496">
        <v>2341</v>
      </c>
      <c r="E1496" s="7">
        <v>2348.9499999999998</v>
      </c>
      <c r="F1496">
        <v>1339010</v>
      </c>
      <c r="G1496" s="8">
        <f t="shared" si="230"/>
        <v>2358.85</v>
      </c>
      <c r="H1496" s="9">
        <f t="shared" si="231"/>
        <v>3158523738.5</v>
      </c>
      <c r="I1496" s="9">
        <f t="shared" si="234"/>
        <v>20280406479</v>
      </c>
      <c r="J1496" s="9">
        <f t="shared" si="235"/>
        <v>8386560</v>
      </c>
      <c r="K1496" s="21">
        <f t="shared" si="236"/>
        <v>2418.2032298105541</v>
      </c>
      <c r="L1496" s="4" t="str">
        <f t="shared" si="232"/>
        <v>SELL</v>
      </c>
      <c r="M1496" s="4">
        <f t="shared" si="237"/>
        <v>0</v>
      </c>
      <c r="N1496" s="4">
        <f t="shared" si="233"/>
        <v>-1</v>
      </c>
      <c r="O1496" s="4">
        <f t="shared" si="238"/>
        <v>2416.4</v>
      </c>
      <c r="P1496" s="4">
        <f t="shared" si="239"/>
        <v>0</v>
      </c>
    </row>
    <row r="1497" spans="1:16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 s="7">
        <v>2381.6</v>
      </c>
      <c r="F1497">
        <v>1326614</v>
      </c>
      <c r="G1497" s="8">
        <f t="shared" si="230"/>
        <v>2372.65</v>
      </c>
      <c r="H1497" s="9">
        <f t="shared" si="231"/>
        <v>3147590707.0999999</v>
      </c>
      <c r="I1497" s="9">
        <f t="shared" si="234"/>
        <v>21543248143.949997</v>
      </c>
      <c r="J1497" s="9">
        <f t="shared" si="235"/>
        <v>8932745</v>
      </c>
      <c r="K1497" s="21">
        <f t="shared" si="236"/>
        <v>2411.7164593806269</v>
      </c>
      <c r="L1497" s="4" t="str">
        <f t="shared" si="232"/>
        <v>SELL</v>
      </c>
      <c r="M1497" s="4">
        <f t="shared" si="237"/>
        <v>0</v>
      </c>
      <c r="N1497" s="4">
        <f t="shared" si="233"/>
        <v>-1</v>
      </c>
      <c r="O1497" s="4">
        <f t="shared" si="238"/>
        <v>2416.4</v>
      </c>
      <c r="P1497" s="4">
        <f t="shared" si="239"/>
        <v>0</v>
      </c>
    </row>
    <row r="1498" spans="1:16" x14ac:dyDescent="0.25">
      <c r="A1498" s="1">
        <v>43374</v>
      </c>
      <c r="B1498">
        <v>2370</v>
      </c>
      <c r="C1498">
        <v>2382.9</v>
      </c>
      <c r="D1498">
        <v>2360</v>
      </c>
      <c r="E1498" s="7">
        <v>2371.25</v>
      </c>
      <c r="F1498">
        <v>1599790</v>
      </c>
      <c r="G1498" s="8">
        <f t="shared" si="230"/>
        <v>2371.3833333333332</v>
      </c>
      <c r="H1498" s="9">
        <f t="shared" si="231"/>
        <v>3793715342.833333</v>
      </c>
      <c r="I1498" s="9">
        <f t="shared" si="234"/>
        <v>24307056744.133331</v>
      </c>
      <c r="J1498" s="9">
        <f t="shared" si="235"/>
        <v>10107618</v>
      </c>
      <c r="K1498" s="21">
        <f t="shared" si="236"/>
        <v>2404.8254241635696</v>
      </c>
      <c r="L1498" s="4" t="str">
        <f t="shared" si="232"/>
        <v>SELL</v>
      </c>
      <c r="M1498" s="4">
        <f t="shared" si="237"/>
        <v>0</v>
      </c>
      <c r="N1498" s="4">
        <f t="shared" si="233"/>
        <v>-1</v>
      </c>
      <c r="O1498" s="4">
        <f t="shared" si="238"/>
        <v>2416.4</v>
      </c>
      <c r="P1498" s="4">
        <f t="shared" si="239"/>
        <v>0</v>
      </c>
    </row>
    <row r="1499" spans="1:16" x14ac:dyDescent="0.25">
      <c r="A1499" s="1">
        <v>43375</v>
      </c>
      <c r="B1499">
        <v>2385</v>
      </c>
      <c r="C1499">
        <v>2407.35</v>
      </c>
      <c r="D1499">
        <v>2372.5</v>
      </c>
      <c r="E1499" s="7">
        <v>2397.6</v>
      </c>
      <c r="F1499">
        <v>953772</v>
      </c>
      <c r="G1499" s="8">
        <f t="shared" si="230"/>
        <v>2392.4833333333336</v>
      </c>
      <c r="H1499" s="9">
        <f t="shared" si="231"/>
        <v>2281883613.8000002</v>
      </c>
      <c r="I1499" s="9">
        <f t="shared" si="234"/>
        <v>25566405094.266663</v>
      </c>
      <c r="J1499" s="9">
        <f t="shared" si="235"/>
        <v>10639810</v>
      </c>
      <c r="K1499" s="21">
        <f t="shared" si="236"/>
        <v>2402.9005305796495</v>
      </c>
      <c r="L1499" s="4" t="str">
        <f t="shared" si="232"/>
        <v>SELL</v>
      </c>
      <c r="M1499" s="4">
        <f t="shared" si="237"/>
        <v>0</v>
      </c>
      <c r="N1499" s="4">
        <f t="shared" si="233"/>
        <v>-1</v>
      </c>
      <c r="O1499" s="4">
        <f t="shared" si="238"/>
        <v>2416.4</v>
      </c>
      <c r="P1499" s="4">
        <f t="shared" si="239"/>
        <v>0</v>
      </c>
    </row>
    <row r="1500" spans="1:16" x14ac:dyDescent="0.25">
      <c r="A1500" s="1">
        <v>43376</v>
      </c>
      <c r="B1500">
        <v>2382.5</v>
      </c>
      <c r="C1500">
        <v>2384</v>
      </c>
      <c r="D1500">
        <v>2348.85</v>
      </c>
      <c r="E1500" s="7">
        <v>2362.35</v>
      </c>
      <c r="F1500">
        <v>1465114</v>
      </c>
      <c r="G1500" s="8">
        <f t="shared" si="230"/>
        <v>2365.0666666666671</v>
      </c>
      <c r="H1500" s="9">
        <f t="shared" si="231"/>
        <v>3465092284.2666674</v>
      </c>
      <c r="I1500" s="9">
        <f t="shared" si="234"/>
        <v>24494286984.966667</v>
      </c>
      <c r="J1500" s="9">
        <f t="shared" si="235"/>
        <v>10252825</v>
      </c>
      <c r="K1500" s="21">
        <f t="shared" si="236"/>
        <v>2389.0280956679421</v>
      </c>
      <c r="L1500" s="4" t="str">
        <f t="shared" si="232"/>
        <v>SELL</v>
      </c>
      <c r="M1500" s="4">
        <f t="shared" si="237"/>
        <v>0</v>
      </c>
      <c r="N1500" s="4">
        <f t="shared" si="233"/>
        <v>-1</v>
      </c>
      <c r="O1500" s="4">
        <f t="shared" si="238"/>
        <v>2416.4</v>
      </c>
      <c r="P1500" s="4">
        <f t="shared" si="239"/>
        <v>0</v>
      </c>
    </row>
    <row r="1501" spans="1:16" x14ac:dyDescent="0.25">
      <c r="A1501" s="1">
        <v>43377</v>
      </c>
      <c r="B1501">
        <v>2362.6999999999998</v>
      </c>
      <c r="C1501">
        <v>2365</v>
      </c>
      <c r="D1501">
        <v>2301.6</v>
      </c>
      <c r="E1501" s="7">
        <v>2327.0500000000002</v>
      </c>
      <c r="F1501">
        <v>1741297</v>
      </c>
      <c r="G1501" s="8">
        <f t="shared" si="230"/>
        <v>2331.2166666666667</v>
      </c>
      <c r="H1501" s="9">
        <f t="shared" si="231"/>
        <v>4059340588.0166669</v>
      </c>
      <c r="I1501" s="9">
        <f t="shared" si="234"/>
        <v>26455887568.083332</v>
      </c>
      <c r="J1501" s="9">
        <f t="shared" si="235"/>
        <v>11139860</v>
      </c>
      <c r="K1501" s="21">
        <f t="shared" si="236"/>
        <v>2374.8851034109343</v>
      </c>
      <c r="L1501" s="4" t="str">
        <f t="shared" si="232"/>
        <v>SELL</v>
      </c>
      <c r="M1501" s="4">
        <f t="shared" si="237"/>
        <v>0</v>
      </c>
      <c r="N1501" s="4">
        <f t="shared" si="233"/>
        <v>-1</v>
      </c>
      <c r="O1501" s="4">
        <f t="shared" si="238"/>
        <v>2416.4</v>
      </c>
      <c r="P1501" s="4">
        <f t="shared" si="239"/>
        <v>0</v>
      </c>
    </row>
    <row r="1502" spans="1:16" x14ac:dyDescent="0.25">
      <c r="A1502" s="1">
        <v>43378</v>
      </c>
      <c r="B1502">
        <v>2317</v>
      </c>
      <c r="C1502">
        <v>2327</v>
      </c>
      <c r="D1502">
        <v>2255.1</v>
      </c>
      <c r="E1502" s="7">
        <v>2279.1999999999998</v>
      </c>
      <c r="F1502">
        <v>2373046</v>
      </c>
      <c r="G1502" s="8">
        <f t="shared" si="230"/>
        <v>2287.1</v>
      </c>
      <c r="H1502" s="9">
        <f t="shared" si="231"/>
        <v>5427393506.5999994</v>
      </c>
      <c r="I1502" s="9">
        <f t="shared" si="234"/>
        <v>29932387295.48333</v>
      </c>
      <c r="J1502" s="9">
        <f t="shared" si="235"/>
        <v>12710025</v>
      </c>
      <c r="K1502" s="21">
        <f t="shared" si="236"/>
        <v>2355.0219055810931</v>
      </c>
      <c r="L1502" s="4" t="str">
        <f t="shared" si="232"/>
        <v>SELL</v>
      </c>
      <c r="M1502" s="4">
        <f t="shared" si="237"/>
        <v>0</v>
      </c>
      <c r="N1502" s="4">
        <f t="shared" si="233"/>
        <v>-1</v>
      </c>
      <c r="O1502" s="4">
        <f t="shared" si="238"/>
        <v>2416.4</v>
      </c>
      <c r="P1502" s="4">
        <f t="shared" si="239"/>
        <v>0</v>
      </c>
    </row>
    <row r="1503" spans="1:16" x14ac:dyDescent="0.25">
      <c r="A1503" s="1">
        <v>43381</v>
      </c>
      <c r="B1503">
        <v>2273</v>
      </c>
      <c r="C1503">
        <v>2298.9</v>
      </c>
      <c r="D1503">
        <v>2250</v>
      </c>
      <c r="E1503" s="7">
        <v>2278.8000000000002</v>
      </c>
      <c r="F1503">
        <v>1371026</v>
      </c>
      <c r="G1503" s="8">
        <f t="shared" si="230"/>
        <v>2275.9</v>
      </c>
      <c r="H1503" s="9">
        <f t="shared" si="231"/>
        <v>3120318073.4000001</v>
      </c>
      <c r="I1503" s="9">
        <f t="shared" si="234"/>
        <v>31545129847.833332</v>
      </c>
      <c r="J1503" s="9">
        <f t="shared" si="235"/>
        <v>13460892</v>
      </c>
      <c r="K1503" s="21">
        <f t="shared" si="236"/>
        <v>2343.4650428688778</v>
      </c>
      <c r="L1503" s="4" t="str">
        <f t="shared" si="232"/>
        <v>SELL</v>
      </c>
      <c r="M1503" s="4">
        <f t="shared" si="237"/>
        <v>0</v>
      </c>
      <c r="N1503" s="4">
        <f t="shared" si="233"/>
        <v>-1</v>
      </c>
      <c r="O1503" s="4">
        <f t="shared" si="238"/>
        <v>2416.4</v>
      </c>
      <c r="P1503" s="4">
        <f t="shared" si="239"/>
        <v>0</v>
      </c>
    </row>
    <row r="1504" spans="1:16" x14ac:dyDescent="0.25">
      <c r="A1504" s="1">
        <v>43382</v>
      </c>
      <c r="B1504">
        <v>2288.85</v>
      </c>
      <c r="C1504">
        <v>2291.6999999999998</v>
      </c>
      <c r="D1504">
        <v>2255</v>
      </c>
      <c r="E1504" s="7">
        <v>2261.1</v>
      </c>
      <c r="F1504">
        <v>1634704</v>
      </c>
      <c r="G1504" s="8">
        <f t="shared" si="230"/>
        <v>2269.2666666666664</v>
      </c>
      <c r="H1504" s="9">
        <f t="shared" si="231"/>
        <v>3709579297.0666661</v>
      </c>
      <c r="I1504" s="9">
        <f t="shared" si="234"/>
        <v>34391963990.849998</v>
      </c>
      <c r="J1504" s="9">
        <f t="shared" si="235"/>
        <v>14739465</v>
      </c>
      <c r="K1504" s="21">
        <f t="shared" si="236"/>
        <v>2333.3251234593658</v>
      </c>
      <c r="L1504" s="4" t="str">
        <f t="shared" si="232"/>
        <v>SELL</v>
      </c>
      <c r="M1504" s="4">
        <f t="shared" si="237"/>
        <v>0</v>
      </c>
      <c r="N1504" s="4">
        <f t="shared" si="233"/>
        <v>-1</v>
      </c>
      <c r="O1504" s="4">
        <f t="shared" si="238"/>
        <v>2416.4</v>
      </c>
      <c r="P1504" s="4">
        <f t="shared" si="239"/>
        <v>0</v>
      </c>
    </row>
    <row r="1505" spans="1:16" x14ac:dyDescent="0.25">
      <c r="A1505" s="1">
        <v>43383</v>
      </c>
      <c r="B1505">
        <v>2262</v>
      </c>
      <c r="C1505">
        <v>2291.9</v>
      </c>
      <c r="D1505">
        <v>2260</v>
      </c>
      <c r="E1505" s="7">
        <v>2277.65</v>
      </c>
      <c r="F1505">
        <v>1106961</v>
      </c>
      <c r="G1505" s="8">
        <f t="shared" si="230"/>
        <v>2276.5166666666664</v>
      </c>
      <c r="H1505" s="9">
        <f t="shared" si="231"/>
        <v>2520015165.8499999</v>
      </c>
      <c r="I1505" s="9">
        <f t="shared" si="234"/>
        <v>34683452317.433334</v>
      </c>
      <c r="J1505" s="9">
        <f t="shared" si="235"/>
        <v>14911334</v>
      </c>
      <c r="K1505" s="21">
        <f t="shared" si="236"/>
        <v>2325.9791724491811</v>
      </c>
      <c r="L1505" s="4" t="str">
        <f t="shared" si="232"/>
        <v>SELL</v>
      </c>
      <c r="M1505" s="4">
        <f t="shared" si="237"/>
        <v>0</v>
      </c>
      <c r="N1505" s="4">
        <f t="shared" si="233"/>
        <v>-1</v>
      </c>
      <c r="O1505" s="4">
        <f t="shared" si="238"/>
        <v>2416.4</v>
      </c>
      <c r="P1505" s="4">
        <f t="shared" si="239"/>
        <v>0</v>
      </c>
    </row>
    <row r="1506" spans="1:16" x14ac:dyDescent="0.25">
      <c r="A1506" s="1">
        <v>43384</v>
      </c>
      <c r="B1506">
        <v>2277</v>
      </c>
      <c r="C1506">
        <v>2300</v>
      </c>
      <c r="D1506">
        <v>2268.3000000000002</v>
      </c>
      <c r="E1506" s="7">
        <v>2279.3000000000002</v>
      </c>
      <c r="F1506">
        <v>483955</v>
      </c>
      <c r="G1506" s="8">
        <f t="shared" si="230"/>
        <v>2282.5333333333333</v>
      </c>
      <c r="H1506" s="9">
        <f t="shared" si="231"/>
        <v>1104643419.3333333</v>
      </c>
      <c r="I1506" s="9">
        <f t="shared" si="234"/>
        <v>32629571998.266663</v>
      </c>
      <c r="J1506" s="9">
        <f t="shared" si="235"/>
        <v>14056279</v>
      </c>
      <c r="K1506" s="21">
        <f t="shared" si="236"/>
        <v>2321.3520447528585</v>
      </c>
      <c r="L1506" s="4" t="str">
        <f t="shared" si="232"/>
        <v>SELL</v>
      </c>
      <c r="M1506" s="4">
        <f t="shared" si="237"/>
        <v>0</v>
      </c>
      <c r="N1506" s="4">
        <f t="shared" si="233"/>
        <v>-1</v>
      </c>
      <c r="O1506" s="4">
        <f t="shared" si="238"/>
        <v>2416.4</v>
      </c>
      <c r="P1506" s="4">
        <f t="shared" si="239"/>
        <v>0</v>
      </c>
    </row>
    <row r="1507" spans="1:16" x14ac:dyDescent="0.25">
      <c r="A1507" s="1">
        <v>43385</v>
      </c>
      <c r="B1507">
        <v>2273.8000000000002</v>
      </c>
      <c r="C1507">
        <v>2285</v>
      </c>
      <c r="D1507">
        <v>2243</v>
      </c>
      <c r="E1507" s="7">
        <v>2280.1</v>
      </c>
      <c r="F1507">
        <v>807977</v>
      </c>
      <c r="G1507" s="8">
        <f t="shared" si="230"/>
        <v>2269.3666666666668</v>
      </c>
      <c r="H1507" s="9">
        <f t="shared" si="231"/>
        <v>1833596071.2333333</v>
      </c>
      <c r="I1507" s="9">
        <f t="shared" si="234"/>
        <v>31315577362.399998</v>
      </c>
      <c r="J1507" s="9">
        <f t="shared" si="235"/>
        <v>13537642</v>
      </c>
      <c r="K1507" s="21">
        <f t="shared" si="236"/>
        <v>2313.2224476315741</v>
      </c>
      <c r="L1507" s="4" t="str">
        <f t="shared" si="232"/>
        <v>SELL</v>
      </c>
      <c r="M1507" s="4">
        <f t="shared" si="237"/>
        <v>0</v>
      </c>
      <c r="N1507" s="4">
        <f t="shared" si="233"/>
        <v>-1</v>
      </c>
      <c r="O1507" s="4">
        <f t="shared" si="238"/>
        <v>2416.4</v>
      </c>
      <c r="P1507" s="4">
        <f t="shared" si="239"/>
        <v>0</v>
      </c>
    </row>
    <row r="1508" spans="1:16" x14ac:dyDescent="0.25">
      <c r="A1508" s="1">
        <v>43388</v>
      </c>
      <c r="B1508">
        <v>2285</v>
      </c>
      <c r="C1508">
        <v>2289.9</v>
      </c>
      <c r="D1508">
        <v>2245.75</v>
      </c>
      <c r="E1508" s="7">
        <v>2254.5</v>
      </c>
      <c r="F1508">
        <v>1337768</v>
      </c>
      <c r="G1508" s="8">
        <f t="shared" si="230"/>
        <v>2263.3833333333332</v>
      </c>
      <c r="H1508" s="9">
        <f t="shared" si="231"/>
        <v>3027881795.0666666</v>
      </c>
      <c r="I1508" s="9">
        <f t="shared" si="234"/>
        <v>30549743814.633331</v>
      </c>
      <c r="J1508" s="9">
        <f t="shared" si="235"/>
        <v>13275620</v>
      </c>
      <c r="K1508" s="21">
        <f t="shared" si="236"/>
        <v>2301.1914934770152</v>
      </c>
      <c r="L1508" s="4" t="str">
        <f t="shared" si="232"/>
        <v>SELL</v>
      </c>
      <c r="M1508" s="4">
        <f t="shared" si="237"/>
        <v>0</v>
      </c>
      <c r="N1508" s="4">
        <f t="shared" si="233"/>
        <v>-1</v>
      </c>
      <c r="O1508" s="4">
        <f t="shared" si="238"/>
        <v>2416.4</v>
      </c>
      <c r="P1508" s="4">
        <f t="shared" si="239"/>
        <v>0</v>
      </c>
    </row>
    <row r="1509" spans="1:16" x14ac:dyDescent="0.25">
      <c r="A1509" s="1">
        <v>43389</v>
      </c>
      <c r="B1509">
        <v>2273</v>
      </c>
      <c r="C1509">
        <v>2302.0500000000002</v>
      </c>
      <c r="D1509">
        <v>2260</v>
      </c>
      <c r="E1509" s="7">
        <v>2295.75</v>
      </c>
      <c r="F1509">
        <v>671589</v>
      </c>
      <c r="G1509" s="8">
        <f t="shared" si="230"/>
        <v>2285.9333333333334</v>
      </c>
      <c r="H1509" s="9">
        <f t="shared" si="231"/>
        <v>1535207681.4000001</v>
      </c>
      <c r="I1509" s="9">
        <f t="shared" si="234"/>
        <v>29803067882.233334</v>
      </c>
      <c r="J1509" s="9">
        <f t="shared" si="235"/>
        <v>12993437</v>
      </c>
      <c r="K1509" s="21">
        <f t="shared" si="236"/>
        <v>2293.701649704642</v>
      </c>
      <c r="L1509" s="4" t="str">
        <f t="shared" si="232"/>
        <v>BUY</v>
      </c>
      <c r="M1509" s="4" t="str">
        <f t="shared" si="237"/>
        <v>BUY</v>
      </c>
      <c r="N1509" s="4">
        <f t="shared" si="233"/>
        <v>1</v>
      </c>
      <c r="O1509" s="4">
        <f t="shared" si="238"/>
        <v>2295.75</v>
      </c>
      <c r="P1509" s="4">
        <f t="shared" si="239"/>
        <v>4.9929647409369345E-2</v>
      </c>
    </row>
    <row r="1510" spans="1:16" x14ac:dyDescent="0.25">
      <c r="A1510" s="1">
        <v>43390</v>
      </c>
      <c r="B1510">
        <v>2301.9</v>
      </c>
      <c r="C1510">
        <v>2339</v>
      </c>
      <c r="D1510">
        <v>2291.5</v>
      </c>
      <c r="E1510" s="7">
        <v>2304.65</v>
      </c>
      <c r="F1510">
        <v>698780</v>
      </c>
      <c r="G1510" s="8">
        <f t="shared" si="230"/>
        <v>2311.7166666666667</v>
      </c>
      <c r="H1510" s="9">
        <f t="shared" si="231"/>
        <v>1615381372.3333333</v>
      </c>
      <c r="I1510" s="9">
        <f t="shared" si="234"/>
        <v>27953356970.299995</v>
      </c>
      <c r="J1510" s="9">
        <f t="shared" si="235"/>
        <v>12227103</v>
      </c>
      <c r="K1510" s="21">
        <f t="shared" si="236"/>
        <v>2286.1798882613484</v>
      </c>
      <c r="L1510" s="4" t="str">
        <f t="shared" si="232"/>
        <v>BUY</v>
      </c>
      <c r="M1510" s="4">
        <f t="shared" si="237"/>
        <v>0</v>
      </c>
      <c r="N1510" s="4">
        <f t="shared" si="233"/>
        <v>1</v>
      </c>
      <c r="O1510" s="4">
        <f t="shared" si="238"/>
        <v>2295.75</v>
      </c>
      <c r="P1510" s="4">
        <f t="shared" si="239"/>
        <v>0</v>
      </c>
    </row>
    <row r="1511" spans="1:16" x14ac:dyDescent="0.25">
      <c r="A1511" s="1">
        <v>43391</v>
      </c>
      <c r="B1511">
        <v>2302</v>
      </c>
      <c r="C1511">
        <v>2329.9499999999998</v>
      </c>
      <c r="D1511">
        <v>2281.9</v>
      </c>
      <c r="E1511" s="7">
        <v>2319.75</v>
      </c>
      <c r="F1511">
        <v>813493</v>
      </c>
      <c r="G1511" s="8">
        <f t="shared" si="230"/>
        <v>2310.5333333333333</v>
      </c>
      <c r="H1511" s="9">
        <f t="shared" si="231"/>
        <v>1879602692.9333334</v>
      </c>
      <c r="I1511" s="9">
        <f t="shared" si="234"/>
        <v>25773619075.216667</v>
      </c>
      <c r="J1511" s="9">
        <f t="shared" si="235"/>
        <v>11299299</v>
      </c>
      <c r="K1511" s="21">
        <f t="shared" si="236"/>
        <v>2280.9927478878703</v>
      </c>
      <c r="L1511" s="4" t="str">
        <f t="shared" si="232"/>
        <v>BUY</v>
      </c>
      <c r="M1511" s="4">
        <f t="shared" si="237"/>
        <v>0</v>
      </c>
      <c r="N1511" s="4">
        <f t="shared" si="233"/>
        <v>1</v>
      </c>
      <c r="O1511" s="4">
        <f t="shared" si="238"/>
        <v>2295.75</v>
      </c>
      <c r="P1511" s="4">
        <f t="shared" si="239"/>
        <v>0</v>
      </c>
    </row>
    <row r="1512" spans="1:16" x14ac:dyDescent="0.25">
      <c r="A1512" s="1">
        <v>43392</v>
      </c>
      <c r="B1512">
        <v>2315.5</v>
      </c>
      <c r="C1512">
        <v>2348.9</v>
      </c>
      <c r="D1512">
        <v>2308.0500000000002</v>
      </c>
      <c r="E1512" s="7">
        <v>2331.1999999999998</v>
      </c>
      <c r="F1512">
        <v>1553330</v>
      </c>
      <c r="G1512" s="8">
        <f t="shared" si="230"/>
        <v>2329.3833333333337</v>
      </c>
      <c r="H1512" s="9">
        <f t="shared" si="231"/>
        <v>3618301013.166667</v>
      </c>
      <c r="I1512" s="9">
        <f t="shared" si="234"/>
        <v>23964526581.783337</v>
      </c>
      <c r="J1512" s="9">
        <f t="shared" si="235"/>
        <v>10479583</v>
      </c>
      <c r="K1512" s="21">
        <f t="shared" si="236"/>
        <v>2286.7824589760239</v>
      </c>
      <c r="L1512" s="4" t="str">
        <f t="shared" si="232"/>
        <v>BUY</v>
      </c>
      <c r="M1512" s="4">
        <f t="shared" si="237"/>
        <v>0</v>
      </c>
      <c r="N1512" s="4">
        <f t="shared" si="233"/>
        <v>1</v>
      </c>
      <c r="O1512" s="4">
        <f t="shared" si="238"/>
        <v>2295.75</v>
      </c>
      <c r="P1512" s="4">
        <f t="shared" si="239"/>
        <v>0</v>
      </c>
    </row>
    <row r="1513" spans="1:16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 s="7">
        <v>2391.3000000000002</v>
      </c>
      <c r="F1513">
        <v>1117872</v>
      </c>
      <c r="G1513" s="8">
        <f t="shared" si="230"/>
        <v>2375.4500000000003</v>
      </c>
      <c r="H1513" s="9">
        <f t="shared" si="231"/>
        <v>2655449042.4000001</v>
      </c>
      <c r="I1513" s="9">
        <f t="shared" si="234"/>
        <v>23499657550.783337</v>
      </c>
      <c r="J1513" s="9">
        <f t="shared" si="235"/>
        <v>10226429</v>
      </c>
      <c r="K1513" s="21">
        <f t="shared" si="236"/>
        <v>2297.9338682919852</v>
      </c>
      <c r="L1513" s="4" t="str">
        <f t="shared" si="232"/>
        <v>BUY</v>
      </c>
      <c r="M1513" s="4">
        <f t="shared" si="237"/>
        <v>0</v>
      </c>
      <c r="N1513" s="4">
        <f t="shared" si="233"/>
        <v>1</v>
      </c>
      <c r="O1513" s="4">
        <f t="shared" si="238"/>
        <v>2295.75</v>
      </c>
      <c r="P1513" s="4">
        <f t="shared" si="239"/>
        <v>0</v>
      </c>
    </row>
    <row r="1514" spans="1:16" x14ac:dyDescent="0.25">
      <c r="A1514" s="1">
        <v>43396</v>
      </c>
      <c r="B1514">
        <v>2391.1</v>
      </c>
      <c r="C1514">
        <v>2412.9499999999998</v>
      </c>
      <c r="D1514">
        <v>2359</v>
      </c>
      <c r="E1514" s="7">
        <v>2402.6999999999998</v>
      </c>
      <c r="F1514">
        <v>747637</v>
      </c>
      <c r="G1514" s="8">
        <f t="shared" si="230"/>
        <v>2391.5499999999997</v>
      </c>
      <c r="H1514" s="9">
        <f t="shared" si="231"/>
        <v>1788011267.3499999</v>
      </c>
      <c r="I1514" s="9">
        <f t="shared" si="234"/>
        <v>21578089521.066669</v>
      </c>
      <c r="J1514" s="9">
        <f t="shared" si="235"/>
        <v>9339362</v>
      </c>
      <c r="K1514" s="21">
        <f t="shared" si="236"/>
        <v>2310.4457800293712</v>
      </c>
      <c r="L1514" s="4" t="str">
        <f t="shared" si="232"/>
        <v>BUY</v>
      </c>
      <c r="M1514" s="4">
        <f t="shared" si="237"/>
        <v>0</v>
      </c>
      <c r="N1514" s="4">
        <f t="shared" si="233"/>
        <v>1</v>
      </c>
      <c r="O1514" s="4">
        <f t="shared" si="238"/>
        <v>2295.75</v>
      </c>
      <c r="P1514" s="4">
        <f t="shared" si="239"/>
        <v>0</v>
      </c>
    </row>
    <row r="1515" spans="1:16" x14ac:dyDescent="0.25">
      <c r="A1515" s="1">
        <v>43397</v>
      </c>
      <c r="B1515">
        <v>2409</v>
      </c>
      <c r="C1515">
        <v>2433</v>
      </c>
      <c r="D1515">
        <v>2379.6999999999998</v>
      </c>
      <c r="E1515" s="7">
        <v>2398.1</v>
      </c>
      <c r="F1515">
        <v>737794</v>
      </c>
      <c r="G1515" s="8">
        <f t="shared" si="230"/>
        <v>2403.6</v>
      </c>
      <c r="H1515" s="9">
        <f t="shared" si="231"/>
        <v>1773361658.3999999</v>
      </c>
      <c r="I1515" s="9">
        <f t="shared" si="234"/>
        <v>20831436013.616669</v>
      </c>
      <c r="J1515" s="9">
        <f t="shared" si="235"/>
        <v>8970195</v>
      </c>
      <c r="K1515" s="21">
        <f t="shared" si="236"/>
        <v>2322.2946673530141</v>
      </c>
      <c r="L1515" s="4" t="str">
        <f t="shared" si="232"/>
        <v>BUY</v>
      </c>
      <c r="M1515" s="4">
        <f t="shared" si="237"/>
        <v>0</v>
      </c>
      <c r="N1515" s="4">
        <f t="shared" si="233"/>
        <v>1</v>
      </c>
      <c r="O1515" s="4">
        <f t="shared" si="238"/>
        <v>2295.75</v>
      </c>
      <c r="P1515" s="4">
        <f t="shared" si="239"/>
        <v>0</v>
      </c>
    </row>
    <row r="1516" spans="1:16" x14ac:dyDescent="0.25">
      <c r="A1516" s="1">
        <v>43398</v>
      </c>
      <c r="B1516">
        <v>2387.5</v>
      </c>
      <c r="C1516">
        <v>2429.9</v>
      </c>
      <c r="D1516">
        <v>2360.3000000000002</v>
      </c>
      <c r="E1516" s="7">
        <v>2416.3000000000002</v>
      </c>
      <c r="F1516">
        <v>654346</v>
      </c>
      <c r="G1516" s="8">
        <f t="shared" si="230"/>
        <v>2402.166666666667</v>
      </c>
      <c r="H1516" s="9">
        <f t="shared" si="231"/>
        <v>1571848149.6666667</v>
      </c>
      <c r="I1516" s="9">
        <f t="shared" si="234"/>
        <v>21298640743.950005</v>
      </c>
      <c r="J1516" s="9">
        <f t="shared" si="235"/>
        <v>9140586</v>
      </c>
      <c r="K1516" s="21">
        <f t="shared" si="236"/>
        <v>2330.1176471563208</v>
      </c>
      <c r="L1516" s="4" t="str">
        <f t="shared" si="232"/>
        <v>BUY</v>
      </c>
      <c r="M1516" s="4">
        <f t="shared" si="237"/>
        <v>0</v>
      </c>
      <c r="N1516" s="4">
        <f t="shared" si="233"/>
        <v>1</v>
      </c>
      <c r="O1516" s="4">
        <f t="shared" si="238"/>
        <v>2295.75</v>
      </c>
      <c r="P1516" s="4">
        <f t="shared" si="239"/>
        <v>0</v>
      </c>
    </row>
    <row r="1517" spans="1:16" x14ac:dyDescent="0.25">
      <c r="A1517" s="1">
        <v>43399</v>
      </c>
      <c r="B1517">
        <v>2421.9</v>
      </c>
      <c r="C1517">
        <v>2440</v>
      </c>
      <c r="D1517">
        <v>2402</v>
      </c>
      <c r="E1517" s="7">
        <v>2420.0500000000002</v>
      </c>
      <c r="F1517">
        <v>625023</v>
      </c>
      <c r="G1517" s="8">
        <f t="shared" si="230"/>
        <v>2420.6833333333334</v>
      </c>
      <c r="H1517" s="9">
        <f t="shared" si="231"/>
        <v>1512982759.05</v>
      </c>
      <c r="I1517" s="9">
        <f t="shared" si="234"/>
        <v>20978027431.76667</v>
      </c>
      <c r="J1517" s="9">
        <f t="shared" si="235"/>
        <v>8957632</v>
      </c>
      <c r="K1517" s="21">
        <f t="shared" si="236"/>
        <v>2341.9166395501256</v>
      </c>
      <c r="L1517" s="4" t="str">
        <f t="shared" si="232"/>
        <v>BUY</v>
      </c>
      <c r="M1517" s="4">
        <f t="shared" si="237"/>
        <v>0</v>
      </c>
      <c r="N1517" s="4">
        <f t="shared" si="233"/>
        <v>1</v>
      </c>
      <c r="O1517" s="4">
        <f t="shared" si="238"/>
        <v>2295.75</v>
      </c>
      <c r="P1517" s="4">
        <f t="shared" si="239"/>
        <v>0</v>
      </c>
    </row>
    <row r="1518" spans="1:16" x14ac:dyDescent="0.25">
      <c r="A1518" s="1">
        <v>43402</v>
      </c>
      <c r="B1518">
        <v>2408.1</v>
      </c>
      <c r="C1518">
        <v>2439.9499999999998</v>
      </c>
      <c r="D1518">
        <v>2408.1</v>
      </c>
      <c r="E1518" s="7">
        <v>2421.9499999999998</v>
      </c>
      <c r="F1518">
        <v>701498</v>
      </c>
      <c r="G1518" s="8">
        <f t="shared" si="230"/>
        <v>2423.333333333333</v>
      </c>
      <c r="H1518" s="9">
        <f t="shared" si="231"/>
        <v>1699963486.6666665</v>
      </c>
      <c r="I1518" s="9">
        <f t="shared" si="234"/>
        <v>19650109123.366669</v>
      </c>
      <c r="J1518" s="9">
        <f t="shared" si="235"/>
        <v>8321362</v>
      </c>
      <c r="K1518" s="21">
        <f t="shared" si="236"/>
        <v>2361.4053953387279</v>
      </c>
      <c r="L1518" s="4" t="str">
        <f t="shared" si="232"/>
        <v>BUY</v>
      </c>
      <c r="M1518" s="4">
        <f t="shared" si="237"/>
        <v>0</v>
      </c>
      <c r="N1518" s="4">
        <f t="shared" si="233"/>
        <v>1</v>
      </c>
      <c r="O1518" s="4">
        <f t="shared" si="238"/>
        <v>2295.75</v>
      </c>
      <c r="P1518" s="4">
        <f t="shared" si="239"/>
        <v>0</v>
      </c>
    </row>
    <row r="1519" spans="1:16" x14ac:dyDescent="0.25">
      <c r="A1519" s="1">
        <v>43403</v>
      </c>
      <c r="B1519">
        <v>2400</v>
      </c>
      <c r="C1519">
        <v>2412.0500000000002</v>
      </c>
      <c r="D1519">
        <v>2347</v>
      </c>
      <c r="E1519" s="7">
        <v>2362.9499999999998</v>
      </c>
      <c r="F1519">
        <v>531829</v>
      </c>
      <c r="G1519" s="8">
        <f t="shared" si="230"/>
        <v>2374</v>
      </c>
      <c r="H1519" s="9">
        <f t="shared" si="231"/>
        <v>1262562046</v>
      </c>
      <c r="I1519" s="9">
        <f t="shared" si="234"/>
        <v>19377463487.966667</v>
      </c>
      <c r="J1519" s="9">
        <f t="shared" si="235"/>
        <v>8181602</v>
      </c>
      <c r="K1519" s="21">
        <f t="shared" si="236"/>
        <v>2368.4192274284019</v>
      </c>
      <c r="L1519" s="4" t="str">
        <f t="shared" si="232"/>
        <v>SELL</v>
      </c>
      <c r="M1519" s="4" t="str">
        <f t="shared" si="237"/>
        <v>SELL</v>
      </c>
      <c r="N1519" s="4">
        <f t="shared" si="233"/>
        <v>-1</v>
      </c>
      <c r="O1519" s="4">
        <f t="shared" si="238"/>
        <v>2362.9499999999998</v>
      </c>
      <c r="P1519" s="4">
        <f t="shared" si="239"/>
        <v>2.9271479908526545E-2</v>
      </c>
    </row>
    <row r="1520" spans="1:16" x14ac:dyDescent="0.25">
      <c r="A1520" s="1">
        <v>43404</v>
      </c>
      <c r="B1520">
        <v>2333.6</v>
      </c>
      <c r="C1520">
        <v>2333.6</v>
      </c>
      <c r="D1520">
        <v>2255.6</v>
      </c>
      <c r="E1520" s="7">
        <v>2281.4</v>
      </c>
      <c r="F1520">
        <v>1244805</v>
      </c>
      <c r="G1520" s="8">
        <f t="shared" si="230"/>
        <v>2290.2000000000003</v>
      </c>
      <c r="H1520" s="9">
        <f t="shared" si="231"/>
        <v>2850852411.0000005</v>
      </c>
      <c r="I1520" s="9">
        <f t="shared" si="234"/>
        <v>20612934526.633331</v>
      </c>
      <c r="J1520" s="9">
        <f t="shared" si="235"/>
        <v>8727627</v>
      </c>
      <c r="K1520" s="21">
        <f t="shared" si="236"/>
        <v>2361.8028734080103</v>
      </c>
      <c r="L1520" s="4" t="str">
        <f t="shared" si="232"/>
        <v>SELL</v>
      </c>
      <c r="M1520" s="4">
        <f t="shared" si="237"/>
        <v>0</v>
      </c>
      <c r="N1520" s="4">
        <f t="shared" si="233"/>
        <v>-1</v>
      </c>
      <c r="O1520" s="4">
        <f t="shared" si="238"/>
        <v>2362.9499999999998</v>
      </c>
      <c r="P1520" s="4">
        <f t="shared" si="239"/>
        <v>0</v>
      </c>
    </row>
    <row r="1521" spans="1:16" x14ac:dyDescent="0.25">
      <c r="A1521" s="1">
        <v>43405</v>
      </c>
      <c r="B1521">
        <v>2275</v>
      </c>
      <c r="C1521">
        <v>2289.9</v>
      </c>
      <c r="D1521">
        <v>2258.1</v>
      </c>
      <c r="E1521" s="7">
        <v>2268.8000000000002</v>
      </c>
      <c r="F1521">
        <v>945366</v>
      </c>
      <c r="G1521" s="8">
        <f t="shared" si="230"/>
        <v>2272.2666666666669</v>
      </c>
      <c r="H1521" s="9">
        <f t="shared" si="231"/>
        <v>2148123649.6000004</v>
      </c>
      <c r="I1521" s="9">
        <f t="shared" si="234"/>
        <v>20881455483.300003</v>
      </c>
      <c r="J1521" s="9">
        <f t="shared" si="235"/>
        <v>8859500</v>
      </c>
      <c r="K1521" s="21">
        <f t="shared" si="236"/>
        <v>2356.9564290648459</v>
      </c>
      <c r="L1521" s="4" t="str">
        <f t="shared" si="232"/>
        <v>SELL</v>
      </c>
      <c r="M1521" s="4">
        <f t="shared" si="237"/>
        <v>0</v>
      </c>
      <c r="N1521" s="4">
        <f t="shared" si="233"/>
        <v>-1</v>
      </c>
      <c r="O1521" s="4">
        <f t="shared" si="238"/>
        <v>2362.9499999999998</v>
      </c>
      <c r="P1521" s="4">
        <f t="shared" si="239"/>
        <v>0</v>
      </c>
    </row>
    <row r="1522" spans="1:16" x14ac:dyDescent="0.25">
      <c r="A1522" s="1">
        <v>43406</v>
      </c>
      <c r="B1522">
        <v>2280</v>
      </c>
      <c r="C1522">
        <v>2289</v>
      </c>
      <c r="D1522">
        <v>2171.65</v>
      </c>
      <c r="E1522" s="7">
        <v>2197.9499999999998</v>
      </c>
      <c r="F1522">
        <v>981204</v>
      </c>
      <c r="G1522" s="8">
        <f t="shared" si="230"/>
        <v>2219.5333333333333</v>
      </c>
      <c r="H1522" s="9">
        <f t="shared" si="231"/>
        <v>2177814984.8000002</v>
      </c>
      <c r="I1522" s="9">
        <f t="shared" si="234"/>
        <v>19440969454.933331</v>
      </c>
      <c r="J1522" s="9">
        <f t="shared" si="235"/>
        <v>8287374</v>
      </c>
      <c r="K1522" s="21">
        <f t="shared" si="236"/>
        <v>2345.8540009094954</v>
      </c>
      <c r="L1522" s="4" t="str">
        <f t="shared" si="232"/>
        <v>SELL</v>
      </c>
      <c r="M1522" s="4">
        <f t="shared" si="237"/>
        <v>0</v>
      </c>
      <c r="N1522" s="4">
        <f t="shared" si="233"/>
        <v>-1</v>
      </c>
      <c r="O1522" s="4">
        <f t="shared" si="238"/>
        <v>2362.9499999999998</v>
      </c>
      <c r="P1522" s="4">
        <f t="shared" si="239"/>
        <v>0</v>
      </c>
    </row>
    <row r="1523" spans="1:16" x14ac:dyDescent="0.25">
      <c r="A1523" s="1">
        <v>43409</v>
      </c>
      <c r="B1523">
        <v>2200</v>
      </c>
      <c r="C1523">
        <v>2243.4</v>
      </c>
      <c r="D1523">
        <v>2164</v>
      </c>
      <c r="E1523" s="7">
        <v>2226.6</v>
      </c>
      <c r="F1523">
        <v>1086284</v>
      </c>
      <c r="G1523" s="8">
        <f t="shared" si="230"/>
        <v>2211.3333333333335</v>
      </c>
      <c r="H1523" s="9">
        <f t="shared" si="231"/>
        <v>2402136018.666667</v>
      </c>
      <c r="I1523" s="9">
        <f t="shared" si="234"/>
        <v>19187656431.200001</v>
      </c>
      <c r="J1523" s="9">
        <f t="shared" si="235"/>
        <v>8255786</v>
      </c>
      <c r="K1523" s="21">
        <f t="shared" si="236"/>
        <v>2324.1465356781296</v>
      </c>
      <c r="L1523" s="4" t="str">
        <f t="shared" si="232"/>
        <v>SELL</v>
      </c>
      <c r="M1523" s="4">
        <f t="shared" si="237"/>
        <v>0</v>
      </c>
      <c r="N1523" s="4">
        <f t="shared" si="233"/>
        <v>-1</v>
      </c>
      <c r="O1523" s="4">
        <f t="shared" si="238"/>
        <v>2362.9499999999998</v>
      </c>
      <c r="P1523" s="4">
        <f t="shared" si="239"/>
        <v>0</v>
      </c>
    </row>
    <row r="1524" spans="1:16" x14ac:dyDescent="0.25">
      <c r="A1524" s="1">
        <v>43410</v>
      </c>
      <c r="B1524">
        <v>2250</v>
      </c>
      <c r="C1524">
        <v>2306.85</v>
      </c>
      <c r="D1524">
        <v>2240</v>
      </c>
      <c r="E1524" s="7">
        <v>2269.15</v>
      </c>
      <c r="F1524">
        <v>1239856</v>
      </c>
      <c r="G1524" s="8">
        <f t="shared" si="230"/>
        <v>2272</v>
      </c>
      <c r="H1524" s="9">
        <f t="shared" si="231"/>
        <v>2816952832</v>
      </c>
      <c r="I1524" s="9">
        <f t="shared" si="234"/>
        <v>20216597995.850002</v>
      </c>
      <c r="J1524" s="9">
        <f t="shared" si="235"/>
        <v>8748005</v>
      </c>
      <c r="K1524" s="21">
        <f t="shared" si="236"/>
        <v>2310.9952492996977</v>
      </c>
      <c r="L1524" s="4" t="str">
        <f t="shared" si="232"/>
        <v>SELL</v>
      </c>
      <c r="M1524" s="4">
        <f t="shared" si="237"/>
        <v>0</v>
      </c>
      <c r="N1524" s="4">
        <f t="shared" si="233"/>
        <v>-1</v>
      </c>
      <c r="O1524" s="4">
        <f t="shared" si="238"/>
        <v>2362.9499999999998</v>
      </c>
      <c r="P1524" s="4">
        <f t="shared" si="239"/>
        <v>0</v>
      </c>
    </row>
    <row r="1525" spans="1:16" x14ac:dyDescent="0.25">
      <c r="A1525" s="1">
        <v>43411</v>
      </c>
      <c r="B1525">
        <v>2266</v>
      </c>
      <c r="C1525">
        <v>2282</v>
      </c>
      <c r="D1525">
        <v>2243</v>
      </c>
      <c r="E1525" s="7">
        <v>2265.5500000000002</v>
      </c>
      <c r="F1525">
        <v>794351</v>
      </c>
      <c r="G1525" s="8">
        <f t="shared" si="230"/>
        <v>2263.5166666666669</v>
      </c>
      <c r="H1525" s="9">
        <f t="shared" si="231"/>
        <v>1798026727.6833334</v>
      </c>
      <c r="I1525" s="9">
        <f t="shared" si="234"/>
        <v>20241263065.133335</v>
      </c>
      <c r="J1525" s="9">
        <f t="shared" si="235"/>
        <v>8804562</v>
      </c>
      <c r="K1525" s="21">
        <f t="shared" si="236"/>
        <v>2298.9517326510204</v>
      </c>
      <c r="L1525" s="4" t="str">
        <f t="shared" si="232"/>
        <v>SELL</v>
      </c>
      <c r="M1525" s="4">
        <f t="shared" si="237"/>
        <v>0</v>
      </c>
      <c r="N1525" s="4">
        <f t="shared" si="233"/>
        <v>-1</v>
      </c>
      <c r="O1525" s="4">
        <f t="shared" si="238"/>
        <v>2362.9499999999998</v>
      </c>
      <c r="P1525" s="4">
        <f t="shared" si="239"/>
        <v>0</v>
      </c>
    </row>
    <row r="1526" spans="1:16" x14ac:dyDescent="0.25">
      <c r="A1526" s="1">
        <v>43412</v>
      </c>
      <c r="B1526">
        <v>2265</v>
      </c>
      <c r="C1526">
        <v>2279.65</v>
      </c>
      <c r="D1526">
        <v>2246.4</v>
      </c>
      <c r="E1526" s="7">
        <v>2275.5500000000002</v>
      </c>
      <c r="F1526">
        <v>792589</v>
      </c>
      <c r="G1526" s="8">
        <f t="shared" si="230"/>
        <v>2267.2000000000003</v>
      </c>
      <c r="H1526" s="9">
        <f t="shared" si="231"/>
        <v>1796957780.8000002</v>
      </c>
      <c r="I1526" s="9">
        <f t="shared" si="234"/>
        <v>20466372696.26667</v>
      </c>
      <c r="J1526" s="9">
        <f t="shared" si="235"/>
        <v>8942805</v>
      </c>
      <c r="K1526" s="21">
        <f t="shared" si="236"/>
        <v>2288.5853707272686</v>
      </c>
      <c r="L1526" s="4" t="str">
        <f t="shared" si="232"/>
        <v>SELL</v>
      </c>
      <c r="M1526" s="4">
        <f t="shared" si="237"/>
        <v>0</v>
      </c>
      <c r="N1526" s="4">
        <f t="shared" si="233"/>
        <v>-1</v>
      </c>
      <c r="O1526" s="4">
        <f t="shared" si="238"/>
        <v>2362.9499999999998</v>
      </c>
      <c r="P1526" s="4">
        <f t="shared" si="239"/>
        <v>0</v>
      </c>
    </row>
    <row r="1527" spans="1:16" x14ac:dyDescent="0.25">
      <c r="A1527" s="1">
        <v>43413</v>
      </c>
      <c r="B1527">
        <v>2285</v>
      </c>
      <c r="C1527">
        <v>2319.75</v>
      </c>
      <c r="D1527">
        <v>2278</v>
      </c>
      <c r="E1527" s="7">
        <v>2315.85</v>
      </c>
      <c r="F1527">
        <v>764570</v>
      </c>
      <c r="G1527" s="8">
        <f t="shared" si="230"/>
        <v>2304.5333333333333</v>
      </c>
      <c r="H1527" s="9">
        <f t="shared" si="231"/>
        <v>1761977050.6666667</v>
      </c>
      <c r="I1527" s="9">
        <f t="shared" si="234"/>
        <v>20715366987.883335</v>
      </c>
      <c r="J1527" s="9">
        <f t="shared" si="235"/>
        <v>9082352</v>
      </c>
      <c r="K1527" s="21">
        <f t="shared" si="236"/>
        <v>2280.837275177546</v>
      </c>
      <c r="L1527" s="4" t="str">
        <f t="shared" si="232"/>
        <v>BUY</v>
      </c>
      <c r="M1527" s="4" t="str">
        <f t="shared" si="237"/>
        <v>BUY</v>
      </c>
      <c r="N1527" s="4">
        <f t="shared" si="233"/>
        <v>1</v>
      </c>
      <c r="O1527" s="4">
        <f t="shared" si="238"/>
        <v>2315.85</v>
      </c>
      <c r="P1527" s="4">
        <f t="shared" si="239"/>
        <v>1.9932711229607023E-2</v>
      </c>
    </row>
    <row r="1528" spans="1:16" x14ac:dyDescent="0.25">
      <c r="A1528" s="1">
        <v>43416</v>
      </c>
      <c r="B1528">
        <v>2307.35</v>
      </c>
      <c r="C1528">
        <v>2327</v>
      </c>
      <c r="D1528">
        <v>2305.4499999999998</v>
      </c>
      <c r="E1528" s="7">
        <v>2319.65</v>
      </c>
      <c r="F1528">
        <v>439506</v>
      </c>
      <c r="G1528" s="8">
        <f t="shared" si="230"/>
        <v>2317.3666666666668</v>
      </c>
      <c r="H1528" s="9">
        <f t="shared" si="231"/>
        <v>1018496554.2</v>
      </c>
      <c r="I1528" s="9">
        <f t="shared" si="234"/>
        <v>20033900055.416668</v>
      </c>
      <c r="J1528" s="9">
        <f t="shared" si="235"/>
        <v>8820360</v>
      </c>
      <c r="K1528" s="21">
        <f t="shared" si="236"/>
        <v>2271.3245327193754</v>
      </c>
      <c r="L1528" s="4" t="str">
        <f t="shared" si="232"/>
        <v>BUY</v>
      </c>
      <c r="M1528" s="4">
        <f t="shared" si="237"/>
        <v>0</v>
      </c>
      <c r="N1528" s="4">
        <f t="shared" si="233"/>
        <v>1</v>
      </c>
      <c r="O1528" s="4">
        <f t="shared" si="238"/>
        <v>2315.85</v>
      </c>
      <c r="P1528" s="4">
        <f t="shared" si="239"/>
        <v>0</v>
      </c>
    </row>
    <row r="1529" spans="1:16" x14ac:dyDescent="0.25">
      <c r="A1529" s="1">
        <v>43417</v>
      </c>
      <c r="B1529">
        <v>2320.25</v>
      </c>
      <c r="C1529">
        <v>2343</v>
      </c>
      <c r="D1529">
        <v>2305</v>
      </c>
      <c r="E1529" s="7">
        <v>2315.9</v>
      </c>
      <c r="F1529">
        <v>662442</v>
      </c>
      <c r="G1529" s="8">
        <f t="shared" si="230"/>
        <v>2321.2999999999997</v>
      </c>
      <c r="H1529" s="9">
        <f t="shared" si="231"/>
        <v>1537726614.5999999</v>
      </c>
      <c r="I1529" s="9">
        <f t="shared" si="234"/>
        <v>20309064624.016666</v>
      </c>
      <c r="J1529" s="9">
        <f t="shared" si="235"/>
        <v>8950973</v>
      </c>
      <c r="K1529" s="21">
        <f t="shared" si="236"/>
        <v>2268.9225656268504</v>
      </c>
      <c r="L1529" s="4" t="str">
        <f t="shared" si="232"/>
        <v>BUY</v>
      </c>
      <c r="M1529" s="4">
        <f t="shared" si="237"/>
        <v>0</v>
      </c>
      <c r="N1529" s="4">
        <f t="shared" si="233"/>
        <v>1</v>
      </c>
      <c r="O1529" s="4">
        <f t="shared" si="238"/>
        <v>2315.85</v>
      </c>
      <c r="P1529" s="4">
        <f t="shared" si="239"/>
        <v>0</v>
      </c>
    </row>
    <row r="1530" spans="1:16" x14ac:dyDescent="0.25">
      <c r="A1530" s="1">
        <v>43418</v>
      </c>
      <c r="B1530">
        <v>2310.25</v>
      </c>
      <c r="C1530">
        <v>2319.9</v>
      </c>
      <c r="D1530">
        <v>2256.75</v>
      </c>
      <c r="E1530" s="7">
        <v>2264</v>
      </c>
      <c r="F1530">
        <v>653426</v>
      </c>
      <c r="G1530" s="8">
        <f t="shared" si="230"/>
        <v>2280.2166666666667</v>
      </c>
      <c r="H1530" s="9">
        <f t="shared" si="231"/>
        <v>1489952855.6333334</v>
      </c>
      <c r="I1530" s="9">
        <f t="shared" si="234"/>
        <v>18948165068.650002</v>
      </c>
      <c r="J1530" s="9">
        <f t="shared" si="235"/>
        <v>8359594</v>
      </c>
      <c r="K1530" s="21">
        <f t="shared" si="236"/>
        <v>2266.6370003914067</v>
      </c>
      <c r="L1530" s="4" t="str">
        <f t="shared" si="232"/>
        <v>SELL</v>
      </c>
      <c r="M1530" s="4" t="str">
        <f t="shared" si="237"/>
        <v>SELL</v>
      </c>
      <c r="N1530" s="4">
        <f t="shared" si="233"/>
        <v>-1</v>
      </c>
      <c r="O1530" s="4">
        <f t="shared" si="238"/>
        <v>2264</v>
      </c>
      <c r="P1530" s="4">
        <f t="shared" si="239"/>
        <v>-2.2389187555325221E-2</v>
      </c>
    </row>
    <row r="1531" spans="1:16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 s="7">
        <v>2210.9499999999998</v>
      </c>
      <c r="F1531">
        <v>829664</v>
      </c>
      <c r="G1531" s="8">
        <f t="shared" si="230"/>
        <v>2224.8666666666663</v>
      </c>
      <c r="H1531" s="9">
        <f t="shared" si="231"/>
        <v>1845891778.133333</v>
      </c>
      <c r="I1531" s="9">
        <f t="shared" si="234"/>
        <v>18645933197.183334</v>
      </c>
      <c r="J1531" s="9">
        <f t="shared" si="235"/>
        <v>8243892</v>
      </c>
      <c r="K1531" s="21">
        <f t="shared" si="236"/>
        <v>2261.7876601468497</v>
      </c>
      <c r="L1531" s="4" t="str">
        <f t="shared" si="232"/>
        <v>SELL</v>
      </c>
      <c r="M1531" s="4">
        <f t="shared" si="237"/>
        <v>0</v>
      </c>
      <c r="N1531" s="4">
        <f t="shared" si="233"/>
        <v>-1</v>
      </c>
      <c r="O1531" s="4">
        <f t="shared" si="238"/>
        <v>2264</v>
      </c>
      <c r="P1531" s="4">
        <f t="shared" si="239"/>
        <v>0</v>
      </c>
    </row>
    <row r="1532" spans="1:16" x14ac:dyDescent="0.25">
      <c r="A1532" s="1">
        <v>43420</v>
      </c>
      <c r="B1532">
        <v>2219.8000000000002</v>
      </c>
      <c r="C1532">
        <v>2228</v>
      </c>
      <c r="D1532">
        <v>2185.65</v>
      </c>
      <c r="E1532" s="7">
        <v>2212.85</v>
      </c>
      <c r="F1532">
        <v>915278</v>
      </c>
      <c r="G1532" s="8">
        <f t="shared" si="230"/>
        <v>2208.8333333333335</v>
      </c>
      <c r="H1532" s="9">
        <f t="shared" si="231"/>
        <v>2021696555.6666667</v>
      </c>
      <c r="I1532" s="9">
        <f t="shared" si="234"/>
        <v>18489814768.050003</v>
      </c>
      <c r="J1532" s="9">
        <f t="shared" si="235"/>
        <v>8177966</v>
      </c>
      <c r="K1532" s="21">
        <f t="shared" si="236"/>
        <v>2260.930745866393</v>
      </c>
      <c r="L1532" s="4" t="str">
        <f t="shared" si="232"/>
        <v>SELL</v>
      </c>
      <c r="M1532" s="4">
        <f t="shared" si="237"/>
        <v>0</v>
      </c>
      <c r="N1532" s="4">
        <f t="shared" si="233"/>
        <v>-1</v>
      </c>
      <c r="O1532" s="4">
        <f t="shared" si="238"/>
        <v>2264</v>
      </c>
      <c r="P1532" s="4">
        <f t="shared" si="239"/>
        <v>0</v>
      </c>
    </row>
    <row r="1533" spans="1:16" x14ac:dyDescent="0.25">
      <c r="A1533" s="1">
        <v>43423</v>
      </c>
      <c r="B1533">
        <v>2229.6999999999998</v>
      </c>
      <c r="C1533">
        <v>2256.9</v>
      </c>
      <c r="D1533">
        <v>2199.6</v>
      </c>
      <c r="E1533" s="7">
        <v>2210.5</v>
      </c>
      <c r="F1533">
        <v>768768</v>
      </c>
      <c r="G1533" s="8">
        <f t="shared" si="230"/>
        <v>2222.3333333333335</v>
      </c>
      <c r="H1533" s="9">
        <f t="shared" si="231"/>
        <v>1708458752</v>
      </c>
      <c r="I1533" s="9">
        <f t="shared" si="234"/>
        <v>17796137501.383331</v>
      </c>
      <c r="J1533" s="9">
        <f t="shared" si="235"/>
        <v>7860450</v>
      </c>
      <c r="K1533" s="21">
        <f t="shared" si="236"/>
        <v>2264.0100123254178</v>
      </c>
      <c r="L1533" s="4" t="str">
        <f t="shared" si="232"/>
        <v>SELL</v>
      </c>
      <c r="M1533" s="4">
        <f t="shared" si="237"/>
        <v>0</v>
      </c>
      <c r="N1533" s="4">
        <f t="shared" si="233"/>
        <v>-1</v>
      </c>
      <c r="O1533" s="4">
        <f t="shared" si="238"/>
        <v>2264</v>
      </c>
      <c r="P1533" s="4">
        <f t="shared" si="239"/>
        <v>0</v>
      </c>
    </row>
    <row r="1534" spans="1:16" x14ac:dyDescent="0.25">
      <c r="A1534" s="1">
        <v>43424</v>
      </c>
      <c r="B1534">
        <v>2237</v>
      </c>
      <c r="C1534">
        <v>2237</v>
      </c>
      <c r="D1534">
        <v>2115</v>
      </c>
      <c r="E1534" s="7">
        <v>2176.8000000000002</v>
      </c>
      <c r="F1534">
        <v>1095859</v>
      </c>
      <c r="G1534" s="8">
        <f t="shared" si="230"/>
        <v>2176.2666666666669</v>
      </c>
      <c r="H1534" s="9">
        <f t="shared" si="231"/>
        <v>2384881413.0666671</v>
      </c>
      <c r="I1534" s="9">
        <f t="shared" si="234"/>
        <v>17364066082.450001</v>
      </c>
      <c r="J1534" s="9">
        <f t="shared" si="235"/>
        <v>7716453</v>
      </c>
      <c r="K1534" s="21">
        <f t="shared" si="236"/>
        <v>2250.2652556103176</v>
      </c>
      <c r="L1534" s="4" t="str">
        <f t="shared" si="232"/>
        <v>SELL</v>
      </c>
      <c r="M1534" s="4">
        <f t="shared" si="237"/>
        <v>0</v>
      </c>
      <c r="N1534" s="4">
        <f t="shared" si="233"/>
        <v>-1</v>
      </c>
      <c r="O1534" s="4">
        <f t="shared" si="238"/>
        <v>2264</v>
      </c>
      <c r="P1534" s="4">
        <f t="shared" si="239"/>
        <v>0</v>
      </c>
    </row>
    <row r="1535" spans="1:16" x14ac:dyDescent="0.25">
      <c r="A1535" s="1">
        <v>43425</v>
      </c>
      <c r="B1535">
        <v>2193</v>
      </c>
      <c r="C1535">
        <v>2285.1</v>
      </c>
      <c r="D1535">
        <v>2162</v>
      </c>
      <c r="E1535" s="7">
        <v>2276.65</v>
      </c>
      <c r="F1535">
        <v>999880</v>
      </c>
      <c r="G1535" s="8">
        <f t="shared" si="230"/>
        <v>2241.25</v>
      </c>
      <c r="H1535" s="9">
        <f t="shared" si="231"/>
        <v>2240981050</v>
      </c>
      <c r="I1535" s="9">
        <f t="shared" si="234"/>
        <v>17807020404.766666</v>
      </c>
      <c r="J1535" s="9">
        <f t="shared" si="235"/>
        <v>7921982</v>
      </c>
      <c r="K1535" s="21">
        <f t="shared" si="236"/>
        <v>2247.7986449308601</v>
      </c>
      <c r="L1535" s="4" t="str">
        <f t="shared" si="232"/>
        <v>BUY</v>
      </c>
      <c r="M1535" s="4" t="str">
        <f t="shared" si="237"/>
        <v>BUY</v>
      </c>
      <c r="N1535" s="4">
        <f t="shared" si="233"/>
        <v>1</v>
      </c>
      <c r="O1535" s="4">
        <f t="shared" si="238"/>
        <v>2276.65</v>
      </c>
      <c r="P1535" s="4">
        <f t="shared" si="239"/>
        <v>-5.5874558303887325E-3</v>
      </c>
    </row>
    <row r="1536" spans="1:16" x14ac:dyDescent="0.25">
      <c r="A1536" s="1">
        <v>43426</v>
      </c>
      <c r="B1536">
        <v>2305</v>
      </c>
      <c r="C1536">
        <v>2330</v>
      </c>
      <c r="D1536">
        <v>2256.25</v>
      </c>
      <c r="E1536" s="7">
        <v>2318.85</v>
      </c>
      <c r="F1536">
        <v>763743</v>
      </c>
      <c r="G1536" s="8">
        <f t="shared" si="230"/>
        <v>2301.7000000000003</v>
      </c>
      <c r="H1536" s="9">
        <f t="shared" si="231"/>
        <v>1757907263.1000001</v>
      </c>
      <c r="I1536" s="9">
        <f t="shared" si="234"/>
        <v>17767969887.066666</v>
      </c>
      <c r="J1536" s="9">
        <f t="shared" si="235"/>
        <v>7893136</v>
      </c>
      <c r="K1536" s="21">
        <f t="shared" si="236"/>
        <v>2251.0659751797848</v>
      </c>
      <c r="L1536" s="4" t="str">
        <f t="shared" si="232"/>
        <v>BUY</v>
      </c>
      <c r="M1536" s="4">
        <f t="shared" si="237"/>
        <v>0</v>
      </c>
      <c r="N1536" s="4">
        <f t="shared" si="233"/>
        <v>1</v>
      </c>
      <c r="O1536" s="4">
        <f t="shared" si="238"/>
        <v>2276.65</v>
      </c>
      <c r="P1536" s="4">
        <f t="shared" si="239"/>
        <v>0</v>
      </c>
    </row>
    <row r="1537" spans="1:16" x14ac:dyDescent="0.25">
      <c r="A1537" s="1">
        <v>43427</v>
      </c>
      <c r="B1537">
        <v>2336</v>
      </c>
      <c r="C1537">
        <v>2391</v>
      </c>
      <c r="D1537">
        <v>2301</v>
      </c>
      <c r="E1537" s="7">
        <v>2373.15</v>
      </c>
      <c r="F1537">
        <v>1324142</v>
      </c>
      <c r="G1537" s="8">
        <f t="shared" si="230"/>
        <v>2355.0499999999997</v>
      </c>
      <c r="H1537" s="9">
        <f t="shared" si="231"/>
        <v>3118420617.0999994</v>
      </c>
      <c r="I1537" s="9">
        <f t="shared" si="234"/>
        <v>19124413453.5</v>
      </c>
      <c r="J1537" s="9">
        <f t="shared" si="235"/>
        <v>8452708</v>
      </c>
      <c r="K1537" s="21">
        <f t="shared" si="236"/>
        <v>2262.519118547571</v>
      </c>
      <c r="L1537" s="4" t="str">
        <f t="shared" si="232"/>
        <v>BUY</v>
      </c>
      <c r="M1537" s="4">
        <f t="shared" si="237"/>
        <v>0</v>
      </c>
      <c r="N1537" s="4">
        <f t="shared" si="233"/>
        <v>1</v>
      </c>
      <c r="O1537" s="4">
        <f t="shared" si="238"/>
        <v>2276.65</v>
      </c>
      <c r="P1537" s="4">
        <f t="shared" si="239"/>
        <v>0</v>
      </c>
    </row>
    <row r="1538" spans="1:16" x14ac:dyDescent="0.25">
      <c r="A1538" s="1">
        <v>43430</v>
      </c>
      <c r="B1538">
        <v>2380</v>
      </c>
      <c r="C1538">
        <v>2380</v>
      </c>
      <c r="D1538">
        <v>2349.5500000000002</v>
      </c>
      <c r="E1538" s="7">
        <v>2357.5500000000002</v>
      </c>
      <c r="F1538">
        <v>756483</v>
      </c>
      <c r="G1538" s="8">
        <f t="shared" ref="G1538:G1601" si="240">AVERAGE(C1538:E1538)</f>
        <v>2362.3666666666668</v>
      </c>
      <c r="H1538" s="9">
        <f t="shared" si="231"/>
        <v>1787090223.1000001</v>
      </c>
      <c r="I1538" s="9">
        <f t="shared" si="234"/>
        <v>19893007122.399998</v>
      </c>
      <c r="J1538" s="9">
        <f t="shared" si="235"/>
        <v>8769685</v>
      </c>
      <c r="K1538" s="21">
        <f t="shared" si="236"/>
        <v>2268.383313927467</v>
      </c>
      <c r="L1538" s="4" t="str">
        <f t="shared" si="232"/>
        <v>BUY</v>
      </c>
      <c r="M1538" s="4">
        <f t="shared" si="237"/>
        <v>0</v>
      </c>
      <c r="N1538" s="4">
        <f t="shared" si="233"/>
        <v>1</v>
      </c>
      <c r="O1538" s="4">
        <f t="shared" si="238"/>
        <v>2276.65</v>
      </c>
      <c r="P1538" s="4">
        <f t="shared" si="239"/>
        <v>0</v>
      </c>
    </row>
    <row r="1539" spans="1:16" x14ac:dyDescent="0.25">
      <c r="A1539" s="1">
        <v>43431</v>
      </c>
      <c r="B1539">
        <v>2342.1</v>
      </c>
      <c r="C1539">
        <v>2367</v>
      </c>
      <c r="D1539">
        <v>2304.1999999999998</v>
      </c>
      <c r="E1539" s="7">
        <v>2354.3000000000002</v>
      </c>
      <c r="F1539">
        <v>634076</v>
      </c>
      <c r="G1539" s="8">
        <f t="shared" si="240"/>
        <v>2341.8333333333335</v>
      </c>
      <c r="H1539" s="9">
        <f t="shared" ref="H1539:H1602" si="241">G1539*F1539</f>
        <v>1484900312.6666667</v>
      </c>
      <c r="I1539" s="9">
        <f t="shared" si="234"/>
        <v>19840180820.466667</v>
      </c>
      <c r="J1539" s="9">
        <f t="shared" si="235"/>
        <v>8741319</v>
      </c>
      <c r="K1539" s="21">
        <f t="shared" si="236"/>
        <v>2269.7010394503013</v>
      </c>
      <c r="L1539" s="4" t="str">
        <f t="shared" si="232"/>
        <v>BUY</v>
      </c>
      <c r="M1539" s="4">
        <f t="shared" si="237"/>
        <v>0</v>
      </c>
      <c r="N1539" s="4">
        <f t="shared" si="233"/>
        <v>1</v>
      </c>
      <c r="O1539" s="4">
        <f t="shared" si="238"/>
        <v>2276.65</v>
      </c>
      <c r="P1539" s="4">
        <f t="shared" si="239"/>
        <v>0</v>
      </c>
    </row>
    <row r="1540" spans="1:16" x14ac:dyDescent="0.25">
      <c r="A1540" s="1">
        <v>43432</v>
      </c>
      <c r="B1540">
        <v>2341</v>
      </c>
      <c r="C1540">
        <v>2369.4</v>
      </c>
      <c r="D1540">
        <v>2295.15</v>
      </c>
      <c r="E1540" s="7">
        <v>2357.25</v>
      </c>
      <c r="F1540">
        <v>1008892</v>
      </c>
      <c r="G1540" s="8">
        <f t="shared" si="240"/>
        <v>2340.6</v>
      </c>
      <c r="H1540" s="9">
        <f t="shared" si="241"/>
        <v>2361412615.1999998</v>
      </c>
      <c r="I1540" s="9">
        <f t="shared" si="234"/>
        <v>20711640580.033333</v>
      </c>
      <c r="J1540" s="9">
        <f t="shared" si="235"/>
        <v>9096785</v>
      </c>
      <c r="K1540" s="21">
        <f t="shared" si="236"/>
        <v>2276.8088484045002</v>
      </c>
      <c r="L1540" s="4" t="str">
        <f t="shared" si="232"/>
        <v>BUY</v>
      </c>
      <c r="M1540" s="4">
        <f t="shared" si="237"/>
        <v>0</v>
      </c>
      <c r="N1540" s="4">
        <f t="shared" si="233"/>
        <v>1</v>
      </c>
      <c r="O1540" s="4">
        <f t="shared" si="238"/>
        <v>2276.65</v>
      </c>
      <c r="P1540" s="4">
        <f t="shared" si="239"/>
        <v>0</v>
      </c>
    </row>
    <row r="1541" spans="1:16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 s="7">
        <v>2348.3000000000002</v>
      </c>
      <c r="F1541">
        <v>830833</v>
      </c>
      <c r="G1541" s="8">
        <f t="shared" si="240"/>
        <v>2341.0333333333333</v>
      </c>
      <c r="H1541" s="9">
        <f t="shared" si="241"/>
        <v>1945007747.4333334</v>
      </c>
      <c r="I1541" s="9">
        <f t="shared" si="234"/>
        <v>20810756549.333336</v>
      </c>
      <c r="J1541" s="9">
        <f t="shared" si="235"/>
        <v>9097954</v>
      </c>
      <c r="K1541" s="21">
        <f t="shared" si="236"/>
        <v>2287.4106144451089</v>
      </c>
      <c r="L1541" s="4" t="str">
        <f t="shared" si="232"/>
        <v>BUY</v>
      </c>
      <c r="M1541" s="4">
        <f t="shared" si="237"/>
        <v>0</v>
      </c>
      <c r="N1541" s="4">
        <f t="shared" si="233"/>
        <v>1</v>
      </c>
      <c r="O1541" s="4">
        <f t="shared" si="238"/>
        <v>2276.65</v>
      </c>
      <c r="P1541" s="4">
        <f t="shared" si="239"/>
        <v>0</v>
      </c>
    </row>
    <row r="1542" spans="1:16" x14ac:dyDescent="0.25">
      <c r="A1542" s="1">
        <v>43434</v>
      </c>
      <c r="B1542">
        <v>2340</v>
      </c>
      <c r="C1542">
        <v>2390.85</v>
      </c>
      <c r="D1542">
        <v>2335</v>
      </c>
      <c r="E1542" s="7">
        <v>2365.25</v>
      </c>
      <c r="F1542">
        <v>765264</v>
      </c>
      <c r="G1542" s="8">
        <f t="shared" si="240"/>
        <v>2363.7000000000003</v>
      </c>
      <c r="H1542" s="9">
        <f t="shared" si="241"/>
        <v>1808854516.8000002</v>
      </c>
      <c r="I1542" s="9">
        <f t="shared" si="234"/>
        <v>20597914510.466667</v>
      </c>
      <c r="J1542" s="9">
        <f t="shared" si="235"/>
        <v>8947940</v>
      </c>
      <c r="K1542" s="21">
        <f t="shared" si="236"/>
        <v>2301.9728016131835</v>
      </c>
      <c r="L1542" s="4" t="str">
        <f t="shared" si="232"/>
        <v>BUY</v>
      </c>
      <c r="M1542" s="4">
        <f t="shared" si="237"/>
        <v>0</v>
      </c>
      <c r="N1542" s="4">
        <f t="shared" si="233"/>
        <v>1</v>
      </c>
      <c r="O1542" s="4">
        <f t="shared" si="238"/>
        <v>2276.65</v>
      </c>
      <c r="P1542" s="4">
        <f t="shared" si="239"/>
        <v>0</v>
      </c>
    </row>
    <row r="1543" spans="1:16" x14ac:dyDescent="0.25">
      <c r="A1543" s="1">
        <v>43437</v>
      </c>
      <c r="B1543">
        <v>2362</v>
      </c>
      <c r="C1543">
        <v>2398</v>
      </c>
      <c r="D1543">
        <v>2340</v>
      </c>
      <c r="E1543" s="7">
        <v>2355</v>
      </c>
      <c r="F1543">
        <v>818371</v>
      </c>
      <c r="G1543" s="8">
        <f t="shared" si="240"/>
        <v>2364.3333333333335</v>
      </c>
      <c r="H1543" s="9">
        <f t="shared" si="241"/>
        <v>1934901834.3333335</v>
      </c>
      <c r="I1543" s="9">
        <f t="shared" si="234"/>
        <v>20824357592.799999</v>
      </c>
      <c r="J1543" s="9">
        <f t="shared" si="235"/>
        <v>8997543</v>
      </c>
      <c r="K1543" s="21">
        <f t="shared" si="236"/>
        <v>2314.4493549850217</v>
      </c>
      <c r="L1543" s="4" t="str">
        <f t="shared" si="232"/>
        <v>BUY</v>
      </c>
      <c r="M1543" s="4">
        <f t="shared" si="237"/>
        <v>0</v>
      </c>
      <c r="N1543" s="4">
        <f t="shared" si="233"/>
        <v>1</v>
      </c>
      <c r="O1543" s="4">
        <f t="shared" si="238"/>
        <v>2276.65</v>
      </c>
      <c r="P1543" s="4">
        <f t="shared" si="239"/>
        <v>0</v>
      </c>
    </row>
    <row r="1544" spans="1:16" x14ac:dyDescent="0.25">
      <c r="A1544" s="1">
        <v>43438</v>
      </c>
      <c r="B1544">
        <v>2349.0500000000002</v>
      </c>
      <c r="C1544">
        <v>2363.5</v>
      </c>
      <c r="D1544">
        <v>2320.1</v>
      </c>
      <c r="E1544" s="7">
        <v>2329.9</v>
      </c>
      <c r="F1544">
        <v>811678</v>
      </c>
      <c r="G1544" s="8">
        <f t="shared" si="240"/>
        <v>2337.8333333333335</v>
      </c>
      <c r="H1544" s="9">
        <f t="shared" si="241"/>
        <v>1897567884.3333335</v>
      </c>
      <c r="I1544" s="9">
        <f t="shared" si="234"/>
        <v>20337044064.066662</v>
      </c>
      <c r="J1544" s="9">
        <f t="shared" si="235"/>
        <v>8713362</v>
      </c>
      <c r="K1544" s="21">
        <f t="shared" si="236"/>
        <v>2334.006559588212</v>
      </c>
      <c r="L1544" s="4" t="str">
        <f t="shared" si="232"/>
        <v>SELL</v>
      </c>
      <c r="M1544" s="4" t="str">
        <f t="shared" si="237"/>
        <v>SELL</v>
      </c>
      <c r="N1544" s="4">
        <f t="shared" si="233"/>
        <v>-1</v>
      </c>
      <c r="O1544" s="4">
        <f t="shared" si="238"/>
        <v>2329.9</v>
      </c>
      <c r="P1544" s="4">
        <f t="shared" si="239"/>
        <v>2.338962949948389E-2</v>
      </c>
    </row>
    <row r="1545" spans="1:16" x14ac:dyDescent="0.25">
      <c r="A1545" s="1">
        <v>43439</v>
      </c>
      <c r="B1545">
        <v>2315</v>
      </c>
      <c r="C1545">
        <v>2332</v>
      </c>
      <c r="D1545">
        <v>2306.9</v>
      </c>
      <c r="E1545" s="7">
        <v>2327.0500000000002</v>
      </c>
      <c r="F1545">
        <v>959123</v>
      </c>
      <c r="G1545" s="8">
        <f t="shared" si="240"/>
        <v>2321.9833333333331</v>
      </c>
      <c r="H1545" s="9">
        <f t="shared" si="241"/>
        <v>2227067620.6166663</v>
      </c>
      <c r="I1545" s="9">
        <f t="shared" si="234"/>
        <v>20323130634.683334</v>
      </c>
      <c r="J1545" s="9">
        <f t="shared" si="235"/>
        <v>8672605</v>
      </c>
      <c r="K1545" s="21">
        <f t="shared" si="236"/>
        <v>2343.3709519438894</v>
      </c>
      <c r="L1545" s="4" t="str">
        <f t="shared" si="232"/>
        <v>SELL</v>
      </c>
      <c r="M1545" s="4">
        <f t="shared" si="237"/>
        <v>0</v>
      </c>
      <c r="N1545" s="4">
        <f t="shared" si="233"/>
        <v>-1</v>
      </c>
      <c r="O1545" s="4">
        <f t="shared" si="238"/>
        <v>2329.9</v>
      </c>
      <c r="P1545" s="4">
        <f t="shared" si="239"/>
        <v>0</v>
      </c>
    </row>
    <row r="1546" spans="1:16" x14ac:dyDescent="0.25">
      <c r="A1546" s="1">
        <v>43440</v>
      </c>
      <c r="B1546">
        <v>2334</v>
      </c>
      <c r="C1546">
        <v>2361.8000000000002</v>
      </c>
      <c r="D1546">
        <v>2332</v>
      </c>
      <c r="E1546" s="7">
        <v>2352.0500000000002</v>
      </c>
      <c r="F1546">
        <v>1110544</v>
      </c>
      <c r="G1546" s="8">
        <f t="shared" si="240"/>
        <v>2348.6166666666668</v>
      </c>
      <c r="H1546" s="9">
        <f t="shared" si="241"/>
        <v>2608242147.4666667</v>
      </c>
      <c r="I1546" s="9">
        <f t="shared" si="234"/>
        <v>21173465519.049999</v>
      </c>
      <c r="J1546" s="9">
        <f t="shared" si="235"/>
        <v>9019406</v>
      </c>
      <c r="K1546" s="21">
        <f t="shared" si="236"/>
        <v>2347.5454502269881</v>
      </c>
      <c r="L1546" s="4" t="str">
        <f t="shared" si="232"/>
        <v>BUY</v>
      </c>
      <c r="M1546" s="4" t="str">
        <f t="shared" si="237"/>
        <v>BUY</v>
      </c>
      <c r="N1546" s="4">
        <f t="shared" si="233"/>
        <v>1</v>
      </c>
      <c r="O1546" s="4">
        <f t="shared" si="238"/>
        <v>2352.0500000000002</v>
      </c>
      <c r="P1546" s="4">
        <f t="shared" si="239"/>
        <v>-9.5068457873728873E-3</v>
      </c>
    </row>
    <row r="1547" spans="1:16" x14ac:dyDescent="0.25">
      <c r="A1547" s="1">
        <v>43441</v>
      </c>
      <c r="B1547">
        <v>2360</v>
      </c>
      <c r="C1547">
        <v>2430</v>
      </c>
      <c r="D1547">
        <v>2360</v>
      </c>
      <c r="E1547" s="7">
        <v>2425.85</v>
      </c>
      <c r="F1547">
        <v>1602035</v>
      </c>
      <c r="G1547" s="8">
        <f t="shared" si="240"/>
        <v>2405.2833333333333</v>
      </c>
      <c r="H1547" s="9">
        <f t="shared" si="241"/>
        <v>3853348084.9166665</v>
      </c>
      <c r="I1547" s="9">
        <f t="shared" si="234"/>
        <v>21908392986.866669</v>
      </c>
      <c r="J1547" s="9">
        <f t="shared" si="235"/>
        <v>9297299</v>
      </c>
      <c r="K1547" s="21">
        <f t="shared" si="236"/>
        <v>2356.4255583117924</v>
      </c>
      <c r="L1547" s="4" t="str">
        <f t="shared" ref="L1547:L1610" si="242">IF(E1547&gt;K1547,"BUY",IF(E1547&lt;K1547,"SELL",0))</f>
        <v>BUY</v>
      </c>
      <c r="M1547" s="4">
        <f t="shared" si="237"/>
        <v>0</v>
      </c>
      <c r="N1547" s="4">
        <f t="shared" ref="N1547:N1610" si="243">IF(M1547="BUY",1,IF(M1547="SELL",-1,N1546))</f>
        <v>1</v>
      </c>
      <c r="O1547" s="4">
        <f t="shared" si="238"/>
        <v>2352.0500000000002</v>
      </c>
      <c r="P1547" s="4">
        <f t="shared" si="239"/>
        <v>0</v>
      </c>
    </row>
    <row r="1548" spans="1:16" x14ac:dyDescent="0.25">
      <c r="A1548" s="1">
        <v>43444</v>
      </c>
      <c r="B1548">
        <v>2426</v>
      </c>
      <c r="C1548">
        <v>2454.9499999999998</v>
      </c>
      <c r="D1548">
        <v>2420</v>
      </c>
      <c r="E1548" s="7">
        <v>2446.25</v>
      </c>
      <c r="F1548">
        <v>1168491</v>
      </c>
      <c r="G1548" s="8">
        <f t="shared" si="240"/>
        <v>2440.4</v>
      </c>
      <c r="H1548" s="9">
        <f t="shared" si="241"/>
        <v>2851585436.4000001</v>
      </c>
      <c r="I1548" s="9">
        <f t="shared" ref="I1548:I1611" si="244">SUM(H1539:H1548)</f>
        <v>22972888200.166672</v>
      </c>
      <c r="J1548" s="9">
        <f t="shared" ref="J1548:J1611" si="245">SUM(F1539:F1548)</f>
        <v>9709307</v>
      </c>
      <c r="K1548" s="21">
        <f t="shared" ref="K1548:K1611" si="246">I1548/J1548</f>
        <v>2366.0687832990216</v>
      </c>
      <c r="L1548" s="4" t="str">
        <f t="shared" si="242"/>
        <v>BUY</v>
      </c>
      <c r="M1548" s="4">
        <f t="shared" ref="M1548:M1611" si="247">IF(L1548&lt;&gt;L1547,L1548,0)</f>
        <v>0</v>
      </c>
      <c r="N1548" s="4">
        <f t="shared" si="243"/>
        <v>1</v>
      </c>
      <c r="O1548" s="4">
        <f t="shared" ref="O1548:O1611" si="248">IF(M1548&lt;&gt;0,E1548,O1547)</f>
        <v>2352.0500000000002</v>
      </c>
      <c r="P1548" s="4">
        <f t="shared" ref="P1548:P1611" si="249">IF(M1548="BUY",(O1547-O1548)/O1547,IF(M1548="SELL",(O1548-O1547)/O1547,0))</f>
        <v>0</v>
      </c>
    </row>
    <row r="1549" spans="1:16" x14ac:dyDescent="0.25">
      <c r="A1549" s="1">
        <v>43445</v>
      </c>
      <c r="B1549">
        <v>2442</v>
      </c>
      <c r="C1549">
        <v>2485</v>
      </c>
      <c r="D1549">
        <v>2436.5</v>
      </c>
      <c r="E1549" s="7">
        <v>2473.1</v>
      </c>
      <c r="F1549">
        <v>975992</v>
      </c>
      <c r="G1549" s="8">
        <f t="shared" si="240"/>
        <v>2464.8666666666668</v>
      </c>
      <c r="H1549" s="9">
        <f t="shared" si="241"/>
        <v>2405690147.7333336</v>
      </c>
      <c r="I1549" s="9">
        <f t="shared" si="244"/>
        <v>23893678035.233337</v>
      </c>
      <c r="J1549" s="9">
        <f t="shared" si="245"/>
        <v>10051223</v>
      </c>
      <c r="K1549" s="21">
        <f t="shared" si="246"/>
        <v>2377.1911174623565</v>
      </c>
      <c r="L1549" s="4" t="str">
        <f t="shared" si="242"/>
        <v>BUY</v>
      </c>
      <c r="M1549" s="4">
        <f t="shared" si="247"/>
        <v>0</v>
      </c>
      <c r="N1549" s="4">
        <f t="shared" si="243"/>
        <v>1</v>
      </c>
      <c r="O1549" s="4">
        <f t="shared" si="248"/>
        <v>2352.0500000000002</v>
      </c>
      <c r="P1549" s="4">
        <f t="shared" si="249"/>
        <v>0</v>
      </c>
    </row>
    <row r="1550" spans="1:16" x14ac:dyDescent="0.25">
      <c r="A1550" s="1">
        <v>43446</v>
      </c>
      <c r="B1550">
        <v>2487.9</v>
      </c>
      <c r="C1550">
        <v>2487.9</v>
      </c>
      <c r="D1550">
        <v>2457.3000000000002</v>
      </c>
      <c r="E1550" s="7">
        <v>2473.8000000000002</v>
      </c>
      <c r="F1550">
        <v>1139217</v>
      </c>
      <c r="G1550" s="8">
        <f t="shared" si="240"/>
        <v>2473.0000000000005</v>
      </c>
      <c r="H1550" s="9">
        <f t="shared" si="241"/>
        <v>2817283641.0000005</v>
      </c>
      <c r="I1550" s="9">
        <f t="shared" si="244"/>
        <v>24349549061.033337</v>
      </c>
      <c r="J1550" s="9">
        <f t="shared" si="245"/>
        <v>10181548</v>
      </c>
      <c r="K1550" s="21">
        <f t="shared" si="246"/>
        <v>2391.5370296376677</v>
      </c>
      <c r="L1550" s="4" t="str">
        <f t="shared" si="242"/>
        <v>BUY</v>
      </c>
      <c r="M1550" s="4">
        <f t="shared" si="247"/>
        <v>0</v>
      </c>
      <c r="N1550" s="4">
        <f t="shared" si="243"/>
        <v>1</v>
      </c>
      <c r="O1550" s="4">
        <f t="shared" si="248"/>
        <v>2352.0500000000002</v>
      </c>
      <c r="P1550" s="4">
        <f t="shared" si="249"/>
        <v>0</v>
      </c>
    </row>
    <row r="1551" spans="1:16" x14ac:dyDescent="0.25">
      <c r="A1551" s="1">
        <v>43447</v>
      </c>
      <c r="B1551">
        <v>2491</v>
      </c>
      <c r="C1551">
        <v>2517.15</v>
      </c>
      <c r="D1551">
        <v>2461.5500000000002</v>
      </c>
      <c r="E1551" s="7">
        <v>2473.4</v>
      </c>
      <c r="F1551">
        <v>1660441</v>
      </c>
      <c r="G1551" s="8">
        <f t="shared" si="240"/>
        <v>2484.0333333333333</v>
      </c>
      <c r="H1551" s="9">
        <f t="shared" si="241"/>
        <v>4124590792.0333333</v>
      </c>
      <c r="I1551" s="9">
        <f t="shared" si="244"/>
        <v>26529132105.633335</v>
      </c>
      <c r="J1551" s="9">
        <f t="shared" si="245"/>
        <v>11011156</v>
      </c>
      <c r="K1551" s="21">
        <f t="shared" si="246"/>
        <v>2409.2958183167448</v>
      </c>
      <c r="L1551" s="4" t="str">
        <f t="shared" si="242"/>
        <v>BUY</v>
      </c>
      <c r="M1551" s="4">
        <f t="shared" si="247"/>
        <v>0</v>
      </c>
      <c r="N1551" s="4">
        <f t="shared" si="243"/>
        <v>1</v>
      </c>
      <c r="O1551" s="4">
        <f t="shared" si="248"/>
        <v>2352.0500000000002</v>
      </c>
      <c r="P1551" s="4">
        <f t="shared" si="249"/>
        <v>0</v>
      </c>
    </row>
    <row r="1552" spans="1:16" x14ac:dyDescent="0.25">
      <c r="A1552" s="1">
        <v>43448</v>
      </c>
      <c r="B1552">
        <v>2478</v>
      </c>
      <c r="C1552">
        <v>2486.9499999999998</v>
      </c>
      <c r="D1552">
        <v>2455</v>
      </c>
      <c r="E1552" s="7">
        <v>2469.4</v>
      </c>
      <c r="F1552">
        <v>919398</v>
      </c>
      <c r="G1552" s="8">
        <f t="shared" si="240"/>
        <v>2470.4500000000003</v>
      </c>
      <c r="H1552" s="9">
        <f t="shared" si="241"/>
        <v>2271326789.1000004</v>
      </c>
      <c r="I1552" s="9">
        <f t="shared" si="244"/>
        <v>26991604377.933334</v>
      </c>
      <c r="J1552" s="9">
        <f t="shared" si="245"/>
        <v>11165290</v>
      </c>
      <c r="K1552" s="21">
        <f t="shared" si="246"/>
        <v>2417.4566337223068</v>
      </c>
      <c r="L1552" s="4" t="str">
        <f t="shared" si="242"/>
        <v>BUY</v>
      </c>
      <c r="M1552" s="4">
        <f t="shared" si="247"/>
        <v>0</v>
      </c>
      <c r="N1552" s="4">
        <f t="shared" si="243"/>
        <v>1</v>
      </c>
      <c r="O1552" s="4">
        <f t="shared" si="248"/>
        <v>2352.0500000000002</v>
      </c>
      <c r="P1552" s="4">
        <f t="shared" si="249"/>
        <v>0</v>
      </c>
    </row>
    <row r="1553" spans="1:16" x14ac:dyDescent="0.25">
      <c r="A1553" s="1">
        <v>43451</v>
      </c>
      <c r="B1553">
        <v>2470.9</v>
      </c>
      <c r="C1553">
        <v>2505</v>
      </c>
      <c r="D1553">
        <v>2460</v>
      </c>
      <c r="E1553" s="7">
        <v>2489.5</v>
      </c>
      <c r="F1553">
        <v>1068252</v>
      </c>
      <c r="G1553" s="8">
        <f t="shared" si="240"/>
        <v>2484.8333333333335</v>
      </c>
      <c r="H1553" s="9">
        <f t="shared" si="241"/>
        <v>2654428178</v>
      </c>
      <c r="I1553" s="9">
        <f t="shared" si="244"/>
        <v>27711130721.599998</v>
      </c>
      <c r="J1553" s="9">
        <f t="shared" si="245"/>
        <v>11415171</v>
      </c>
      <c r="K1553" s="21">
        <f t="shared" si="246"/>
        <v>2427.570355415613</v>
      </c>
      <c r="L1553" s="4" t="str">
        <f t="shared" si="242"/>
        <v>BUY</v>
      </c>
      <c r="M1553" s="4">
        <f t="shared" si="247"/>
        <v>0</v>
      </c>
      <c r="N1553" s="4">
        <f t="shared" si="243"/>
        <v>1</v>
      </c>
      <c r="O1553" s="4">
        <f t="shared" si="248"/>
        <v>2352.0500000000002</v>
      </c>
      <c r="P1553" s="4">
        <f t="shared" si="249"/>
        <v>0</v>
      </c>
    </row>
    <row r="1554" spans="1:16" x14ac:dyDescent="0.25">
      <c r="A1554" s="1">
        <v>43452</v>
      </c>
      <c r="B1554">
        <v>2478.3000000000002</v>
      </c>
      <c r="C1554">
        <v>2550</v>
      </c>
      <c r="D1554">
        <v>2472.15</v>
      </c>
      <c r="E1554" s="7">
        <v>2520.3000000000002</v>
      </c>
      <c r="F1554">
        <v>2181982</v>
      </c>
      <c r="G1554" s="8">
        <f t="shared" si="240"/>
        <v>2514.15</v>
      </c>
      <c r="H1554" s="9">
        <f t="shared" si="241"/>
        <v>5485830045.3000002</v>
      </c>
      <c r="I1554" s="9">
        <f t="shared" si="244"/>
        <v>31299392882.566669</v>
      </c>
      <c r="J1554" s="9">
        <f t="shared" si="245"/>
        <v>12785475</v>
      </c>
      <c r="K1554" s="21">
        <f t="shared" si="246"/>
        <v>2448.0430240227029</v>
      </c>
      <c r="L1554" s="4" t="str">
        <f t="shared" si="242"/>
        <v>BUY</v>
      </c>
      <c r="M1554" s="4">
        <f t="shared" si="247"/>
        <v>0</v>
      </c>
      <c r="N1554" s="4">
        <f t="shared" si="243"/>
        <v>1</v>
      </c>
      <c r="O1554" s="4">
        <f t="shared" si="248"/>
        <v>2352.0500000000002</v>
      </c>
      <c r="P1554" s="4">
        <f t="shared" si="249"/>
        <v>0</v>
      </c>
    </row>
    <row r="1555" spans="1:16" x14ac:dyDescent="0.25">
      <c r="A1555" s="1">
        <v>43453</v>
      </c>
      <c r="B1555">
        <v>2505</v>
      </c>
      <c r="C1555">
        <v>2520.85</v>
      </c>
      <c r="D1555">
        <v>2434.1</v>
      </c>
      <c r="E1555" s="7">
        <v>2453.9</v>
      </c>
      <c r="F1555">
        <v>1520700</v>
      </c>
      <c r="G1555" s="8">
        <f t="shared" si="240"/>
        <v>2469.6166666666668</v>
      </c>
      <c r="H1555" s="9">
        <f t="shared" si="241"/>
        <v>3755546065</v>
      </c>
      <c r="I1555" s="9">
        <f t="shared" si="244"/>
        <v>32827871326.950001</v>
      </c>
      <c r="J1555" s="9">
        <f t="shared" si="245"/>
        <v>13347052</v>
      </c>
      <c r="K1555" s="21">
        <f t="shared" si="246"/>
        <v>2459.559708537136</v>
      </c>
      <c r="L1555" s="4" t="str">
        <f t="shared" si="242"/>
        <v>SELL</v>
      </c>
      <c r="M1555" s="4" t="str">
        <f t="shared" si="247"/>
        <v>SELL</v>
      </c>
      <c r="N1555" s="4">
        <f t="shared" si="243"/>
        <v>-1</v>
      </c>
      <c r="O1555" s="4">
        <f t="shared" si="248"/>
        <v>2453.9</v>
      </c>
      <c r="P1555" s="4">
        <f t="shared" si="249"/>
        <v>4.3302650879020389E-2</v>
      </c>
    </row>
    <row r="1556" spans="1:16" x14ac:dyDescent="0.25">
      <c r="A1556" s="1">
        <v>43454</v>
      </c>
      <c r="B1556">
        <v>2456</v>
      </c>
      <c r="C1556">
        <v>2488</v>
      </c>
      <c r="D1556">
        <v>2447</v>
      </c>
      <c r="E1556" s="7">
        <v>2471.25</v>
      </c>
      <c r="F1556">
        <v>876176</v>
      </c>
      <c r="G1556" s="8">
        <f t="shared" si="240"/>
        <v>2468.75</v>
      </c>
      <c r="H1556" s="9">
        <f t="shared" si="241"/>
        <v>2163059500</v>
      </c>
      <c r="I1556" s="9">
        <f t="shared" si="244"/>
        <v>32382688679.483334</v>
      </c>
      <c r="J1556" s="9">
        <f t="shared" si="245"/>
        <v>13112684</v>
      </c>
      <c r="K1556" s="21">
        <f t="shared" si="246"/>
        <v>2469.5698210590094</v>
      </c>
      <c r="L1556" s="4" t="str">
        <f t="shared" si="242"/>
        <v>BUY</v>
      </c>
      <c r="M1556" s="4" t="str">
        <f t="shared" si="247"/>
        <v>BUY</v>
      </c>
      <c r="N1556" s="4">
        <f t="shared" si="243"/>
        <v>1</v>
      </c>
      <c r="O1556" s="4">
        <f t="shared" si="248"/>
        <v>2471.25</v>
      </c>
      <c r="P1556" s="4">
        <f t="shared" si="249"/>
        <v>-7.0703777660050971E-3</v>
      </c>
    </row>
    <row r="1557" spans="1:16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 s="7">
        <v>2462.75</v>
      </c>
      <c r="F1557">
        <v>745897</v>
      </c>
      <c r="G1557" s="8">
        <f t="shared" si="240"/>
        <v>2463.2333333333336</v>
      </c>
      <c r="H1557" s="9">
        <f t="shared" si="241"/>
        <v>1837318353.6333334</v>
      </c>
      <c r="I1557" s="9">
        <f t="shared" si="244"/>
        <v>30366658948.200001</v>
      </c>
      <c r="J1557" s="9">
        <f t="shared" si="245"/>
        <v>12256546</v>
      </c>
      <c r="K1557" s="21">
        <f t="shared" si="246"/>
        <v>2477.5869929587016</v>
      </c>
      <c r="L1557" s="4" t="str">
        <f t="shared" si="242"/>
        <v>SELL</v>
      </c>
      <c r="M1557" s="4" t="str">
        <f t="shared" si="247"/>
        <v>SELL</v>
      </c>
      <c r="N1557" s="4">
        <f t="shared" si="243"/>
        <v>-1</v>
      </c>
      <c r="O1557" s="4">
        <f t="shared" si="248"/>
        <v>2462.75</v>
      </c>
      <c r="P1557" s="4">
        <f t="shared" si="249"/>
        <v>-3.4395548811330299E-3</v>
      </c>
    </row>
    <row r="1558" spans="1:16" x14ac:dyDescent="0.25">
      <c r="A1558" s="1">
        <v>43458</v>
      </c>
      <c r="B1558">
        <v>2470</v>
      </c>
      <c r="C1558">
        <v>2489</v>
      </c>
      <c r="D1558">
        <v>2459.35</v>
      </c>
      <c r="E1558" s="7">
        <v>2481.9</v>
      </c>
      <c r="F1558">
        <v>881575</v>
      </c>
      <c r="G1558" s="8">
        <f t="shared" si="240"/>
        <v>2476.75</v>
      </c>
      <c r="H1558" s="9">
        <f t="shared" si="241"/>
        <v>2183440881.25</v>
      </c>
      <c r="I1558" s="9">
        <f t="shared" si="244"/>
        <v>29698514393.050003</v>
      </c>
      <c r="J1558" s="9">
        <f t="shared" si="245"/>
        <v>11969630</v>
      </c>
      <c r="K1558" s="21">
        <f t="shared" si="246"/>
        <v>2481.1555906949507</v>
      </c>
      <c r="L1558" s="4" t="str">
        <f t="shared" si="242"/>
        <v>BUY</v>
      </c>
      <c r="M1558" s="4" t="str">
        <f t="shared" si="247"/>
        <v>BUY</v>
      </c>
      <c r="N1558" s="4">
        <f t="shared" si="243"/>
        <v>1</v>
      </c>
      <c r="O1558" s="4">
        <f t="shared" si="248"/>
        <v>2481.9</v>
      </c>
      <c r="P1558" s="4">
        <f t="shared" si="249"/>
        <v>-7.7758603187494026E-3</v>
      </c>
    </row>
    <row r="1559" spans="1:16" x14ac:dyDescent="0.25">
      <c r="A1559" s="1">
        <v>43459</v>
      </c>
      <c r="B1559">
        <v>2480</v>
      </c>
      <c r="C1559">
        <v>2484.6999999999998</v>
      </c>
      <c r="D1559">
        <v>2457</v>
      </c>
      <c r="E1559" s="7">
        <v>2470.8000000000002</v>
      </c>
      <c r="F1559">
        <v>1195471</v>
      </c>
      <c r="G1559" s="8">
        <f t="shared" si="240"/>
        <v>2470.8333333333335</v>
      </c>
      <c r="H1559" s="9">
        <f t="shared" si="241"/>
        <v>2953809595.8333335</v>
      </c>
      <c r="I1559" s="9">
        <f t="shared" si="244"/>
        <v>30246633841.150002</v>
      </c>
      <c r="J1559" s="9">
        <f t="shared" si="245"/>
        <v>12189109</v>
      </c>
      <c r="K1559" s="21">
        <f t="shared" si="246"/>
        <v>2481.4474824328836</v>
      </c>
      <c r="L1559" s="4" t="str">
        <f t="shared" si="242"/>
        <v>SELL</v>
      </c>
      <c r="M1559" s="4" t="str">
        <f t="shared" si="247"/>
        <v>SELL</v>
      </c>
      <c r="N1559" s="4">
        <f t="shared" si="243"/>
        <v>-1</v>
      </c>
      <c r="O1559" s="4">
        <f t="shared" si="248"/>
        <v>2470.8000000000002</v>
      </c>
      <c r="P1559" s="4">
        <f t="shared" si="249"/>
        <v>-4.4723800314274984E-3</v>
      </c>
    </row>
    <row r="1560" spans="1:16" x14ac:dyDescent="0.25">
      <c r="A1560" s="1">
        <v>43460</v>
      </c>
      <c r="B1560">
        <v>2466</v>
      </c>
      <c r="C1560">
        <v>2473.6999999999998</v>
      </c>
      <c r="D1560">
        <v>2427</v>
      </c>
      <c r="E1560" s="7">
        <v>2432.0500000000002</v>
      </c>
      <c r="F1560">
        <v>699750</v>
      </c>
      <c r="G1560" s="8">
        <f t="shared" si="240"/>
        <v>2444.25</v>
      </c>
      <c r="H1560" s="9">
        <f t="shared" si="241"/>
        <v>1710363937.5</v>
      </c>
      <c r="I1560" s="9">
        <f t="shared" si="244"/>
        <v>29139714137.650002</v>
      </c>
      <c r="J1560" s="9">
        <f t="shared" si="245"/>
        <v>11749642</v>
      </c>
      <c r="K1560" s="21">
        <f t="shared" si="246"/>
        <v>2480.0512337014184</v>
      </c>
      <c r="L1560" s="4" t="str">
        <f t="shared" si="242"/>
        <v>SELL</v>
      </c>
      <c r="M1560" s="4">
        <f t="shared" si="247"/>
        <v>0</v>
      </c>
      <c r="N1560" s="4">
        <f t="shared" si="243"/>
        <v>-1</v>
      </c>
      <c r="O1560" s="4">
        <f t="shared" si="248"/>
        <v>2470.8000000000002</v>
      </c>
      <c r="P1560" s="4">
        <f t="shared" si="249"/>
        <v>0</v>
      </c>
    </row>
    <row r="1561" spans="1:16" x14ac:dyDescent="0.25">
      <c r="A1561" s="1">
        <v>43461</v>
      </c>
      <c r="B1561">
        <v>2433</v>
      </c>
      <c r="C1561">
        <v>2517</v>
      </c>
      <c r="D1561">
        <v>2413</v>
      </c>
      <c r="E1561" s="7">
        <v>2506.65</v>
      </c>
      <c r="F1561">
        <v>1200324</v>
      </c>
      <c r="G1561" s="8">
        <f t="shared" si="240"/>
        <v>2478.8833333333332</v>
      </c>
      <c r="H1561" s="9">
        <f t="shared" si="241"/>
        <v>2975463158.1999998</v>
      </c>
      <c r="I1561" s="9">
        <f t="shared" si="244"/>
        <v>27990586503.816669</v>
      </c>
      <c r="J1561" s="9">
        <f t="shared" si="245"/>
        <v>11289525</v>
      </c>
      <c r="K1561" s="21">
        <f t="shared" si="246"/>
        <v>2479.3413809541739</v>
      </c>
      <c r="L1561" s="4" t="str">
        <f t="shared" si="242"/>
        <v>BUY</v>
      </c>
      <c r="M1561" s="4" t="str">
        <f t="shared" si="247"/>
        <v>BUY</v>
      </c>
      <c r="N1561" s="4">
        <f t="shared" si="243"/>
        <v>1</v>
      </c>
      <c r="O1561" s="4">
        <f t="shared" si="248"/>
        <v>2506.65</v>
      </c>
      <c r="P1561" s="4">
        <f t="shared" si="249"/>
        <v>-1.4509470616804236E-2</v>
      </c>
    </row>
    <row r="1562" spans="1:16" x14ac:dyDescent="0.25">
      <c r="A1562" s="1">
        <v>43462</v>
      </c>
      <c r="B1562">
        <v>2498</v>
      </c>
      <c r="C1562">
        <v>2525</v>
      </c>
      <c r="D1562">
        <v>2488.1</v>
      </c>
      <c r="E1562" s="7">
        <v>2518.15</v>
      </c>
      <c r="F1562">
        <v>651814</v>
      </c>
      <c r="G1562" s="8">
        <f t="shared" si="240"/>
        <v>2510.4166666666665</v>
      </c>
      <c r="H1562" s="9">
        <f t="shared" si="241"/>
        <v>1636324729.1666665</v>
      </c>
      <c r="I1562" s="9">
        <f t="shared" si="244"/>
        <v>27355584443.883335</v>
      </c>
      <c r="J1562" s="9">
        <f t="shared" si="245"/>
        <v>11021941</v>
      </c>
      <c r="K1562" s="21">
        <f t="shared" si="246"/>
        <v>2481.9207836336027</v>
      </c>
      <c r="L1562" s="4" t="str">
        <f t="shared" si="242"/>
        <v>BUY</v>
      </c>
      <c r="M1562" s="4">
        <f t="shared" si="247"/>
        <v>0</v>
      </c>
      <c r="N1562" s="4">
        <f t="shared" si="243"/>
        <v>1</v>
      </c>
      <c r="O1562" s="4">
        <f t="shared" si="248"/>
        <v>2506.65</v>
      </c>
      <c r="P1562" s="4">
        <f t="shared" si="249"/>
        <v>0</v>
      </c>
    </row>
    <row r="1563" spans="1:16" x14ac:dyDescent="0.25">
      <c r="A1563" s="1">
        <v>43465</v>
      </c>
      <c r="B1563">
        <v>2530</v>
      </c>
      <c r="C1563">
        <v>2545</v>
      </c>
      <c r="D1563">
        <v>2512.5</v>
      </c>
      <c r="E1563" s="7">
        <v>2526.1999999999998</v>
      </c>
      <c r="F1563">
        <v>800734</v>
      </c>
      <c r="G1563" s="8">
        <f t="shared" si="240"/>
        <v>2527.9</v>
      </c>
      <c r="H1563" s="9">
        <f t="shared" si="241"/>
        <v>2024175478.6000001</v>
      </c>
      <c r="I1563" s="9">
        <f t="shared" si="244"/>
        <v>26725331744.483334</v>
      </c>
      <c r="J1563" s="9">
        <f t="shared" si="245"/>
        <v>10754423</v>
      </c>
      <c r="K1563" s="21">
        <f t="shared" si="246"/>
        <v>2485.0549159618636</v>
      </c>
      <c r="L1563" s="4" t="str">
        <f t="shared" si="242"/>
        <v>BUY</v>
      </c>
      <c r="M1563" s="4">
        <f t="shared" si="247"/>
        <v>0</v>
      </c>
      <c r="N1563" s="4">
        <f t="shared" si="243"/>
        <v>1</v>
      </c>
      <c r="O1563" s="4">
        <f t="shared" si="248"/>
        <v>2506.65</v>
      </c>
      <c r="P1563" s="4">
        <f t="shared" si="249"/>
        <v>0</v>
      </c>
    </row>
    <row r="1564" spans="1:16" x14ac:dyDescent="0.25">
      <c r="A1564" s="1">
        <v>43466</v>
      </c>
      <c r="B1564">
        <v>2453</v>
      </c>
      <c r="C1564">
        <v>2553.5</v>
      </c>
      <c r="D1564">
        <v>2440</v>
      </c>
      <c r="E1564" s="7">
        <v>2519.75</v>
      </c>
      <c r="F1564">
        <v>3560752</v>
      </c>
      <c r="G1564" s="8">
        <f t="shared" si="240"/>
        <v>2504.4166666666665</v>
      </c>
      <c r="H1564" s="9">
        <f t="shared" si="241"/>
        <v>8917606654.666666</v>
      </c>
      <c r="I1564" s="9">
        <f t="shared" si="244"/>
        <v>30157108353.849998</v>
      </c>
      <c r="J1564" s="9">
        <f t="shared" si="245"/>
        <v>12133193</v>
      </c>
      <c r="K1564" s="21">
        <f t="shared" si="246"/>
        <v>2485.5047104129967</v>
      </c>
      <c r="L1564" s="4" t="str">
        <f t="shared" si="242"/>
        <v>BUY</v>
      </c>
      <c r="M1564" s="4">
        <f t="shared" si="247"/>
        <v>0</v>
      </c>
      <c r="N1564" s="4">
        <f t="shared" si="243"/>
        <v>1</v>
      </c>
      <c r="O1564" s="4">
        <f t="shared" si="248"/>
        <v>2506.65</v>
      </c>
      <c r="P1564" s="4">
        <f t="shared" si="249"/>
        <v>0</v>
      </c>
    </row>
    <row r="1565" spans="1:16" x14ac:dyDescent="0.25">
      <c r="A1565" s="1">
        <v>43467</v>
      </c>
      <c r="B1565">
        <v>2534.9</v>
      </c>
      <c r="C1565">
        <v>2534.9</v>
      </c>
      <c r="D1565">
        <v>2440</v>
      </c>
      <c r="E1565" s="7">
        <v>2450.35</v>
      </c>
      <c r="F1565">
        <v>3202512</v>
      </c>
      <c r="G1565" s="8">
        <f t="shared" si="240"/>
        <v>2475.0833333333335</v>
      </c>
      <c r="H1565" s="9">
        <f t="shared" si="241"/>
        <v>7926484076.000001</v>
      </c>
      <c r="I1565" s="9">
        <f t="shared" si="244"/>
        <v>34328046364.849998</v>
      </c>
      <c r="J1565" s="9">
        <f t="shared" si="245"/>
        <v>13815005</v>
      </c>
      <c r="K1565" s="21">
        <f t="shared" si="246"/>
        <v>2484.837780721035</v>
      </c>
      <c r="L1565" s="4" t="str">
        <f t="shared" si="242"/>
        <v>SELL</v>
      </c>
      <c r="M1565" s="4" t="str">
        <f t="shared" si="247"/>
        <v>SELL</v>
      </c>
      <c r="N1565" s="4">
        <f t="shared" si="243"/>
        <v>-1</v>
      </c>
      <c r="O1565" s="4">
        <f t="shared" si="248"/>
        <v>2450.35</v>
      </c>
      <c r="P1565" s="4">
        <f t="shared" si="249"/>
        <v>-2.2460255719785441E-2</v>
      </c>
    </row>
    <row r="1566" spans="1:16" x14ac:dyDescent="0.25">
      <c r="A1566" s="1">
        <v>43468</v>
      </c>
      <c r="B1566">
        <v>2451</v>
      </c>
      <c r="C1566">
        <v>2467.4</v>
      </c>
      <c r="D1566">
        <v>2412.1999999999998</v>
      </c>
      <c r="E1566" s="7">
        <v>2424.4</v>
      </c>
      <c r="F1566">
        <v>1262862</v>
      </c>
      <c r="G1566" s="8">
        <f t="shared" si="240"/>
        <v>2434.6666666666665</v>
      </c>
      <c r="H1566" s="9">
        <f t="shared" si="241"/>
        <v>3074648016</v>
      </c>
      <c r="I1566" s="9">
        <f t="shared" si="244"/>
        <v>35239634880.849998</v>
      </c>
      <c r="J1566" s="9">
        <f t="shared" si="245"/>
        <v>14201691</v>
      </c>
      <c r="K1566" s="21">
        <f t="shared" si="246"/>
        <v>2481.3689356323835</v>
      </c>
      <c r="L1566" s="4" t="str">
        <f t="shared" si="242"/>
        <v>SELL</v>
      </c>
      <c r="M1566" s="4">
        <f t="shared" si="247"/>
        <v>0</v>
      </c>
      <c r="N1566" s="4">
        <f t="shared" si="243"/>
        <v>-1</v>
      </c>
      <c r="O1566" s="4">
        <f t="shared" si="248"/>
        <v>2450.35</v>
      </c>
      <c r="P1566" s="4">
        <f t="shared" si="249"/>
        <v>0</v>
      </c>
    </row>
    <row r="1567" spans="1:16" x14ac:dyDescent="0.25">
      <c r="A1567" s="1">
        <v>43469</v>
      </c>
      <c r="B1567">
        <v>2419</v>
      </c>
      <c r="C1567">
        <v>2435.4</v>
      </c>
      <c r="D1567">
        <v>2404.1999999999998</v>
      </c>
      <c r="E1567" s="7">
        <v>2417.0500000000002</v>
      </c>
      <c r="F1567">
        <v>982063</v>
      </c>
      <c r="G1567" s="8">
        <f t="shared" si="240"/>
        <v>2418.8833333333337</v>
      </c>
      <c r="H1567" s="9">
        <f t="shared" si="241"/>
        <v>2375495822.9833336</v>
      </c>
      <c r="I1567" s="9">
        <f t="shared" si="244"/>
        <v>35777812350.199997</v>
      </c>
      <c r="J1567" s="9">
        <f t="shared" si="245"/>
        <v>14437857</v>
      </c>
      <c r="K1567" s="21">
        <f t="shared" si="246"/>
        <v>2478.0555971845406</v>
      </c>
      <c r="L1567" s="4" t="str">
        <f t="shared" si="242"/>
        <v>SELL</v>
      </c>
      <c r="M1567" s="4">
        <f t="shared" si="247"/>
        <v>0</v>
      </c>
      <c r="N1567" s="4">
        <f t="shared" si="243"/>
        <v>-1</v>
      </c>
      <c r="O1567" s="4">
        <f t="shared" si="248"/>
        <v>2450.35</v>
      </c>
      <c r="P1567" s="4">
        <f t="shared" si="249"/>
        <v>0</v>
      </c>
    </row>
    <row r="1568" spans="1:16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 s="7">
        <v>2451.25</v>
      </c>
      <c r="F1568">
        <v>1133827</v>
      </c>
      <c r="G1568" s="8">
        <f t="shared" si="240"/>
        <v>2436.8666666666668</v>
      </c>
      <c r="H1568" s="9">
        <f t="shared" si="241"/>
        <v>2762985222.0666666</v>
      </c>
      <c r="I1568" s="9">
        <f t="shared" si="244"/>
        <v>36357356691.01667</v>
      </c>
      <c r="J1568" s="9">
        <f t="shared" si="245"/>
        <v>14690109</v>
      </c>
      <c r="K1568" s="21">
        <f t="shared" si="246"/>
        <v>2474.9548618745221</v>
      </c>
      <c r="L1568" s="4" t="str">
        <f t="shared" si="242"/>
        <v>SELL</v>
      </c>
      <c r="M1568" s="4">
        <f t="shared" si="247"/>
        <v>0</v>
      </c>
      <c r="N1568" s="4">
        <f t="shared" si="243"/>
        <v>-1</v>
      </c>
      <c r="O1568" s="4">
        <f t="shared" si="248"/>
        <v>2450.35</v>
      </c>
      <c r="P1568" s="4">
        <f t="shared" si="249"/>
        <v>0</v>
      </c>
    </row>
    <row r="1569" spans="1:16" x14ac:dyDescent="0.25">
      <c r="A1569" s="1">
        <v>43473</v>
      </c>
      <c r="B1569">
        <v>2449</v>
      </c>
      <c r="C1569">
        <v>2493.5</v>
      </c>
      <c r="D1569">
        <v>2442</v>
      </c>
      <c r="E1569" s="7">
        <v>2489.8000000000002</v>
      </c>
      <c r="F1569">
        <v>1277184</v>
      </c>
      <c r="G1569" s="8">
        <f t="shared" si="240"/>
        <v>2475.1</v>
      </c>
      <c r="H1569" s="9">
        <f t="shared" si="241"/>
        <v>3161158118.4000001</v>
      </c>
      <c r="I1569" s="9">
        <f t="shared" si="244"/>
        <v>36564705213.583328</v>
      </c>
      <c r="J1569" s="9">
        <f t="shared" si="245"/>
        <v>14771822</v>
      </c>
      <c r="K1569" s="21">
        <f t="shared" si="246"/>
        <v>2475.3009624393881</v>
      </c>
      <c r="L1569" s="4" t="str">
        <f t="shared" si="242"/>
        <v>BUY</v>
      </c>
      <c r="M1569" s="4" t="str">
        <f t="shared" si="247"/>
        <v>BUY</v>
      </c>
      <c r="N1569" s="4">
        <f t="shared" si="243"/>
        <v>1</v>
      </c>
      <c r="O1569" s="4">
        <f t="shared" si="248"/>
        <v>2489.8000000000002</v>
      </c>
      <c r="P1569" s="4">
        <f t="shared" si="249"/>
        <v>-1.6099740853347592E-2</v>
      </c>
    </row>
    <row r="1570" spans="1:16" x14ac:dyDescent="0.25">
      <c r="A1570" s="1">
        <v>43474</v>
      </c>
      <c r="B1570">
        <v>2480</v>
      </c>
      <c r="C1570">
        <v>2514.6</v>
      </c>
      <c r="D1570">
        <v>2475.9</v>
      </c>
      <c r="E1570" s="7">
        <v>2511.1</v>
      </c>
      <c r="F1570">
        <v>924335</v>
      </c>
      <c r="G1570" s="8">
        <f t="shared" si="240"/>
        <v>2500.5333333333333</v>
      </c>
      <c r="H1570" s="9">
        <f t="shared" si="241"/>
        <v>2311330478.6666665</v>
      </c>
      <c r="I1570" s="9">
        <f t="shared" si="244"/>
        <v>37165671754.75</v>
      </c>
      <c r="J1570" s="9">
        <f t="shared" si="245"/>
        <v>14996407</v>
      </c>
      <c r="K1570" s="21">
        <f t="shared" si="246"/>
        <v>2478.3050869951717</v>
      </c>
      <c r="L1570" s="4" t="str">
        <f t="shared" si="242"/>
        <v>BUY</v>
      </c>
      <c r="M1570" s="4">
        <f t="shared" si="247"/>
        <v>0</v>
      </c>
      <c r="N1570" s="4">
        <f t="shared" si="243"/>
        <v>1</v>
      </c>
      <c r="O1570" s="4">
        <f t="shared" si="248"/>
        <v>2489.8000000000002</v>
      </c>
      <c r="P1570" s="4">
        <f t="shared" si="249"/>
        <v>0</v>
      </c>
    </row>
    <row r="1571" spans="1:16" x14ac:dyDescent="0.25">
      <c r="A1571" s="1">
        <v>43475</v>
      </c>
      <c r="B1571">
        <v>2501.3000000000002</v>
      </c>
      <c r="C1571">
        <v>2540</v>
      </c>
      <c r="D1571">
        <v>2498.1</v>
      </c>
      <c r="E1571" s="7">
        <v>2527.75</v>
      </c>
      <c r="F1571">
        <v>2496372</v>
      </c>
      <c r="G1571" s="8">
        <f t="shared" si="240"/>
        <v>2521.9500000000003</v>
      </c>
      <c r="H1571" s="9">
        <f t="shared" si="241"/>
        <v>6295725365.4000006</v>
      </c>
      <c r="I1571" s="9">
        <f t="shared" si="244"/>
        <v>40485933961.950005</v>
      </c>
      <c r="J1571" s="9">
        <f t="shared" si="245"/>
        <v>16292455</v>
      </c>
      <c r="K1571" s="21">
        <f t="shared" si="246"/>
        <v>2484.9498717013494</v>
      </c>
      <c r="L1571" s="4" t="str">
        <f t="shared" si="242"/>
        <v>BUY</v>
      </c>
      <c r="M1571" s="4">
        <f t="shared" si="247"/>
        <v>0</v>
      </c>
      <c r="N1571" s="4">
        <f t="shared" si="243"/>
        <v>1</v>
      </c>
      <c r="O1571" s="4">
        <f t="shared" si="248"/>
        <v>2489.8000000000002</v>
      </c>
      <c r="P1571" s="4">
        <f t="shared" si="249"/>
        <v>0</v>
      </c>
    </row>
    <row r="1572" spans="1:16" x14ac:dyDescent="0.25">
      <c r="A1572" s="1">
        <v>43476</v>
      </c>
      <c r="B1572">
        <v>2517</v>
      </c>
      <c r="C1572">
        <v>2542</v>
      </c>
      <c r="D1572">
        <v>2510</v>
      </c>
      <c r="E1572" s="7">
        <v>2535.5</v>
      </c>
      <c r="F1572">
        <v>1186089</v>
      </c>
      <c r="G1572" s="8">
        <f t="shared" si="240"/>
        <v>2529.1666666666665</v>
      </c>
      <c r="H1572" s="9">
        <f t="shared" si="241"/>
        <v>2999816762.5</v>
      </c>
      <c r="I1572" s="9">
        <f t="shared" si="244"/>
        <v>41849425995.283333</v>
      </c>
      <c r="J1572" s="9">
        <f t="shared" si="245"/>
        <v>16826730</v>
      </c>
      <c r="K1572" s="21">
        <f t="shared" si="246"/>
        <v>2487.080139473524</v>
      </c>
      <c r="L1572" s="4" t="str">
        <f t="shared" si="242"/>
        <v>BUY</v>
      </c>
      <c r="M1572" s="4">
        <f t="shared" si="247"/>
        <v>0</v>
      </c>
      <c r="N1572" s="4">
        <f t="shared" si="243"/>
        <v>1</v>
      </c>
      <c r="O1572" s="4">
        <f t="shared" si="248"/>
        <v>2489.8000000000002</v>
      </c>
      <c r="P1572" s="4">
        <f t="shared" si="249"/>
        <v>0</v>
      </c>
    </row>
    <row r="1573" spans="1:16" x14ac:dyDescent="0.25">
      <c r="A1573" s="1">
        <v>43479</v>
      </c>
      <c r="B1573">
        <v>2529</v>
      </c>
      <c r="C1573">
        <v>2530</v>
      </c>
      <c r="D1573">
        <v>2500</v>
      </c>
      <c r="E1573" s="7">
        <v>2526.6999999999998</v>
      </c>
      <c r="F1573">
        <v>558346</v>
      </c>
      <c r="G1573" s="8">
        <f t="shared" si="240"/>
        <v>2518.9</v>
      </c>
      <c r="H1573" s="9">
        <f t="shared" si="241"/>
        <v>1406417739.4000001</v>
      </c>
      <c r="I1573" s="9">
        <f t="shared" si="244"/>
        <v>41231668256.083336</v>
      </c>
      <c r="J1573" s="9">
        <f t="shared" si="245"/>
        <v>16584342</v>
      </c>
      <c r="K1573" s="21">
        <f t="shared" si="246"/>
        <v>2486.1805343910137</v>
      </c>
      <c r="L1573" s="4" t="str">
        <f t="shared" si="242"/>
        <v>BUY</v>
      </c>
      <c r="M1573" s="4">
        <f t="shared" si="247"/>
        <v>0</v>
      </c>
      <c r="N1573" s="4">
        <f t="shared" si="243"/>
        <v>1</v>
      </c>
      <c r="O1573" s="4">
        <f t="shared" si="248"/>
        <v>2489.8000000000002</v>
      </c>
      <c r="P1573" s="4">
        <f t="shared" si="249"/>
        <v>0</v>
      </c>
    </row>
    <row r="1574" spans="1:16" x14ac:dyDescent="0.25">
      <c r="A1574" s="1">
        <v>43480</v>
      </c>
      <c r="B1574">
        <v>2525</v>
      </c>
      <c r="C1574">
        <v>2530</v>
      </c>
      <c r="D1574">
        <v>2472</v>
      </c>
      <c r="E1574" s="7">
        <v>2478.1</v>
      </c>
      <c r="F1574">
        <v>1076559</v>
      </c>
      <c r="G1574" s="8">
        <f t="shared" si="240"/>
        <v>2493.3666666666668</v>
      </c>
      <c r="H1574" s="9">
        <f t="shared" si="241"/>
        <v>2684256325.3000002</v>
      </c>
      <c r="I1574" s="9">
        <f t="shared" si="244"/>
        <v>34998317926.716675</v>
      </c>
      <c r="J1574" s="9">
        <f t="shared" si="245"/>
        <v>14100149</v>
      </c>
      <c r="K1574" s="21">
        <f t="shared" si="246"/>
        <v>2482.1239780314859</v>
      </c>
      <c r="L1574" s="4" t="str">
        <f t="shared" si="242"/>
        <v>SELL</v>
      </c>
      <c r="M1574" s="4" t="str">
        <f t="shared" si="247"/>
        <v>SELL</v>
      </c>
      <c r="N1574" s="4">
        <f t="shared" si="243"/>
        <v>-1</v>
      </c>
      <c r="O1574" s="4">
        <f t="shared" si="248"/>
        <v>2478.1</v>
      </c>
      <c r="P1574" s="4">
        <f t="shared" si="249"/>
        <v>-4.6991726243072827E-3</v>
      </c>
    </row>
    <row r="1575" spans="1:16" x14ac:dyDescent="0.25">
      <c r="A1575" s="1">
        <v>43481</v>
      </c>
      <c r="B1575">
        <v>2473.9</v>
      </c>
      <c r="C1575">
        <v>2494.0500000000002</v>
      </c>
      <c r="D1575">
        <v>2457</v>
      </c>
      <c r="E1575" s="7">
        <v>2478</v>
      </c>
      <c r="F1575">
        <v>682446</v>
      </c>
      <c r="G1575" s="8">
        <f t="shared" si="240"/>
        <v>2476.35</v>
      </c>
      <c r="H1575" s="9">
        <f t="shared" si="241"/>
        <v>1689975152.0999999</v>
      </c>
      <c r="I1575" s="9">
        <f t="shared" si="244"/>
        <v>28761809002.816666</v>
      </c>
      <c r="J1575" s="9">
        <f t="shared" si="245"/>
        <v>11580083</v>
      </c>
      <c r="K1575" s="21">
        <f t="shared" si="246"/>
        <v>2483.7308163349662</v>
      </c>
      <c r="L1575" s="4" t="str">
        <f t="shared" si="242"/>
        <v>SELL</v>
      </c>
      <c r="M1575" s="4">
        <f t="shared" si="247"/>
        <v>0</v>
      </c>
      <c r="N1575" s="4">
        <f t="shared" si="243"/>
        <v>-1</v>
      </c>
      <c r="O1575" s="4">
        <f t="shared" si="248"/>
        <v>2478.1</v>
      </c>
      <c r="P1575" s="4">
        <f t="shared" si="249"/>
        <v>0</v>
      </c>
    </row>
    <row r="1576" spans="1:16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 s="7">
        <v>2470.3000000000002</v>
      </c>
      <c r="F1576">
        <v>623283</v>
      </c>
      <c r="G1576" s="8">
        <f t="shared" si="240"/>
        <v>2474.6</v>
      </c>
      <c r="H1576" s="9">
        <f t="shared" si="241"/>
        <v>1542376111.8</v>
      </c>
      <c r="I1576" s="9">
        <f t="shared" si="244"/>
        <v>27229537098.616665</v>
      </c>
      <c r="J1576" s="9">
        <f t="shared" si="245"/>
        <v>10940504</v>
      </c>
      <c r="K1576" s="21">
        <f t="shared" si="246"/>
        <v>2488.8741047594026</v>
      </c>
      <c r="L1576" s="4" t="str">
        <f t="shared" si="242"/>
        <v>SELL</v>
      </c>
      <c r="M1576" s="4">
        <f t="shared" si="247"/>
        <v>0</v>
      </c>
      <c r="N1576" s="4">
        <f t="shared" si="243"/>
        <v>-1</v>
      </c>
      <c r="O1576" s="4">
        <f t="shared" si="248"/>
        <v>2478.1</v>
      </c>
      <c r="P1576" s="4">
        <f t="shared" si="249"/>
        <v>0</v>
      </c>
    </row>
    <row r="1577" spans="1:16" x14ac:dyDescent="0.25">
      <c r="A1577" s="1">
        <v>43483</v>
      </c>
      <c r="B1577">
        <v>2465</v>
      </c>
      <c r="C1577">
        <v>2484.3000000000002</v>
      </c>
      <c r="D1577">
        <v>2431</v>
      </c>
      <c r="E1577" s="7">
        <v>2473.4</v>
      </c>
      <c r="F1577">
        <v>442799</v>
      </c>
      <c r="G1577" s="8">
        <f t="shared" si="240"/>
        <v>2462.9</v>
      </c>
      <c r="H1577" s="9">
        <f t="shared" si="241"/>
        <v>1090569657.1000001</v>
      </c>
      <c r="I1577" s="9">
        <f t="shared" si="244"/>
        <v>25944610932.73333</v>
      </c>
      <c r="J1577" s="9">
        <f t="shared" si="245"/>
        <v>10401240</v>
      </c>
      <c r="K1577" s="21">
        <f t="shared" si="246"/>
        <v>2494.3767216921569</v>
      </c>
      <c r="L1577" s="4" t="str">
        <f t="shared" si="242"/>
        <v>SELL</v>
      </c>
      <c r="M1577" s="4">
        <f t="shared" si="247"/>
        <v>0</v>
      </c>
      <c r="N1577" s="4">
        <f t="shared" si="243"/>
        <v>-1</v>
      </c>
      <c r="O1577" s="4">
        <f t="shared" si="248"/>
        <v>2478.1</v>
      </c>
      <c r="P1577" s="4">
        <f t="shared" si="249"/>
        <v>0</v>
      </c>
    </row>
    <row r="1578" spans="1:16" x14ac:dyDescent="0.25">
      <c r="A1578" s="1">
        <v>43486</v>
      </c>
      <c r="B1578">
        <v>2473.4</v>
      </c>
      <c r="C1578">
        <v>2518</v>
      </c>
      <c r="D1578">
        <v>2456.4</v>
      </c>
      <c r="E1578" s="7">
        <v>2512.5500000000002</v>
      </c>
      <c r="F1578">
        <v>910638</v>
      </c>
      <c r="G1578" s="8">
        <f t="shared" si="240"/>
        <v>2495.65</v>
      </c>
      <c r="H1578" s="9">
        <f t="shared" si="241"/>
        <v>2272633724.7000003</v>
      </c>
      <c r="I1578" s="9">
        <f t="shared" si="244"/>
        <v>25454259435.366665</v>
      </c>
      <c r="J1578" s="9">
        <f t="shared" si="245"/>
        <v>10178051</v>
      </c>
      <c r="K1578" s="21">
        <f t="shared" si="246"/>
        <v>2500.8972184720496</v>
      </c>
      <c r="L1578" s="4" t="str">
        <f t="shared" si="242"/>
        <v>BUY</v>
      </c>
      <c r="M1578" s="4" t="str">
        <f t="shared" si="247"/>
        <v>BUY</v>
      </c>
      <c r="N1578" s="4">
        <f t="shared" si="243"/>
        <v>1</v>
      </c>
      <c r="O1578" s="4">
        <f t="shared" si="248"/>
        <v>2512.5500000000002</v>
      </c>
      <c r="P1578" s="4">
        <f t="shared" si="249"/>
        <v>-1.3901779589201515E-2</v>
      </c>
    </row>
    <row r="1579" spans="1:16" x14ac:dyDescent="0.25">
      <c r="A1579" s="1">
        <v>43487</v>
      </c>
      <c r="B1579">
        <v>2515</v>
      </c>
      <c r="C1579">
        <v>2533.9499999999998</v>
      </c>
      <c r="D1579">
        <v>2496</v>
      </c>
      <c r="E1579" s="7">
        <v>2522.9</v>
      </c>
      <c r="F1579">
        <v>579267</v>
      </c>
      <c r="G1579" s="8">
        <f t="shared" si="240"/>
        <v>2517.6166666666668</v>
      </c>
      <c r="H1579" s="9">
        <f t="shared" si="241"/>
        <v>1458372253.6500001</v>
      </c>
      <c r="I1579" s="9">
        <f t="shared" si="244"/>
        <v>23751473570.616665</v>
      </c>
      <c r="J1579" s="9">
        <f t="shared" si="245"/>
        <v>9480134</v>
      </c>
      <c r="K1579" s="21">
        <f t="shared" si="246"/>
        <v>2505.3942877407285</v>
      </c>
      <c r="L1579" s="4" t="str">
        <f t="shared" si="242"/>
        <v>BUY</v>
      </c>
      <c r="M1579" s="4">
        <f t="shared" si="247"/>
        <v>0</v>
      </c>
      <c r="N1579" s="4">
        <f t="shared" si="243"/>
        <v>1</v>
      </c>
      <c r="O1579" s="4">
        <f t="shared" si="248"/>
        <v>2512.5500000000002</v>
      </c>
      <c r="P1579" s="4">
        <f t="shared" si="249"/>
        <v>0</v>
      </c>
    </row>
    <row r="1580" spans="1:16" x14ac:dyDescent="0.25">
      <c r="A1580" s="1">
        <v>43488</v>
      </c>
      <c r="B1580">
        <v>2500</v>
      </c>
      <c r="C1580">
        <v>2525.6</v>
      </c>
      <c r="D1580">
        <v>2490</v>
      </c>
      <c r="E1580" s="7">
        <v>2518.3000000000002</v>
      </c>
      <c r="F1580">
        <v>799358</v>
      </c>
      <c r="G1580" s="8">
        <f t="shared" si="240"/>
        <v>2511.3000000000002</v>
      </c>
      <c r="H1580" s="9">
        <f t="shared" si="241"/>
        <v>2007427745.4000001</v>
      </c>
      <c r="I1580" s="9">
        <f t="shared" si="244"/>
        <v>23447570837.350006</v>
      </c>
      <c r="J1580" s="9">
        <f t="shared" si="245"/>
        <v>9355157</v>
      </c>
      <c r="K1580" s="21">
        <f t="shared" si="246"/>
        <v>2506.3791914288563</v>
      </c>
      <c r="L1580" s="4" t="str">
        <f t="shared" si="242"/>
        <v>BUY</v>
      </c>
      <c r="M1580" s="4">
        <f t="shared" si="247"/>
        <v>0</v>
      </c>
      <c r="N1580" s="4">
        <f t="shared" si="243"/>
        <v>1</v>
      </c>
      <c r="O1580" s="4">
        <f t="shared" si="248"/>
        <v>2512.5500000000002</v>
      </c>
      <c r="P1580" s="4">
        <f t="shared" si="249"/>
        <v>0</v>
      </c>
    </row>
    <row r="1581" spans="1:16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 s="7">
        <v>2566.1999999999998</v>
      </c>
      <c r="F1581">
        <v>756541</v>
      </c>
      <c r="G1581" s="8">
        <f t="shared" si="240"/>
        <v>2552.2166666666667</v>
      </c>
      <c r="H1581" s="9">
        <f t="shared" si="241"/>
        <v>1930856549.2166667</v>
      </c>
      <c r="I1581" s="9">
        <f t="shared" si="244"/>
        <v>19082702021.166664</v>
      </c>
      <c r="J1581" s="9">
        <f t="shared" si="245"/>
        <v>7615326</v>
      </c>
      <c r="K1581" s="21">
        <f t="shared" si="246"/>
        <v>2505.8286436019503</v>
      </c>
      <c r="L1581" s="4" t="str">
        <f t="shared" si="242"/>
        <v>BUY</v>
      </c>
      <c r="M1581" s="4">
        <f t="shared" si="247"/>
        <v>0</v>
      </c>
      <c r="N1581" s="4">
        <f t="shared" si="243"/>
        <v>1</v>
      </c>
      <c r="O1581" s="4">
        <f t="shared" si="248"/>
        <v>2512.5500000000002</v>
      </c>
      <c r="P1581" s="4">
        <f t="shared" si="249"/>
        <v>0</v>
      </c>
    </row>
    <row r="1582" spans="1:16" x14ac:dyDescent="0.25">
      <c r="A1582" s="1">
        <v>43490</v>
      </c>
      <c r="B1582">
        <v>2565</v>
      </c>
      <c r="C1582">
        <v>2566</v>
      </c>
      <c r="D1582">
        <v>2510.15</v>
      </c>
      <c r="E1582" s="7">
        <v>2523.4</v>
      </c>
      <c r="F1582">
        <v>810865</v>
      </c>
      <c r="G1582" s="8">
        <f t="shared" si="240"/>
        <v>2533.1833333333329</v>
      </c>
      <c r="H1582" s="9">
        <f t="shared" si="241"/>
        <v>2054069703.583333</v>
      </c>
      <c r="I1582" s="9">
        <f t="shared" si="244"/>
        <v>18136954962.25</v>
      </c>
      <c r="J1582" s="9">
        <f t="shared" si="245"/>
        <v>7240102</v>
      </c>
      <c r="K1582" s="21">
        <f t="shared" si="246"/>
        <v>2505.0689841455273</v>
      </c>
      <c r="L1582" s="4" t="str">
        <f t="shared" si="242"/>
        <v>BUY</v>
      </c>
      <c r="M1582" s="4">
        <f t="shared" si="247"/>
        <v>0</v>
      </c>
      <c r="N1582" s="4">
        <f t="shared" si="243"/>
        <v>1</v>
      </c>
      <c r="O1582" s="4">
        <f t="shared" si="248"/>
        <v>2512.5500000000002</v>
      </c>
      <c r="P1582" s="4">
        <f t="shared" si="249"/>
        <v>0</v>
      </c>
    </row>
    <row r="1583" spans="1:16" x14ac:dyDescent="0.25">
      <c r="A1583" s="1">
        <v>43493</v>
      </c>
      <c r="B1583">
        <v>2538</v>
      </c>
      <c r="C1583">
        <v>2564.8000000000002</v>
      </c>
      <c r="D1583">
        <v>2522.5</v>
      </c>
      <c r="E1583" s="7">
        <v>2551.15</v>
      </c>
      <c r="F1583">
        <v>555763</v>
      </c>
      <c r="G1583" s="8">
        <f t="shared" si="240"/>
        <v>2546.15</v>
      </c>
      <c r="H1583" s="9">
        <f t="shared" si="241"/>
        <v>1415055962.45</v>
      </c>
      <c r="I1583" s="9">
        <f t="shared" si="244"/>
        <v>18145593185.299999</v>
      </c>
      <c r="J1583" s="9">
        <f t="shared" si="245"/>
        <v>7237519</v>
      </c>
      <c r="K1583" s="21">
        <f t="shared" si="246"/>
        <v>2507.1565525838341</v>
      </c>
      <c r="L1583" s="4" t="str">
        <f t="shared" si="242"/>
        <v>BUY</v>
      </c>
      <c r="M1583" s="4">
        <f t="shared" si="247"/>
        <v>0</v>
      </c>
      <c r="N1583" s="4">
        <f t="shared" si="243"/>
        <v>1</v>
      </c>
      <c r="O1583" s="4">
        <f t="shared" si="248"/>
        <v>2512.5500000000002</v>
      </c>
      <c r="P1583" s="4">
        <f t="shared" si="249"/>
        <v>0</v>
      </c>
    </row>
    <row r="1584" spans="1:16" x14ac:dyDescent="0.25">
      <c r="A1584" s="1">
        <v>43494</v>
      </c>
      <c r="B1584">
        <v>2564.1999999999998</v>
      </c>
      <c r="C1584">
        <v>2591.25</v>
      </c>
      <c r="D1584">
        <v>2552</v>
      </c>
      <c r="E1584" s="7">
        <v>2570.1999999999998</v>
      </c>
      <c r="F1584">
        <v>878349</v>
      </c>
      <c r="G1584" s="8">
        <f t="shared" si="240"/>
        <v>2571.15</v>
      </c>
      <c r="H1584" s="9">
        <f t="shared" si="241"/>
        <v>2258367031.3499999</v>
      </c>
      <c r="I1584" s="9">
        <f t="shared" si="244"/>
        <v>17719703891.349998</v>
      </c>
      <c r="J1584" s="9">
        <f t="shared" si="245"/>
        <v>7039309</v>
      </c>
      <c r="K1584" s="21">
        <f t="shared" si="246"/>
        <v>2517.2504703728732</v>
      </c>
      <c r="L1584" s="4" t="str">
        <f t="shared" si="242"/>
        <v>BUY</v>
      </c>
      <c r="M1584" s="4">
        <f t="shared" si="247"/>
        <v>0</v>
      </c>
      <c r="N1584" s="4">
        <f t="shared" si="243"/>
        <v>1</v>
      </c>
      <c r="O1584" s="4">
        <f t="shared" si="248"/>
        <v>2512.5500000000002</v>
      </c>
      <c r="P1584" s="4">
        <f t="shared" si="249"/>
        <v>0</v>
      </c>
    </row>
    <row r="1585" spans="1:16" x14ac:dyDescent="0.25">
      <c r="A1585" s="1">
        <v>43495</v>
      </c>
      <c r="B1585">
        <v>2565.85</v>
      </c>
      <c r="C1585">
        <v>2565.85</v>
      </c>
      <c r="D1585">
        <v>2526.0500000000002</v>
      </c>
      <c r="E1585" s="7">
        <v>2551.1</v>
      </c>
      <c r="F1585">
        <v>750370</v>
      </c>
      <c r="G1585" s="8">
        <f t="shared" si="240"/>
        <v>2547.6666666666665</v>
      </c>
      <c r="H1585" s="9">
        <f t="shared" si="241"/>
        <v>1911692636.6666665</v>
      </c>
      <c r="I1585" s="9">
        <f t="shared" si="244"/>
        <v>17941421375.916668</v>
      </c>
      <c r="J1585" s="9">
        <f t="shared" si="245"/>
        <v>7107233</v>
      </c>
      <c r="K1585" s="21">
        <f t="shared" si="246"/>
        <v>2524.3890802393375</v>
      </c>
      <c r="L1585" s="4" t="str">
        <f t="shared" si="242"/>
        <v>BUY</v>
      </c>
      <c r="M1585" s="4">
        <f t="shared" si="247"/>
        <v>0</v>
      </c>
      <c r="N1585" s="4">
        <f t="shared" si="243"/>
        <v>1</v>
      </c>
      <c r="O1585" s="4">
        <f t="shared" si="248"/>
        <v>2512.5500000000002</v>
      </c>
      <c r="P1585" s="4">
        <f t="shared" si="249"/>
        <v>0</v>
      </c>
    </row>
    <row r="1586" spans="1:16" x14ac:dyDescent="0.25">
      <c r="A1586" s="1">
        <v>43496</v>
      </c>
      <c r="B1586">
        <v>2555</v>
      </c>
      <c r="C1586">
        <v>2560</v>
      </c>
      <c r="D1586">
        <v>2526.1</v>
      </c>
      <c r="E1586" s="7">
        <v>2556.9499999999998</v>
      </c>
      <c r="F1586">
        <v>519396</v>
      </c>
      <c r="G1586" s="8">
        <f t="shared" si="240"/>
        <v>2547.6833333333334</v>
      </c>
      <c r="H1586" s="9">
        <f t="shared" si="241"/>
        <v>1323256532.6000001</v>
      </c>
      <c r="I1586" s="9">
        <f t="shared" si="244"/>
        <v>17722301796.716667</v>
      </c>
      <c r="J1586" s="9">
        <f t="shared" si="245"/>
        <v>7003346</v>
      </c>
      <c r="K1586" s="21">
        <f t="shared" si="246"/>
        <v>2530.5477976836596</v>
      </c>
      <c r="L1586" s="4" t="str">
        <f t="shared" si="242"/>
        <v>BUY</v>
      </c>
      <c r="M1586" s="4">
        <f t="shared" si="247"/>
        <v>0</v>
      </c>
      <c r="N1586" s="4">
        <f t="shared" si="243"/>
        <v>1</v>
      </c>
      <c r="O1586" s="4">
        <f t="shared" si="248"/>
        <v>2512.5500000000002</v>
      </c>
      <c r="P1586" s="4">
        <f t="shared" si="249"/>
        <v>0</v>
      </c>
    </row>
    <row r="1587" spans="1:16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 s="7">
        <v>2529.3000000000002</v>
      </c>
      <c r="F1587">
        <v>615459</v>
      </c>
      <c r="G1587" s="8">
        <f t="shared" si="240"/>
        <v>2539.3000000000002</v>
      </c>
      <c r="H1587" s="9">
        <f t="shared" si="241"/>
        <v>1562835038.7</v>
      </c>
      <c r="I1587" s="9">
        <f t="shared" si="244"/>
        <v>18194567178.316666</v>
      </c>
      <c r="J1587" s="9">
        <f t="shared" si="245"/>
        <v>7176006</v>
      </c>
      <c r="K1587" s="21">
        <f t="shared" si="246"/>
        <v>2535.4726819231569</v>
      </c>
      <c r="L1587" s="4" t="str">
        <f t="shared" si="242"/>
        <v>SELL</v>
      </c>
      <c r="M1587" s="4" t="str">
        <f t="shared" si="247"/>
        <v>SELL</v>
      </c>
      <c r="N1587" s="4">
        <f t="shared" si="243"/>
        <v>-1</v>
      </c>
      <c r="O1587" s="4">
        <f t="shared" si="248"/>
        <v>2529.3000000000002</v>
      </c>
      <c r="P1587" s="4">
        <f t="shared" si="249"/>
        <v>6.6665339993233963E-3</v>
      </c>
    </row>
    <row r="1588" spans="1:16" x14ac:dyDescent="0.25">
      <c r="A1588" s="1">
        <v>43500</v>
      </c>
      <c r="B1588">
        <v>2544</v>
      </c>
      <c r="C1588">
        <v>2545.9</v>
      </c>
      <c r="D1588">
        <v>2480.1999999999998</v>
      </c>
      <c r="E1588" s="7">
        <v>2491.4499999999998</v>
      </c>
      <c r="F1588">
        <v>766508</v>
      </c>
      <c r="G1588" s="8">
        <f t="shared" si="240"/>
        <v>2505.85</v>
      </c>
      <c r="H1588" s="9">
        <f t="shared" si="241"/>
        <v>1920754071.8</v>
      </c>
      <c r="I1588" s="9">
        <f t="shared" si="244"/>
        <v>17842687525.416668</v>
      </c>
      <c r="J1588" s="9">
        <f t="shared" si="245"/>
        <v>7031876</v>
      </c>
      <c r="K1588" s="21">
        <f t="shared" si="246"/>
        <v>2537.4007626722469</v>
      </c>
      <c r="L1588" s="4" t="str">
        <f t="shared" si="242"/>
        <v>SELL</v>
      </c>
      <c r="M1588" s="4">
        <f t="shared" si="247"/>
        <v>0</v>
      </c>
      <c r="N1588" s="4">
        <f t="shared" si="243"/>
        <v>-1</v>
      </c>
      <c r="O1588" s="4">
        <f t="shared" si="248"/>
        <v>2529.3000000000002</v>
      </c>
      <c r="P1588" s="4">
        <f t="shared" si="249"/>
        <v>0</v>
      </c>
    </row>
    <row r="1589" spans="1:16" x14ac:dyDescent="0.25">
      <c r="A1589" s="1">
        <v>43501</v>
      </c>
      <c r="B1589">
        <v>2484</v>
      </c>
      <c r="C1589">
        <v>2488.25</v>
      </c>
      <c r="D1589">
        <v>2459.6</v>
      </c>
      <c r="E1589" s="7">
        <v>2467.6999999999998</v>
      </c>
      <c r="F1589">
        <v>669579</v>
      </c>
      <c r="G1589" s="8">
        <f t="shared" si="240"/>
        <v>2471.85</v>
      </c>
      <c r="H1589" s="9">
        <f t="shared" si="241"/>
        <v>1655098851.1499999</v>
      </c>
      <c r="I1589" s="9">
        <f t="shared" si="244"/>
        <v>18039414122.916668</v>
      </c>
      <c r="J1589" s="9">
        <f t="shared" si="245"/>
        <v>7122188</v>
      </c>
      <c r="K1589" s="21">
        <f t="shared" si="246"/>
        <v>2532.8472265709174</v>
      </c>
      <c r="L1589" s="4" t="str">
        <f t="shared" si="242"/>
        <v>SELL</v>
      </c>
      <c r="M1589" s="4">
        <f t="shared" si="247"/>
        <v>0</v>
      </c>
      <c r="N1589" s="4">
        <f t="shared" si="243"/>
        <v>-1</v>
      </c>
      <c r="O1589" s="4">
        <f t="shared" si="248"/>
        <v>2529.3000000000002</v>
      </c>
      <c r="P1589" s="4">
        <f t="shared" si="249"/>
        <v>0</v>
      </c>
    </row>
    <row r="1590" spans="1:16" x14ac:dyDescent="0.25">
      <c r="A1590" s="1">
        <v>43502</v>
      </c>
      <c r="B1590">
        <v>2481</v>
      </c>
      <c r="C1590">
        <v>2532.9499999999998</v>
      </c>
      <c r="D1590">
        <v>2481</v>
      </c>
      <c r="E1590" s="7">
        <v>2526.4499999999998</v>
      </c>
      <c r="F1590">
        <v>774339</v>
      </c>
      <c r="G1590" s="8">
        <f t="shared" si="240"/>
        <v>2513.4666666666667</v>
      </c>
      <c r="H1590" s="9">
        <f t="shared" si="241"/>
        <v>1946275265.2</v>
      </c>
      <c r="I1590" s="9">
        <f t="shared" si="244"/>
        <v>17978261642.716667</v>
      </c>
      <c r="J1590" s="9">
        <f t="shared" si="245"/>
        <v>7097169</v>
      </c>
      <c r="K1590" s="21">
        <f t="shared" si="246"/>
        <v>2533.1595799278089</v>
      </c>
      <c r="L1590" s="4" t="str">
        <f t="shared" si="242"/>
        <v>SELL</v>
      </c>
      <c r="M1590" s="4">
        <f t="shared" si="247"/>
        <v>0</v>
      </c>
      <c r="N1590" s="4">
        <f t="shared" si="243"/>
        <v>-1</v>
      </c>
      <c r="O1590" s="4">
        <f t="shared" si="248"/>
        <v>2529.3000000000002</v>
      </c>
      <c r="P1590" s="4">
        <f t="shared" si="249"/>
        <v>0</v>
      </c>
    </row>
    <row r="1591" spans="1:16" x14ac:dyDescent="0.25">
      <c r="A1591" s="1">
        <v>43503</v>
      </c>
      <c r="B1591">
        <v>2530</v>
      </c>
      <c r="C1591">
        <v>2564.9</v>
      </c>
      <c r="D1591">
        <v>2505.1</v>
      </c>
      <c r="E1591" s="7">
        <v>2548.6999999999998</v>
      </c>
      <c r="F1591">
        <v>971624</v>
      </c>
      <c r="G1591" s="8">
        <f t="shared" si="240"/>
        <v>2539.5666666666666</v>
      </c>
      <c r="H1591" s="9">
        <f t="shared" si="241"/>
        <v>2467503922.9333334</v>
      </c>
      <c r="I1591" s="9">
        <f t="shared" si="244"/>
        <v>18514909016.433334</v>
      </c>
      <c r="J1591" s="9">
        <f t="shared" si="245"/>
        <v>7312252</v>
      </c>
      <c r="K1591" s="21">
        <f t="shared" si="246"/>
        <v>2532.0392426893022</v>
      </c>
      <c r="L1591" s="4" t="str">
        <f t="shared" si="242"/>
        <v>BUY</v>
      </c>
      <c r="M1591" s="4" t="str">
        <f t="shared" si="247"/>
        <v>BUY</v>
      </c>
      <c r="N1591" s="4">
        <f t="shared" si="243"/>
        <v>1</v>
      </c>
      <c r="O1591" s="4">
        <f t="shared" si="248"/>
        <v>2548.6999999999998</v>
      </c>
      <c r="P1591" s="4">
        <f t="shared" si="249"/>
        <v>-7.6701063535364071E-3</v>
      </c>
    </row>
    <row r="1592" spans="1:16" x14ac:dyDescent="0.25">
      <c r="A1592" s="1">
        <v>43504</v>
      </c>
      <c r="B1592">
        <v>2553.15</v>
      </c>
      <c r="C1592">
        <v>2579.85</v>
      </c>
      <c r="D1592">
        <v>2550.6</v>
      </c>
      <c r="E1592" s="7">
        <v>2572.65</v>
      </c>
      <c r="F1592">
        <v>552338</v>
      </c>
      <c r="G1592" s="8">
        <f t="shared" si="240"/>
        <v>2567.7000000000003</v>
      </c>
      <c r="H1592" s="9">
        <f t="shared" si="241"/>
        <v>1418238282.6000001</v>
      </c>
      <c r="I1592" s="9">
        <f t="shared" si="244"/>
        <v>17879077595.450001</v>
      </c>
      <c r="J1592" s="9">
        <f t="shared" si="245"/>
        <v>7053725</v>
      </c>
      <c r="K1592" s="21">
        <f t="shared" si="246"/>
        <v>2534.7001187953883</v>
      </c>
      <c r="L1592" s="4" t="str">
        <f t="shared" si="242"/>
        <v>BUY</v>
      </c>
      <c r="M1592" s="4">
        <f t="shared" si="247"/>
        <v>0</v>
      </c>
      <c r="N1592" s="4">
        <f t="shared" si="243"/>
        <v>1</v>
      </c>
      <c r="O1592" s="4">
        <f t="shared" si="248"/>
        <v>2548.6999999999998</v>
      </c>
      <c r="P1592" s="4">
        <f t="shared" si="249"/>
        <v>0</v>
      </c>
    </row>
    <row r="1593" spans="1:16" x14ac:dyDescent="0.25">
      <c r="A1593" s="1">
        <v>43507</v>
      </c>
      <c r="B1593">
        <v>2583</v>
      </c>
      <c r="C1593">
        <v>2641.95</v>
      </c>
      <c r="D1593">
        <v>2582</v>
      </c>
      <c r="E1593" s="7">
        <v>2636.4</v>
      </c>
      <c r="F1593">
        <v>674732</v>
      </c>
      <c r="G1593" s="8">
        <f t="shared" si="240"/>
        <v>2620.1166666666668</v>
      </c>
      <c r="H1593" s="9">
        <f t="shared" si="241"/>
        <v>1767876558.7333333</v>
      </c>
      <c r="I1593" s="9">
        <f t="shared" si="244"/>
        <v>18231898191.733334</v>
      </c>
      <c r="J1593" s="9">
        <f t="shared" si="245"/>
        <v>7172694</v>
      </c>
      <c r="K1593" s="21">
        <f t="shared" si="246"/>
        <v>2541.8480408802234</v>
      </c>
      <c r="L1593" s="4" t="str">
        <f t="shared" si="242"/>
        <v>BUY</v>
      </c>
      <c r="M1593" s="4">
        <f t="shared" si="247"/>
        <v>0</v>
      </c>
      <c r="N1593" s="4">
        <f t="shared" si="243"/>
        <v>1</v>
      </c>
      <c r="O1593" s="4">
        <f t="shared" si="248"/>
        <v>2548.6999999999998</v>
      </c>
      <c r="P1593" s="4">
        <f t="shared" si="249"/>
        <v>0</v>
      </c>
    </row>
    <row r="1594" spans="1:16" x14ac:dyDescent="0.25">
      <c r="A1594" s="1">
        <v>43508</v>
      </c>
      <c r="B1594">
        <v>2640</v>
      </c>
      <c r="C1594">
        <v>2647</v>
      </c>
      <c r="D1594">
        <v>2562</v>
      </c>
      <c r="E1594" s="7">
        <v>2569.4</v>
      </c>
      <c r="F1594">
        <v>1861304</v>
      </c>
      <c r="G1594" s="8">
        <f t="shared" si="240"/>
        <v>2592.7999999999997</v>
      </c>
      <c r="H1594" s="9">
        <f t="shared" si="241"/>
        <v>4825989011.1999998</v>
      </c>
      <c r="I1594" s="9">
        <f t="shared" si="244"/>
        <v>20799520171.583332</v>
      </c>
      <c r="J1594" s="9">
        <f t="shared" si="245"/>
        <v>8155649</v>
      </c>
      <c r="K1594" s="21">
        <f t="shared" si="246"/>
        <v>2550.3206638225029</v>
      </c>
      <c r="L1594" s="4" t="str">
        <f t="shared" si="242"/>
        <v>BUY</v>
      </c>
      <c r="M1594" s="4">
        <f t="shared" si="247"/>
        <v>0</v>
      </c>
      <c r="N1594" s="4">
        <f t="shared" si="243"/>
        <v>1</v>
      </c>
      <c r="O1594" s="4">
        <f t="shared" si="248"/>
        <v>2548.6999999999998</v>
      </c>
      <c r="P1594" s="4">
        <f t="shared" si="249"/>
        <v>0</v>
      </c>
    </row>
    <row r="1595" spans="1:16" x14ac:dyDescent="0.25">
      <c r="A1595" s="1">
        <v>43509</v>
      </c>
      <c r="B1595">
        <v>2571.1999999999998</v>
      </c>
      <c r="C1595">
        <v>2645</v>
      </c>
      <c r="D1595">
        <v>2571</v>
      </c>
      <c r="E1595" s="7">
        <v>2633.55</v>
      </c>
      <c r="F1595">
        <v>955971</v>
      </c>
      <c r="G1595" s="8">
        <f t="shared" si="240"/>
        <v>2616.5166666666669</v>
      </c>
      <c r="H1595" s="9">
        <f t="shared" si="241"/>
        <v>2501314054.3500004</v>
      </c>
      <c r="I1595" s="9">
        <f t="shared" si="244"/>
        <v>21389141589.26667</v>
      </c>
      <c r="J1595" s="9">
        <f t="shared" si="245"/>
        <v>8361250</v>
      </c>
      <c r="K1595" s="21">
        <f t="shared" si="246"/>
        <v>2558.1272643763396</v>
      </c>
      <c r="L1595" s="4" t="str">
        <f t="shared" si="242"/>
        <v>BUY</v>
      </c>
      <c r="M1595" s="4">
        <f t="shared" si="247"/>
        <v>0</v>
      </c>
      <c r="N1595" s="4">
        <f t="shared" si="243"/>
        <v>1</v>
      </c>
      <c r="O1595" s="4">
        <f t="shared" si="248"/>
        <v>2548.6999999999998</v>
      </c>
      <c r="P1595" s="4">
        <f t="shared" si="249"/>
        <v>0</v>
      </c>
    </row>
    <row r="1596" spans="1:16" x14ac:dyDescent="0.25">
      <c r="A1596" s="1">
        <v>43510</v>
      </c>
      <c r="B1596">
        <v>2600</v>
      </c>
      <c r="C1596">
        <v>2654.3</v>
      </c>
      <c r="D1596">
        <v>2600</v>
      </c>
      <c r="E1596" s="7">
        <v>2650.15</v>
      </c>
      <c r="F1596">
        <v>704378</v>
      </c>
      <c r="G1596" s="8">
        <f t="shared" si="240"/>
        <v>2634.8166666666671</v>
      </c>
      <c r="H1596" s="9">
        <f t="shared" si="241"/>
        <v>1855906894.0333335</v>
      </c>
      <c r="I1596" s="9">
        <f t="shared" si="244"/>
        <v>21921791950.699997</v>
      </c>
      <c r="J1596" s="9">
        <f t="shared" si="245"/>
        <v>8546232</v>
      </c>
      <c r="K1596" s="21">
        <f t="shared" si="246"/>
        <v>2565.0827113867254</v>
      </c>
      <c r="L1596" s="4" t="str">
        <f t="shared" si="242"/>
        <v>BUY</v>
      </c>
      <c r="M1596" s="4">
        <f t="shared" si="247"/>
        <v>0</v>
      </c>
      <c r="N1596" s="4">
        <f t="shared" si="243"/>
        <v>1</v>
      </c>
      <c r="O1596" s="4">
        <f t="shared" si="248"/>
        <v>2548.6999999999998</v>
      </c>
      <c r="P1596" s="4">
        <f t="shared" si="249"/>
        <v>0</v>
      </c>
    </row>
    <row r="1597" spans="1:16" x14ac:dyDescent="0.25">
      <c r="A1597" s="1">
        <v>43511</v>
      </c>
      <c r="B1597">
        <v>2651.4</v>
      </c>
      <c r="C1597">
        <v>2658</v>
      </c>
      <c r="D1597">
        <v>2620.5</v>
      </c>
      <c r="E1597" s="7">
        <v>2629.55</v>
      </c>
      <c r="F1597">
        <v>777461</v>
      </c>
      <c r="G1597" s="8">
        <f t="shared" si="240"/>
        <v>2636.0166666666669</v>
      </c>
      <c r="H1597" s="9">
        <f t="shared" si="241"/>
        <v>2049400153.6833334</v>
      </c>
      <c r="I1597" s="9">
        <f t="shared" si="244"/>
        <v>22408357065.683334</v>
      </c>
      <c r="J1597" s="9">
        <f t="shared" si="245"/>
        <v>8708234</v>
      </c>
      <c r="K1597" s="21">
        <f t="shared" si="246"/>
        <v>2573.2378190208638</v>
      </c>
      <c r="L1597" s="4" t="str">
        <f t="shared" si="242"/>
        <v>BUY</v>
      </c>
      <c r="M1597" s="4">
        <f t="shared" si="247"/>
        <v>0</v>
      </c>
      <c r="N1597" s="4">
        <f t="shared" si="243"/>
        <v>1</v>
      </c>
      <c r="O1597" s="4">
        <f t="shared" si="248"/>
        <v>2548.6999999999998</v>
      </c>
      <c r="P1597" s="4">
        <f t="shared" si="249"/>
        <v>0</v>
      </c>
    </row>
    <row r="1598" spans="1:16" x14ac:dyDescent="0.25">
      <c r="A1598" s="1">
        <v>43514</v>
      </c>
      <c r="B1598">
        <v>2620.5</v>
      </c>
      <c r="C1598">
        <v>2639</v>
      </c>
      <c r="D1598">
        <v>2603.1999999999998</v>
      </c>
      <c r="E1598" s="7">
        <v>2612.5</v>
      </c>
      <c r="F1598">
        <v>661013</v>
      </c>
      <c r="G1598" s="8">
        <f t="shared" si="240"/>
        <v>2618.2333333333331</v>
      </c>
      <c r="H1598" s="9">
        <f t="shared" si="241"/>
        <v>1730686270.3666666</v>
      </c>
      <c r="I1598" s="9">
        <f t="shared" si="244"/>
        <v>22218289264.25</v>
      </c>
      <c r="J1598" s="9">
        <f t="shared" si="245"/>
        <v>8602739</v>
      </c>
      <c r="K1598" s="21">
        <f t="shared" si="246"/>
        <v>2582.6994477282178</v>
      </c>
      <c r="L1598" s="4" t="str">
        <f t="shared" si="242"/>
        <v>BUY</v>
      </c>
      <c r="M1598" s="4">
        <f t="shared" si="247"/>
        <v>0</v>
      </c>
      <c r="N1598" s="4">
        <f t="shared" si="243"/>
        <v>1</v>
      </c>
      <c r="O1598" s="4">
        <f t="shared" si="248"/>
        <v>2548.6999999999998</v>
      </c>
      <c r="P1598" s="4">
        <f t="shared" si="249"/>
        <v>0</v>
      </c>
    </row>
    <row r="1599" spans="1:16" x14ac:dyDescent="0.25">
      <c r="A1599" s="1">
        <v>43515</v>
      </c>
      <c r="B1599">
        <v>2614</v>
      </c>
      <c r="C1599">
        <v>2639</v>
      </c>
      <c r="D1599">
        <v>2613</v>
      </c>
      <c r="E1599" s="7">
        <v>2631.15</v>
      </c>
      <c r="F1599">
        <v>601097</v>
      </c>
      <c r="G1599" s="8">
        <f t="shared" si="240"/>
        <v>2627.7166666666667</v>
      </c>
      <c r="H1599" s="9">
        <f t="shared" si="241"/>
        <v>1579512605.1833334</v>
      </c>
      <c r="I1599" s="9">
        <f t="shared" si="244"/>
        <v>22142703018.283333</v>
      </c>
      <c r="J1599" s="9">
        <f t="shared" si="245"/>
        <v>8534257</v>
      </c>
      <c r="K1599" s="21">
        <f t="shared" si="246"/>
        <v>2594.5671683291625</v>
      </c>
      <c r="L1599" s="4" t="str">
        <f t="shared" si="242"/>
        <v>BUY</v>
      </c>
      <c r="M1599" s="4">
        <f t="shared" si="247"/>
        <v>0</v>
      </c>
      <c r="N1599" s="4">
        <f t="shared" si="243"/>
        <v>1</v>
      </c>
      <c r="O1599" s="4">
        <f t="shared" si="248"/>
        <v>2548.6999999999998</v>
      </c>
      <c r="P1599" s="4">
        <f t="shared" si="249"/>
        <v>0</v>
      </c>
    </row>
    <row r="1600" spans="1:16" x14ac:dyDescent="0.25">
      <c r="A1600" s="1">
        <v>43516</v>
      </c>
      <c r="B1600">
        <v>2617.25</v>
      </c>
      <c r="C1600">
        <v>2628.55</v>
      </c>
      <c r="D1600">
        <v>2605.5</v>
      </c>
      <c r="E1600" s="7">
        <v>2613.1</v>
      </c>
      <c r="F1600">
        <v>469133</v>
      </c>
      <c r="G1600" s="8">
        <f t="shared" si="240"/>
        <v>2615.7166666666667</v>
      </c>
      <c r="H1600" s="9">
        <f t="shared" si="241"/>
        <v>1227119006.9833333</v>
      </c>
      <c r="I1600" s="9">
        <f t="shared" si="244"/>
        <v>21423546760.066666</v>
      </c>
      <c r="J1600" s="9">
        <f t="shared" si="245"/>
        <v>8229051</v>
      </c>
      <c r="K1600" s="21">
        <f t="shared" si="246"/>
        <v>2603.4043002123412</v>
      </c>
      <c r="L1600" s="4" t="str">
        <f t="shared" si="242"/>
        <v>BUY</v>
      </c>
      <c r="M1600" s="4">
        <f t="shared" si="247"/>
        <v>0</v>
      </c>
      <c r="N1600" s="4">
        <f t="shared" si="243"/>
        <v>1</v>
      </c>
      <c r="O1600" s="4">
        <f t="shared" si="248"/>
        <v>2548.6999999999998</v>
      </c>
      <c r="P1600" s="4">
        <f t="shared" si="249"/>
        <v>0</v>
      </c>
    </row>
    <row r="1601" spans="1:16" x14ac:dyDescent="0.25">
      <c r="A1601" s="1">
        <v>43517</v>
      </c>
      <c r="B1601">
        <v>2622.4</v>
      </c>
      <c r="C1601">
        <v>2622.4</v>
      </c>
      <c r="D1601">
        <v>2555.1999999999998</v>
      </c>
      <c r="E1601" s="7">
        <v>2577.25</v>
      </c>
      <c r="F1601">
        <v>781069</v>
      </c>
      <c r="G1601" s="8">
        <f t="shared" si="240"/>
        <v>2584.9500000000003</v>
      </c>
      <c r="H1601" s="9">
        <f t="shared" si="241"/>
        <v>2019024311.5500002</v>
      </c>
      <c r="I1601" s="9">
        <f t="shared" si="244"/>
        <v>20975067148.683331</v>
      </c>
      <c r="J1601" s="9">
        <f t="shared" si="245"/>
        <v>8038496</v>
      </c>
      <c r="K1601" s="21">
        <f t="shared" si="246"/>
        <v>2609.3273105669682</v>
      </c>
      <c r="L1601" s="4" t="str">
        <f t="shared" si="242"/>
        <v>SELL</v>
      </c>
      <c r="M1601" s="4" t="str">
        <f t="shared" si="247"/>
        <v>SELL</v>
      </c>
      <c r="N1601" s="4">
        <f t="shared" si="243"/>
        <v>-1</v>
      </c>
      <c r="O1601" s="4">
        <f t="shared" si="248"/>
        <v>2577.25</v>
      </c>
      <c r="P1601" s="4">
        <f t="shared" si="249"/>
        <v>1.1201789147408554E-2</v>
      </c>
    </row>
    <row r="1602" spans="1:16" x14ac:dyDescent="0.25">
      <c r="A1602" s="1">
        <v>43518</v>
      </c>
      <c r="B1602">
        <v>2566</v>
      </c>
      <c r="C1602">
        <v>2603.25</v>
      </c>
      <c r="D1602">
        <v>2553.1999999999998</v>
      </c>
      <c r="E1602" s="7">
        <v>2555.75</v>
      </c>
      <c r="F1602">
        <v>698416</v>
      </c>
      <c r="G1602" s="8">
        <f t="shared" ref="G1602:G1665" si="250">AVERAGE(C1602:E1602)</f>
        <v>2570.7333333333331</v>
      </c>
      <c r="H1602" s="9">
        <f t="shared" si="241"/>
        <v>1795441291.7333331</v>
      </c>
      <c r="I1602" s="9">
        <f t="shared" si="244"/>
        <v>21352270157.816666</v>
      </c>
      <c r="J1602" s="9">
        <f t="shared" si="245"/>
        <v>8184574</v>
      </c>
      <c r="K1602" s="21">
        <f t="shared" si="246"/>
        <v>2608.8431918162955</v>
      </c>
      <c r="L1602" s="4" t="str">
        <f t="shared" si="242"/>
        <v>SELL</v>
      </c>
      <c r="M1602" s="4">
        <f t="shared" si="247"/>
        <v>0</v>
      </c>
      <c r="N1602" s="4">
        <f t="shared" si="243"/>
        <v>-1</v>
      </c>
      <c r="O1602" s="4">
        <f t="shared" si="248"/>
        <v>2577.25</v>
      </c>
      <c r="P1602" s="4">
        <f t="shared" si="249"/>
        <v>0</v>
      </c>
    </row>
    <row r="1603" spans="1:16" x14ac:dyDescent="0.25">
      <c r="A1603" s="1">
        <v>43521</v>
      </c>
      <c r="B1603">
        <v>2540</v>
      </c>
      <c r="C1603">
        <v>2553.35</v>
      </c>
      <c r="D1603">
        <v>2518</v>
      </c>
      <c r="E1603" s="7">
        <v>2547</v>
      </c>
      <c r="F1603">
        <v>514989</v>
      </c>
      <c r="G1603" s="8">
        <f t="shared" si="250"/>
        <v>2539.4500000000003</v>
      </c>
      <c r="H1603" s="9">
        <f t="shared" ref="H1603:H1666" si="251">G1603*F1603</f>
        <v>1307788816.0500002</v>
      </c>
      <c r="I1603" s="9">
        <f t="shared" si="244"/>
        <v>20892182415.133331</v>
      </c>
      <c r="J1603" s="9">
        <f t="shared" si="245"/>
        <v>8024831</v>
      </c>
      <c r="K1603" s="21">
        <f t="shared" si="246"/>
        <v>2603.4420432197676</v>
      </c>
      <c r="L1603" s="4" t="str">
        <f t="shared" si="242"/>
        <v>SELL</v>
      </c>
      <c r="M1603" s="4">
        <f t="shared" si="247"/>
        <v>0</v>
      </c>
      <c r="N1603" s="4">
        <f t="shared" si="243"/>
        <v>-1</v>
      </c>
      <c r="O1603" s="4">
        <f t="shared" si="248"/>
        <v>2577.25</v>
      </c>
      <c r="P1603" s="4">
        <f t="shared" si="249"/>
        <v>0</v>
      </c>
    </row>
    <row r="1604" spans="1:16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 s="7">
        <v>2534.85</v>
      </c>
      <c r="F1604">
        <v>488785</v>
      </c>
      <c r="G1604" s="8">
        <f t="shared" si="250"/>
        <v>2537.35</v>
      </c>
      <c r="H1604" s="9">
        <f t="shared" si="251"/>
        <v>1240218619.75</v>
      </c>
      <c r="I1604" s="9">
        <f t="shared" si="244"/>
        <v>17306412023.683334</v>
      </c>
      <c r="J1604" s="9">
        <f t="shared" si="245"/>
        <v>6652312</v>
      </c>
      <c r="K1604" s="21">
        <f t="shared" si="246"/>
        <v>2601.5634900592959</v>
      </c>
      <c r="L1604" s="4" t="str">
        <f t="shared" si="242"/>
        <v>SELL</v>
      </c>
      <c r="M1604" s="4">
        <f t="shared" si="247"/>
        <v>0</v>
      </c>
      <c r="N1604" s="4">
        <f t="shared" si="243"/>
        <v>-1</v>
      </c>
      <c r="O1604" s="4">
        <f t="shared" si="248"/>
        <v>2577.25</v>
      </c>
      <c r="P1604" s="4">
        <f t="shared" si="249"/>
        <v>0</v>
      </c>
    </row>
    <row r="1605" spans="1:16" x14ac:dyDescent="0.25">
      <c r="A1605" s="1">
        <v>43523</v>
      </c>
      <c r="B1605">
        <v>2530</v>
      </c>
      <c r="C1605">
        <v>2564.9</v>
      </c>
      <c r="D1605">
        <v>2522</v>
      </c>
      <c r="E1605" s="7">
        <v>2556.85</v>
      </c>
      <c r="F1605">
        <v>635422</v>
      </c>
      <c r="G1605" s="8">
        <f t="shared" si="250"/>
        <v>2547.9166666666665</v>
      </c>
      <c r="H1605" s="9">
        <f t="shared" si="251"/>
        <v>1619002304.1666665</v>
      </c>
      <c r="I1605" s="9">
        <f t="shared" si="244"/>
        <v>16424100273.500002</v>
      </c>
      <c r="J1605" s="9">
        <f t="shared" si="245"/>
        <v>6331763</v>
      </c>
      <c r="K1605" s="21">
        <f t="shared" si="246"/>
        <v>2593.9221467228008</v>
      </c>
      <c r="L1605" s="4" t="str">
        <f t="shared" si="242"/>
        <v>SELL</v>
      </c>
      <c r="M1605" s="4">
        <f t="shared" si="247"/>
        <v>0</v>
      </c>
      <c r="N1605" s="4">
        <f t="shared" si="243"/>
        <v>-1</v>
      </c>
      <c r="O1605" s="4">
        <f t="shared" si="248"/>
        <v>2577.25</v>
      </c>
      <c r="P1605" s="4">
        <f t="shared" si="249"/>
        <v>0</v>
      </c>
    </row>
    <row r="1606" spans="1:16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 s="7">
        <v>2558.3000000000002</v>
      </c>
      <c r="F1606">
        <v>572535</v>
      </c>
      <c r="G1606" s="8">
        <f t="shared" si="250"/>
        <v>2546.4833333333331</v>
      </c>
      <c r="H1606" s="9">
        <f t="shared" si="251"/>
        <v>1457950835.2499998</v>
      </c>
      <c r="I1606" s="9">
        <f t="shared" si="244"/>
        <v>16026144214.716665</v>
      </c>
      <c r="J1606" s="9">
        <f t="shared" si="245"/>
        <v>6199920</v>
      </c>
      <c r="K1606" s="21">
        <f t="shared" si="246"/>
        <v>2584.8953236036377</v>
      </c>
      <c r="L1606" s="4" t="str">
        <f t="shared" si="242"/>
        <v>SELL</v>
      </c>
      <c r="M1606" s="4">
        <f t="shared" si="247"/>
        <v>0</v>
      </c>
      <c r="N1606" s="4">
        <f t="shared" si="243"/>
        <v>-1</v>
      </c>
      <c r="O1606" s="4">
        <f t="shared" si="248"/>
        <v>2577.25</v>
      </c>
      <c r="P1606" s="4">
        <f t="shared" si="249"/>
        <v>0</v>
      </c>
    </row>
    <row r="1607" spans="1:16" x14ac:dyDescent="0.25">
      <c r="A1607" s="1">
        <v>43525</v>
      </c>
      <c r="B1607">
        <v>2559</v>
      </c>
      <c r="C1607">
        <v>2610</v>
      </c>
      <c r="D1607">
        <v>2559</v>
      </c>
      <c r="E1607" s="7">
        <v>2602.6</v>
      </c>
      <c r="F1607">
        <v>939494</v>
      </c>
      <c r="G1607" s="8">
        <f t="shared" si="250"/>
        <v>2590.5333333333333</v>
      </c>
      <c r="H1607" s="9">
        <f t="shared" si="251"/>
        <v>2433790523.4666667</v>
      </c>
      <c r="I1607" s="9">
        <f t="shared" si="244"/>
        <v>16410534584.500002</v>
      </c>
      <c r="J1607" s="9">
        <f t="shared" si="245"/>
        <v>6361953</v>
      </c>
      <c r="K1607" s="21">
        <f t="shared" si="246"/>
        <v>2579.480638178245</v>
      </c>
      <c r="L1607" s="4" t="str">
        <f t="shared" si="242"/>
        <v>BUY</v>
      </c>
      <c r="M1607" s="4" t="str">
        <f t="shared" si="247"/>
        <v>BUY</v>
      </c>
      <c r="N1607" s="4">
        <f t="shared" si="243"/>
        <v>1</v>
      </c>
      <c r="O1607" s="4">
        <f t="shared" si="248"/>
        <v>2602.6</v>
      </c>
      <c r="P1607" s="4">
        <f t="shared" si="249"/>
        <v>-9.8360655737704562E-3</v>
      </c>
    </row>
    <row r="1608" spans="1:16" x14ac:dyDescent="0.25">
      <c r="A1608" s="1">
        <v>43528</v>
      </c>
      <c r="B1608">
        <v>2602.6</v>
      </c>
      <c r="C1608">
        <v>2668</v>
      </c>
      <c r="D1608">
        <v>2591.8000000000002</v>
      </c>
      <c r="E1608" s="7">
        <v>2659.3</v>
      </c>
      <c r="F1608">
        <v>936419</v>
      </c>
      <c r="G1608" s="8">
        <f t="shared" si="250"/>
        <v>2639.7000000000003</v>
      </c>
      <c r="H1608" s="9">
        <f t="shared" si="251"/>
        <v>2471865234.3000002</v>
      </c>
      <c r="I1608" s="9">
        <f t="shared" si="244"/>
        <v>17151713548.433334</v>
      </c>
      <c r="J1608" s="9">
        <f t="shared" si="245"/>
        <v>6637359</v>
      </c>
      <c r="K1608" s="21">
        <f t="shared" si="246"/>
        <v>2584.1171990897788</v>
      </c>
      <c r="L1608" s="4" t="str">
        <f t="shared" si="242"/>
        <v>BUY</v>
      </c>
      <c r="M1608" s="4">
        <f t="shared" si="247"/>
        <v>0</v>
      </c>
      <c r="N1608" s="4">
        <f t="shared" si="243"/>
        <v>1</v>
      </c>
      <c r="O1608" s="4">
        <f t="shared" si="248"/>
        <v>2602.6</v>
      </c>
      <c r="P1608" s="4">
        <f t="shared" si="249"/>
        <v>0</v>
      </c>
    </row>
    <row r="1609" spans="1:16" x14ac:dyDescent="0.25">
      <c r="A1609" s="1">
        <v>43529</v>
      </c>
      <c r="B1609">
        <v>2663.5</v>
      </c>
      <c r="C1609">
        <v>2665</v>
      </c>
      <c r="D1609">
        <v>2641.4</v>
      </c>
      <c r="E1609" s="7">
        <v>2651.2</v>
      </c>
      <c r="F1609">
        <v>513845</v>
      </c>
      <c r="G1609" s="8">
        <f t="shared" si="250"/>
        <v>2652.5333333333333</v>
      </c>
      <c r="H1609" s="9">
        <f t="shared" si="251"/>
        <v>1362990990.6666667</v>
      </c>
      <c r="I1609" s="9">
        <f t="shared" si="244"/>
        <v>16935191933.916666</v>
      </c>
      <c r="J1609" s="9">
        <f t="shared" si="245"/>
        <v>6550107</v>
      </c>
      <c r="K1609" s="21">
        <f t="shared" si="246"/>
        <v>2585.4832499555605</v>
      </c>
      <c r="L1609" s="4" t="str">
        <f t="shared" si="242"/>
        <v>BUY</v>
      </c>
      <c r="M1609" s="4">
        <f t="shared" si="247"/>
        <v>0</v>
      </c>
      <c r="N1609" s="4">
        <f t="shared" si="243"/>
        <v>1</v>
      </c>
      <c r="O1609" s="4">
        <f t="shared" si="248"/>
        <v>2602.6</v>
      </c>
      <c r="P1609" s="4">
        <f t="shared" si="249"/>
        <v>0</v>
      </c>
    </row>
    <row r="1610" spans="1:16" x14ac:dyDescent="0.25">
      <c r="A1610" s="1">
        <v>43530</v>
      </c>
      <c r="B1610">
        <v>2650</v>
      </c>
      <c r="C1610">
        <v>2677.7</v>
      </c>
      <c r="D1610">
        <v>2631.75</v>
      </c>
      <c r="E1610" s="7">
        <v>2667.65</v>
      </c>
      <c r="F1610">
        <v>880856</v>
      </c>
      <c r="G1610" s="8">
        <f t="shared" si="250"/>
        <v>2659.0333333333333</v>
      </c>
      <c r="H1610" s="9">
        <f t="shared" si="251"/>
        <v>2342225465.8666668</v>
      </c>
      <c r="I1610" s="9">
        <f t="shared" si="244"/>
        <v>18050298392.799999</v>
      </c>
      <c r="J1610" s="9">
        <f t="shared" si="245"/>
        <v>6961830</v>
      </c>
      <c r="K1610" s="21">
        <f t="shared" si="246"/>
        <v>2592.7519621708657</v>
      </c>
      <c r="L1610" s="4" t="str">
        <f t="shared" si="242"/>
        <v>BUY</v>
      </c>
      <c r="M1610" s="4">
        <f t="shared" si="247"/>
        <v>0</v>
      </c>
      <c r="N1610" s="4">
        <f t="shared" si="243"/>
        <v>1</v>
      </c>
      <c r="O1610" s="4">
        <f t="shared" si="248"/>
        <v>2602.6</v>
      </c>
      <c r="P1610" s="4">
        <f t="shared" si="249"/>
        <v>0</v>
      </c>
    </row>
    <row r="1611" spans="1:16" x14ac:dyDescent="0.25">
      <c r="A1611" s="1">
        <v>43531</v>
      </c>
      <c r="B1611">
        <v>2655</v>
      </c>
      <c r="C1611">
        <v>2659.5</v>
      </c>
      <c r="D1611">
        <v>2625.3</v>
      </c>
      <c r="E1611" s="7">
        <v>2645.35</v>
      </c>
      <c r="F1611">
        <v>698507</v>
      </c>
      <c r="G1611" s="8">
        <f t="shared" si="250"/>
        <v>2643.3833333333332</v>
      </c>
      <c r="H1611" s="9">
        <f t="shared" si="251"/>
        <v>1846421762.0166667</v>
      </c>
      <c r="I1611" s="9">
        <f t="shared" si="244"/>
        <v>17877695843.266666</v>
      </c>
      <c r="J1611" s="9">
        <f t="shared" si="245"/>
        <v>6879268</v>
      </c>
      <c r="K1611" s="21">
        <f t="shared" si="246"/>
        <v>2598.778800777447</v>
      </c>
      <c r="L1611" s="4" t="str">
        <f t="shared" ref="L1611:L1674" si="252">IF(E1611&gt;K1611,"BUY",IF(E1611&lt;K1611,"SELL",0))</f>
        <v>BUY</v>
      </c>
      <c r="M1611" s="4">
        <f t="shared" si="247"/>
        <v>0</v>
      </c>
      <c r="N1611" s="4">
        <f t="shared" ref="N1611:N1674" si="253">IF(M1611="BUY",1,IF(M1611="SELL",-1,N1610))</f>
        <v>1</v>
      </c>
      <c r="O1611" s="4">
        <f t="shared" si="248"/>
        <v>2602.6</v>
      </c>
      <c r="P1611" s="4">
        <f t="shared" si="249"/>
        <v>0</v>
      </c>
    </row>
    <row r="1612" spans="1:16" x14ac:dyDescent="0.25">
      <c r="A1612" s="1">
        <v>43532</v>
      </c>
      <c r="B1612">
        <v>2565.15</v>
      </c>
      <c r="C1612">
        <v>2593.1999999999998</v>
      </c>
      <c r="D1612">
        <v>2514.15</v>
      </c>
      <c r="E1612" s="7">
        <v>2573.9499999999998</v>
      </c>
      <c r="F1612">
        <v>1883293</v>
      </c>
      <c r="G1612" s="8">
        <f t="shared" si="250"/>
        <v>2560.4333333333334</v>
      </c>
      <c r="H1612" s="9">
        <f t="shared" si="251"/>
        <v>4822046173.6333332</v>
      </c>
      <c r="I1612" s="9">
        <f t="shared" ref="I1612:I1675" si="254">SUM(H1603:H1612)</f>
        <v>20904300725.166664</v>
      </c>
      <c r="J1612" s="9">
        <f t="shared" ref="J1612:J1675" si="255">SUM(F1603:F1612)</f>
        <v>8064145</v>
      </c>
      <c r="K1612" s="21">
        <f t="shared" ref="K1612:K1675" si="256">I1612/J1612</f>
        <v>2592.252585384646</v>
      </c>
      <c r="L1612" s="4" t="str">
        <f t="shared" si="252"/>
        <v>SELL</v>
      </c>
      <c r="M1612" s="4" t="str">
        <f t="shared" ref="M1612:M1675" si="257">IF(L1612&lt;&gt;L1611,L1612,0)</f>
        <v>SELL</v>
      </c>
      <c r="N1612" s="4">
        <f t="shared" si="253"/>
        <v>-1</v>
      </c>
      <c r="O1612" s="4">
        <f t="shared" ref="O1612:O1675" si="258">IF(M1612&lt;&gt;0,E1612,O1611)</f>
        <v>2573.9499999999998</v>
      </c>
      <c r="P1612" s="4">
        <f t="shared" ref="P1612:P1675" si="259">IF(M1612="BUY",(O1611-O1612)/O1611,IF(M1612="SELL",(O1612-O1611)/O1611,0))</f>
        <v>-1.100822254668412E-2</v>
      </c>
    </row>
    <row r="1613" spans="1:16" x14ac:dyDescent="0.25">
      <c r="A1613" s="1">
        <v>43535</v>
      </c>
      <c r="B1613">
        <v>2547</v>
      </c>
      <c r="C1613">
        <v>2547</v>
      </c>
      <c r="D1613">
        <v>2482.65</v>
      </c>
      <c r="E1613" s="7">
        <v>2495.85</v>
      </c>
      <c r="F1613">
        <v>2136283</v>
      </c>
      <c r="G1613" s="8">
        <f t="shared" si="250"/>
        <v>2508.5</v>
      </c>
      <c r="H1613" s="9">
        <f t="shared" si="251"/>
        <v>5358865905.5</v>
      </c>
      <c r="I1613" s="9">
        <f t="shared" si="254"/>
        <v>24955377814.616669</v>
      </c>
      <c r="J1613" s="9">
        <f t="shared" si="255"/>
        <v>9685439</v>
      </c>
      <c r="K1613" s="21">
        <f t="shared" si="256"/>
        <v>2576.5871649820592</v>
      </c>
      <c r="L1613" s="4" t="str">
        <f t="shared" si="252"/>
        <v>SELL</v>
      </c>
      <c r="M1613" s="4">
        <f t="shared" si="257"/>
        <v>0</v>
      </c>
      <c r="N1613" s="4">
        <f t="shared" si="253"/>
        <v>-1</v>
      </c>
      <c r="O1613" s="4">
        <f t="shared" si="258"/>
        <v>2573.9499999999998</v>
      </c>
      <c r="P1613" s="4">
        <f t="shared" si="259"/>
        <v>0</v>
      </c>
    </row>
    <row r="1614" spans="1:16" x14ac:dyDescent="0.25">
      <c r="A1614" s="1">
        <v>43536</v>
      </c>
      <c r="B1614">
        <v>2495.85</v>
      </c>
      <c r="C1614">
        <v>2502.9</v>
      </c>
      <c r="D1614">
        <v>2458.4</v>
      </c>
      <c r="E1614" s="7">
        <v>2463.9499999999998</v>
      </c>
      <c r="F1614">
        <v>2249762</v>
      </c>
      <c r="G1614" s="8">
        <f t="shared" si="250"/>
        <v>2475.0833333333335</v>
      </c>
      <c r="H1614" s="9">
        <f t="shared" si="251"/>
        <v>5568348430.166667</v>
      </c>
      <c r="I1614" s="9">
        <f t="shared" si="254"/>
        <v>29283507625.033337</v>
      </c>
      <c r="J1614" s="9">
        <f t="shared" si="255"/>
        <v>11446416</v>
      </c>
      <c r="K1614" s="21">
        <f t="shared" si="256"/>
        <v>2558.3123682586179</v>
      </c>
      <c r="L1614" s="4" t="str">
        <f t="shared" si="252"/>
        <v>SELL</v>
      </c>
      <c r="M1614" s="4">
        <f t="shared" si="257"/>
        <v>0</v>
      </c>
      <c r="N1614" s="4">
        <f t="shared" si="253"/>
        <v>-1</v>
      </c>
      <c r="O1614" s="4">
        <f t="shared" si="258"/>
        <v>2573.9499999999998</v>
      </c>
      <c r="P1614" s="4">
        <f t="shared" si="259"/>
        <v>0</v>
      </c>
    </row>
    <row r="1615" spans="1:16" x14ac:dyDescent="0.25">
      <c r="A1615" s="1">
        <v>43537</v>
      </c>
      <c r="B1615">
        <v>2475</v>
      </c>
      <c r="C1615">
        <v>2512.5</v>
      </c>
      <c r="D1615">
        <v>2465.3000000000002</v>
      </c>
      <c r="E1615" s="7">
        <v>2502.9</v>
      </c>
      <c r="F1615">
        <v>1265632</v>
      </c>
      <c r="G1615" s="8">
        <f t="shared" si="250"/>
        <v>2493.5666666666671</v>
      </c>
      <c r="H1615" s="9">
        <f t="shared" si="251"/>
        <v>3155937767.4666672</v>
      </c>
      <c r="I1615" s="9">
        <f t="shared" si="254"/>
        <v>30820443088.333332</v>
      </c>
      <c r="J1615" s="9">
        <f t="shared" si="255"/>
        <v>12076626</v>
      </c>
      <c r="K1615" s="21">
        <f t="shared" si="256"/>
        <v>2552.0739889049582</v>
      </c>
      <c r="L1615" s="4" t="str">
        <f t="shared" si="252"/>
        <v>SELL</v>
      </c>
      <c r="M1615" s="4">
        <f t="shared" si="257"/>
        <v>0</v>
      </c>
      <c r="N1615" s="4">
        <f t="shared" si="253"/>
        <v>-1</v>
      </c>
      <c r="O1615" s="4">
        <f t="shared" si="258"/>
        <v>2573.9499999999998</v>
      </c>
      <c r="P1615" s="4">
        <f t="shared" si="259"/>
        <v>0</v>
      </c>
    </row>
    <row r="1616" spans="1:16" x14ac:dyDescent="0.25">
      <c r="A1616" s="1">
        <v>43538</v>
      </c>
      <c r="B1616">
        <v>2522</v>
      </c>
      <c r="C1616">
        <v>2562.9</v>
      </c>
      <c r="D1616">
        <v>2500.35</v>
      </c>
      <c r="E1616" s="7">
        <v>2553.1</v>
      </c>
      <c r="F1616">
        <v>2560906</v>
      </c>
      <c r="G1616" s="8">
        <f t="shared" si="250"/>
        <v>2538.7833333333333</v>
      </c>
      <c r="H1616" s="9">
        <f t="shared" si="251"/>
        <v>6501585471.0333328</v>
      </c>
      <c r="I1616" s="9">
        <f t="shared" si="254"/>
        <v>35864077724.116669</v>
      </c>
      <c r="J1616" s="9">
        <f t="shared" si="255"/>
        <v>14064997</v>
      </c>
      <c r="K1616" s="21">
        <f t="shared" si="256"/>
        <v>2549.8816476190268</v>
      </c>
      <c r="L1616" s="4" t="str">
        <f t="shared" si="252"/>
        <v>BUY</v>
      </c>
      <c r="M1616" s="4" t="str">
        <f t="shared" si="257"/>
        <v>BUY</v>
      </c>
      <c r="N1616" s="4">
        <f t="shared" si="253"/>
        <v>1</v>
      </c>
      <c r="O1616" s="4">
        <f t="shared" si="258"/>
        <v>2553.1</v>
      </c>
      <c r="P1616" s="4">
        <f t="shared" si="259"/>
        <v>8.1003904504749168E-3</v>
      </c>
    </row>
    <row r="1617" spans="1:16" x14ac:dyDescent="0.25">
      <c r="A1617" s="1">
        <v>43539</v>
      </c>
      <c r="B1617">
        <v>2562</v>
      </c>
      <c r="C1617">
        <v>2564.6</v>
      </c>
      <c r="D1617">
        <v>2494.35</v>
      </c>
      <c r="E1617" s="7">
        <v>2500.85</v>
      </c>
      <c r="F1617">
        <v>1098648</v>
      </c>
      <c r="G1617" s="8">
        <f t="shared" si="250"/>
        <v>2519.9333333333329</v>
      </c>
      <c r="H1617" s="9">
        <f t="shared" si="251"/>
        <v>2768519716.7999997</v>
      </c>
      <c r="I1617" s="9">
        <f t="shared" si="254"/>
        <v>36198806917.450005</v>
      </c>
      <c r="J1617" s="9">
        <f t="shared" si="255"/>
        <v>14224151</v>
      </c>
      <c r="K1617" s="21">
        <f t="shared" si="256"/>
        <v>2544.8834814429351</v>
      </c>
      <c r="L1617" s="4" t="str">
        <f t="shared" si="252"/>
        <v>SELL</v>
      </c>
      <c r="M1617" s="4" t="str">
        <f t="shared" si="257"/>
        <v>SELL</v>
      </c>
      <c r="N1617" s="4">
        <f t="shared" si="253"/>
        <v>-1</v>
      </c>
      <c r="O1617" s="4">
        <f t="shared" si="258"/>
        <v>2500.85</v>
      </c>
      <c r="P1617" s="4">
        <f t="shared" si="259"/>
        <v>-2.0465316673847479E-2</v>
      </c>
    </row>
    <row r="1618" spans="1:16" x14ac:dyDescent="0.25">
      <c r="A1618" s="1">
        <v>43542</v>
      </c>
      <c r="B1618">
        <v>2516</v>
      </c>
      <c r="C1618">
        <v>2525.85</v>
      </c>
      <c r="D1618">
        <v>2482</v>
      </c>
      <c r="E1618" s="7">
        <v>2494.1999999999998</v>
      </c>
      <c r="F1618">
        <v>941742</v>
      </c>
      <c r="G1618" s="8">
        <f t="shared" si="250"/>
        <v>2500.6833333333334</v>
      </c>
      <c r="H1618" s="9">
        <f t="shared" si="251"/>
        <v>2354998523.7000003</v>
      </c>
      <c r="I1618" s="9">
        <f t="shared" si="254"/>
        <v>36081940206.849998</v>
      </c>
      <c r="J1618" s="9">
        <f t="shared" si="255"/>
        <v>14229474</v>
      </c>
      <c r="K1618" s="21">
        <f t="shared" si="256"/>
        <v>2535.7184817126758</v>
      </c>
      <c r="L1618" s="4" t="str">
        <f t="shared" si="252"/>
        <v>SELL</v>
      </c>
      <c r="M1618" s="4">
        <f t="shared" si="257"/>
        <v>0</v>
      </c>
      <c r="N1618" s="4">
        <f t="shared" si="253"/>
        <v>-1</v>
      </c>
      <c r="O1618" s="4">
        <f t="shared" si="258"/>
        <v>2500.85</v>
      </c>
      <c r="P1618" s="4">
        <f t="shared" si="259"/>
        <v>0</v>
      </c>
    </row>
    <row r="1619" spans="1:16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 s="7">
        <v>2485.3000000000002</v>
      </c>
      <c r="F1619">
        <v>779874</v>
      </c>
      <c r="G1619" s="8">
        <f t="shared" si="250"/>
        <v>2486.5000000000005</v>
      </c>
      <c r="H1619" s="9">
        <f t="shared" si="251"/>
        <v>1939156701.0000002</v>
      </c>
      <c r="I1619" s="9">
        <f t="shared" si="254"/>
        <v>36658105917.183334</v>
      </c>
      <c r="J1619" s="9">
        <f t="shared" si="255"/>
        <v>14495503</v>
      </c>
      <c r="K1619" s="21">
        <f t="shared" si="256"/>
        <v>2528.9295526470059</v>
      </c>
      <c r="L1619" s="4" t="str">
        <f t="shared" si="252"/>
        <v>SELL</v>
      </c>
      <c r="M1619" s="4">
        <f t="shared" si="257"/>
        <v>0</v>
      </c>
      <c r="N1619" s="4">
        <f t="shared" si="253"/>
        <v>-1</v>
      </c>
      <c r="O1619" s="4">
        <f t="shared" si="258"/>
        <v>2500.85</v>
      </c>
      <c r="P1619" s="4">
        <f t="shared" si="259"/>
        <v>0</v>
      </c>
    </row>
    <row r="1620" spans="1:16" x14ac:dyDescent="0.25">
      <c r="A1620" s="1">
        <v>43544</v>
      </c>
      <c r="B1620">
        <v>2487.6999999999998</v>
      </c>
      <c r="C1620">
        <v>2491.85</v>
      </c>
      <c r="D1620">
        <v>2425</v>
      </c>
      <c r="E1620" s="7">
        <v>2429.8000000000002</v>
      </c>
      <c r="F1620">
        <v>1658400</v>
      </c>
      <c r="G1620" s="8">
        <f t="shared" si="250"/>
        <v>2448.8833333333337</v>
      </c>
      <c r="H1620" s="9">
        <f t="shared" si="251"/>
        <v>4061228120.0000005</v>
      </c>
      <c r="I1620" s="9">
        <f t="shared" si="254"/>
        <v>38377108571.316666</v>
      </c>
      <c r="J1620" s="9">
        <f t="shared" si="255"/>
        <v>15273047</v>
      </c>
      <c r="K1620" s="21">
        <f t="shared" si="256"/>
        <v>2512.7342678456148</v>
      </c>
      <c r="L1620" s="4" t="str">
        <f t="shared" si="252"/>
        <v>SELL</v>
      </c>
      <c r="M1620" s="4">
        <f t="shared" si="257"/>
        <v>0</v>
      </c>
      <c r="N1620" s="4">
        <f t="shared" si="253"/>
        <v>-1</v>
      </c>
      <c r="O1620" s="4">
        <f t="shared" si="258"/>
        <v>2500.85</v>
      </c>
      <c r="P1620" s="4">
        <f t="shared" si="259"/>
        <v>0</v>
      </c>
    </row>
    <row r="1621" spans="1:16" x14ac:dyDescent="0.25">
      <c r="A1621" s="1">
        <v>43545</v>
      </c>
      <c r="B1621">
        <v>2435</v>
      </c>
      <c r="C1621">
        <v>2442.0500000000002</v>
      </c>
      <c r="D1621">
        <v>2403.5</v>
      </c>
      <c r="E1621" s="7">
        <v>2426.6</v>
      </c>
      <c r="F1621">
        <v>1228178</v>
      </c>
      <c r="G1621" s="8">
        <f t="shared" si="250"/>
        <v>2424.0499999999997</v>
      </c>
      <c r="H1621" s="9">
        <f t="shared" si="251"/>
        <v>2977164880.8999996</v>
      </c>
      <c r="I1621" s="9">
        <f t="shared" si="254"/>
        <v>39507851690.200005</v>
      </c>
      <c r="J1621" s="9">
        <f t="shared" si="255"/>
        <v>15802718</v>
      </c>
      <c r="K1621" s="21">
        <f t="shared" si="256"/>
        <v>2500.0668676236583</v>
      </c>
      <c r="L1621" s="4" t="str">
        <f t="shared" si="252"/>
        <v>SELL</v>
      </c>
      <c r="M1621" s="4">
        <f t="shared" si="257"/>
        <v>0</v>
      </c>
      <c r="N1621" s="4">
        <f t="shared" si="253"/>
        <v>-1</v>
      </c>
      <c r="O1621" s="4">
        <f t="shared" si="258"/>
        <v>2500.85</v>
      </c>
      <c r="P1621" s="4">
        <f t="shared" si="259"/>
        <v>0</v>
      </c>
    </row>
    <row r="1622" spans="1:16" x14ac:dyDescent="0.25">
      <c r="A1622" s="1">
        <v>43546</v>
      </c>
      <c r="B1622">
        <v>2430</v>
      </c>
      <c r="C1622">
        <v>2471.8000000000002</v>
      </c>
      <c r="D1622">
        <v>2427</v>
      </c>
      <c r="E1622" s="7">
        <v>2464.15</v>
      </c>
      <c r="F1622">
        <v>771816</v>
      </c>
      <c r="G1622" s="8">
        <f t="shared" si="250"/>
        <v>2454.3166666666671</v>
      </c>
      <c r="H1622" s="9">
        <f t="shared" si="251"/>
        <v>1894280872.4000003</v>
      </c>
      <c r="I1622" s="9">
        <f t="shared" si="254"/>
        <v>36580086388.966667</v>
      </c>
      <c r="J1622" s="9">
        <f t="shared" si="255"/>
        <v>14691241</v>
      </c>
      <c r="K1622" s="21">
        <f t="shared" si="256"/>
        <v>2489.9248735329211</v>
      </c>
      <c r="L1622" s="4" t="str">
        <f t="shared" si="252"/>
        <v>SELL</v>
      </c>
      <c r="M1622" s="4">
        <f t="shared" si="257"/>
        <v>0</v>
      </c>
      <c r="N1622" s="4">
        <f t="shared" si="253"/>
        <v>-1</v>
      </c>
      <c r="O1622" s="4">
        <f t="shared" si="258"/>
        <v>2500.85</v>
      </c>
      <c r="P1622" s="4">
        <f t="shared" si="259"/>
        <v>0</v>
      </c>
    </row>
    <row r="1623" spans="1:16" x14ac:dyDescent="0.25">
      <c r="A1623" s="1">
        <v>43549</v>
      </c>
      <c r="B1623">
        <v>2471.6999999999998</v>
      </c>
      <c r="C1623">
        <v>2475</v>
      </c>
      <c r="D1623">
        <v>2435.85</v>
      </c>
      <c r="E1623" s="7">
        <v>2464.9499999999998</v>
      </c>
      <c r="F1623">
        <v>732768</v>
      </c>
      <c r="G1623" s="8">
        <f t="shared" si="250"/>
        <v>2458.6</v>
      </c>
      <c r="H1623" s="9">
        <f t="shared" si="251"/>
        <v>1801583404.8</v>
      </c>
      <c r="I1623" s="9">
        <f t="shared" si="254"/>
        <v>33022803888.266666</v>
      </c>
      <c r="J1623" s="9">
        <f t="shared" si="255"/>
        <v>13287726</v>
      </c>
      <c r="K1623" s="21">
        <f t="shared" si="256"/>
        <v>2485.2110803809974</v>
      </c>
      <c r="L1623" s="4" t="str">
        <f t="shared" si="252"/>
        <v>SELL</v>
      </c>
      <c r="M1623" s="4">
        <f t="shared" si="257"/>
        <v>0</v>
      </c>
      <c r="N1623" s="4">
        <f t="shared" si="253"/>
        <v>-1</v>
      </c>
      <c r="O1623" s="4">
        <f t="shared" si="258"/>
        <v>2500.85</v>
      </c>
      <c r="P1623" s="4">
        <f t="shared" si="259"/>
        <v>0</v>
      </c>
    </row>
    <row r="1624" spans="1:16" x14ac:dyDescent="0.25">
      <c r="A1624" s="1">
        <v>43550</v>
      </c>
      <c r="B1624">
        <v>2478</v>
      </c>
      <c r="C1624">
        <v>2499.25</v>
      </c>
      <c r="D1624">
        <v>2451.25</v>
      </c>
      <c r="E1624" s="7">
        <v>2493.1</v>
      </c>
      <c r="F1624">
        <v>1051150</v>
      </c>
      <c r="G1624" s="8">
        <f t="shared" si="250"/>
        <v>2481.2000000000003</v>
      </c>
      <c r="H1624" s="9">
        <f t="shared" si="251"/>
        <v>2608113380.0000005</v>
      </c>
      <c r="I1624" s="9">
        <f t="shared" si="254"/>
        <v>30062568838.100002</v>
      </c>
      <c r="J1624" s="9">
        <f t="shared" si="255"/>
        <v>12089114</v>
      </c>
      <c r="K1624" s="21">
        <f t="shared" si="256"/>
        <v>2486.7470716298981</v>
      </c>
      <c r="L1624" s="4" t="str">
        <f t="shared" si="252"/>
        <v>BUY</v>
      </c>
      <c r="M1624" s="4" t="str">
        <f t="shared" si="257"/>
        <v>BUY</v>
      </c>
      <c r="N1624" s="4">
        <f t="shared" si="253"/>
        <v>1</v>
      </c>
      <c r="O1624" s="4">
        <f t="shared" si="258"/>
        <v>2493.1</v>
      </c>
      <c r="P1624" s="4">
        <f t="shared" si="259"/>
        <v>3.0989463582381991E-3</v>
      </c>
    </row>
    <row r="1625" spans="1:16" x14ac:dyDescent="0.25">
      <c r="A1625" s="1">
        <v>43551</v>
      </c>
      <c r="B1625">
        <v>2486</v>
      </c>
      <c r="C1625">
        <v>2529</v>
      </c>
      <c r="D1625">
        <v>2471</v>
      </c>
      <c r="E1625" s="7">
        <v>2521.9</v>
      </c>
      <c r="F1625">
        <v>1349994</v>
      </c>
      <c r="G1625" s="8">
        <f t="shared" si="250"/>
        <v>2507.2999999999997</v>
      </c>
      <c r="H1625" s="9">
        <f t="shared" si="251"/>
        <v>3384839956.1999998</v>
      </c>
      <c r="I1625" s="9">
        <f t="shared" si="254"/>
        <v>30291471026.833336</v>
      </c>
      <c r="J1625" s="9">
        <f t="shared" si="255"/>
        <v>12173476</v>
      </c>
      <c r="K1625" s="21">
        <f t="shared" si="256"/>
        <v>2488.3173077955166</v>
      </c>
      <c r="L1625" s="4" t="str">
        <f t="shared" si="252"/>
        <v>BUY</v>
      </c>
      <c r="M1625" s="4">
        <f t="shared" si="257"/>
        <v>0</v>
      </c>
      <c r="N1625" s="4">
        <f t="shared" si="253"/>
        <v>1</v>
      </c>
      <c r="O1625" s="4">
        <f t="shared" si="258"/>
        <v>2493.1</v>
      </c>
      <c r="P1625" s="4">
        <f t="shared" si="259"/>
        <v>0</v>
      </c>
    </row>
    <row r="1626" spans="1:16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 s="7">
        <v>2445.35</v>
      </c>
      <c r="F1626">
        <v>4168183</v>
      </c>
      <c r="G1626" s="8">
        <f t="shared" si="250"/>
        <v>2466.5666666666671</v>
      </c>
      <c r="H1626" s="9">
        <f t="shared" si="251"/>
        <v>10281101248.366669</v>
      </c>
      <c r="I1626" s="9">
        <f t="shared" si="254"/>
        <v>34070986804.166668</v>
      </c>
      <c r="J1626" s="9">
        <f t="shared" si="255"/>
        <v>13780753</v>
      </c>
      <c r="K1626" s="21">
        <f t="shared" si="256"/>
        <v>2472.360313269287</v>
      </c>
      <c r="L1626" s="4" t="str">
        <f t="shared" si="252"/>
        <v>SELL</v>
      </c>
      <c r="M1626" s="4" t="str">
        <f t="shared" si="257"/>
        <v>SELL</v>
      </c>
      <c r="N1626" s="4">
        <f t="shared" si="253"/>
        <v>-1</v>
      </c>
      <c r="O1626" s="4">
        <f t="shared" si="258"/>
        <v>2445.35</v>
      </c>
      <c r="P1626" s="4">
        <f t="shared" si="259"/>
        <v>-1.9152861898840801E-2</v>
      </c>
    </row>
    <row r="1627" spans="1:16" x14ac:dyDescent="0.25">
      <c r="A1627" s="1">
        <v>43553</v>
      </c>
      <c r="B1627">
        <v>2447</v>
      </c>
      <c r="C1627">
        <v>2469</v>
      </c>
      <c r="D1627">
        <v>2430.6</v>
      </c>
      <c r="E1627" s="7">
        <v>2433.4499999999998</v>
      </c>
      <c r="F1627">
        <v>1299425</v>
      </c>
      <c r="G1627" s="8">
        <f t="shared" si="250"/>
        <v>2444.35</v>
      </c>
      <c r="H1627" s="9">
        <f t="shared" si="251"/>
        <v>3176249498.75</v>
      </c>
      <c r="I1627" s="9">
        <f t="shared" si="254"/>
        <v>34478716586.116669</v>
      </c>
      <c r="J1627" s="9">
        <f t="shared" si="255"/>
        <v>13981530</v>
      </c>
      <c r="K1627" s="21">
        <f t="shared" si="256"/>
        <v>2466.0188538819907</v>
      </c>
      <c r="L1627" s="4" t="str">
        <f t="shared" si="252"/>
        <v>SELL</v>
      </c>
      <c r="M1627" s="4">
        <f t="shared" si="257"/>
        <v>0</v>
      </c>
      <c r="N1627" s="4">
        <f t="shared" si="253"/>
        <v>-1</v>
      </c>
      <c r="O1627" s="4">
        <f t="shared" si="258"/>
        <v>2445.35</v>
      </c>
      <c r="P1627" s="4">
        <f t="shared" si="259"/>
        <v>0</v>
      </c>
    </row>
    <row r="1628" spans="1:16" x14ac:dyDescent="0.25">
      <c r="A1628" s="1">
        <v>43556</v>
      </c>
      <c r="B1628">
        <v>2427.5</v>
      </c>
      <c r="C1628">
        <v>2472.8000000000002</v>
      </c>
      <c r="D1628">
        <v>2427.5</v>
      </c>
      <c r="E1628" s="7">
        <v>2466.1999999999998</v>
      </c>
      <c r="F1628">
        <v>1181448</v>
      </c>
      <c r="G1628" s="8">
        <f t="shared" si="250"/>
        <v>2455.5</v>
      </c>
      <c r="H1628" s="9">
        <f t="shared" si="251"/>
        <v>2901045564</v>
      </c>
      <c r="I1628" s="9">
        <f t="shared" si="254"/>
        <v>35024763626.416672</v>
      </c>
      <c r="J1628" s="9">
        <f t="shared" si="255"/>
        <v>14221236</v>
      </c>
      <c r="K1628" s="21">
        <f t="shared" si="256"/>
        <v>2462.8494757007529</v>
      </c>
      <c r="L1628" s="4" t="str">
        <f t="shared" si="252"/>
        <v>BUY</v>
      </c>
      <c r="M1628" s="4" t="str">
        <f t="shared" si="257"/>
        <v>BUY</v>
      </c>
      <c r="N1628" s="4">
        <f t="shared" si="253"/>
        <v>1</v>
      </c>
      <c r="O1628" s="4">
        <f t="shared" si="258"/>
        <v>2466.1999999999998</v>
      </c>
      <c r="P1628" s="4">
        <f t="shared" si="259"/>
        <v>-8.5263868157932042E-3</v>
      </c>
    </row>
    <row r="1629" spans="1:16" x14ac:dyDescent="0.25">
      <c r="A1629" s="1">
        <v>43557</v>
      </c>
      <c r="B1629">
        <v>2450</v>
      </c>
      <c r="C1629">
        <v>2502.5</v>
      </c>
      <c r="D1629">
        <v>2448.15</v>
      </c>
      <c r="E1629" s="7">
        <v>2494.9499999999998</v>
      </c>
      <c r="F1629">
        <v>1407626</v>
      </c>
      <c r="G1629" s="8">
        <f t="shared" si="250"/>
        <v>2481.8666666666663</v>
      </c>
      <c r="H1629" s="9">
        <f t="shared" si="251"/>
        <v>3493540048.5333328</v>
      </c>
      <c r="I1629" s="9">
        <f t="shared" si="254"/>
        <v>36579146973.949997</v>
      </c>
      <c r="J1629" s="9">
        <f t="shared" si="255"/>
        <v>14848988</v>
      </c>
      <c r="K1629" s="21">
        <f t="shared" si="256"/>
        <v>2463.4100973042741</v>
      </c>
      <c r="L1629" s="4" t="str">
        <f t="shared" si="252"/>
        <v>BUY</v>
      </c>
      <c r="M1629" s="4">
        <f t="shared" si="257"/>
        <v>0</v>
      </c>
      <c r="N1629" s="4">
        <f t="shared" si="253"/>
        <v>1</v>
      </c>
      <c r="O1629" s="4">
        <f t="shared" si="258"/>
        <v>2466.1999999999998</v>
      </c>
      <c r="P1629" s="4">
        <f t="shared" si="259"/>
        <v>0</v>
      </c>
    </row>
    <row r="1630" spans="1:16" x14ac:dyDescent="0.25">
      <c r="A1630" s="1">
        <v>43558</v>
      </c>
      <c r="B1630">
        <v>2489.5</v>
      </c>
      <c r="C1630">
        <v>2519.5</v>
      </c>
      <c r="D1630">
        <v>2464.4499999999998</v>
      </c>
      <c r="E1630" s="7">
        <v>2506.0500000000002</v>
      </c>
      <c r="F1630">
        <v>1263574</v>
      </c>
      <c r="G1630" s="8">
        <f t="shared" si="250"/>
        <v>2496.6666666666665</v>
      </c>
      <c r="H1630" s="9">
        <f t="shared" si="251"/>
        <v>3154723086.6666665</v>
      </c>
      <c r="I1630" s="9">
        <f t="shared" si="254"/>
        <v>35672641940.616669</v>
      </c>
      <c r="J1630" s="9">
        <f t="shared" si="255"/>
        <v>14454162</v>
      </c>
      <c r="K1630" s="21">
        <f t="shared" si="256"/>
        <v>2467.9840962496937</v>
      </c>
      <c r="L1630" s="4" t="str">
        <f t="shared" si="252"/>
        <v>BUY</v>
      </c>
      <c r="M1630" s="4">
        <f t="shared" si="257"/>
        <v>0</v>
      </c>
      <c r="N1630" s="4">
        <f t="shared" si="253"/>
        <v>1</v>
      </c>
      <c r="O1630" s="4">
        <f t="shared" si="258"/>
        <v>2466.1999999999998</v>
      </c>
      <c r="P1630" s="4">
        <f t="shared" si="259"/>
        <v>0</v>
      </c>
    </row>
    <row r="1631" spans="1:16" x14ac:dyDescent="0.25">
      <c r="A1631" s="1">
        <v>43559</v>
      </c>
      <c r="B1631">
        <v>2498.9</v>
      </c>
      <c r="C1631">
        <v>2524</v>
      </c>
      <c r="D1631">
        <v>2492</v>
      </c>
      <c r="E1631" s="7">
        <v>2515.1</v>
      </c>
      <c r="F1631">
        <v>758608</v>
      </c>
      <c r="G1631" s="8">
        <f t="shared" si="250"/>
        <v>2510.3666666666668</v>
      </c>
      <c r="H1631" s="9">
        <f t="shared" si="251"/>
        <v>1904384236.2666667</v>
      </c>
      <c r="I1631" s="9">
        <f t="shared" si="254"/>
        <v>34599861295.983337</v>
      </c>
      <c r="J1631" s="9">
        <f t="shared" si="255"/>
        <v>13984592</v>
      </c>
      <c r="K1631" s="21">
        <f t="shared" si="256"/>
        <v>2474.1416335909789</v>
      </c>
      <c r="L1631" s="4" t="str">
        <f t="shared" si="252"/>
        <v>BUY</v>
      </c>
      <c r="M1631" s="4">
        <f t="shared" si="257"/>
        <v>0</v>
      </c>
      <c r="N1631" s="4">
        <f t="shared" si="253"/>
        <v>1</v>
      </c>
      <c r="O1631" s="4">
        <f t="shared" si="258"/>
        <v>2466.1999999999998</v>
      </c>
      <c r="P1631" s="4">
        <f t="shared" si="259"/>
        <v>0</v>
      </c>
    </row>
    <row r="1632" spans="1:16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 s="7">
        <v>2558.9499999999998</v>
      </c>
      <c r="F1632">
        <v>844398</v>
      </c>
      <c r="G1632" s="8">
        <f t="shared" si="250"/>
        <v>2542.65</v>
      </c>
      <c r="H1632" s="9">
        <f t="shared" si="251"/>
        <v>2147008574.7</v>
      </c>
      <c r="I1632" s="9">
        <f t="shared" si="254"/>
        <v>34852588998.283333</v>
      </c>
      <c r="J1632" s="9">
        <f t="shared" si="255"/>
        <v>14057174</v>
      </c>
      <c r="K1632" s="21">
        <f t="shared" si="256"/>
        <v>2479.3453505152124</v>
      </c>
      <c r="L1632" s="4" t="str">
        <f t="shared" si="252"/>
        <v>BUY</v>
      </c>
      <c r="M1632" s="4">
        <f t="shared" si="257"/>
        <v>0</v>
      </c>
      <c r="N1632" s="4">
        <f t="shared" si="253"/>
        <v>1</v>
      </c>
      <c r="O1632" s="4">
        <f t="shared" si="258"/>
        <v>2466.1999999999998</v>
      </c>
      <c r="P1632" s="4">
        <f t="shared" si="259"/>
        <v>0</v>
      </c>
    </row>
    <row r="1633" spans="1:16" x14ac:dyDescent="0.25">
      <c r="A1633" s="1">
        <v>43563</v>
      </c>
      <c r="B1633">
        <v>2558.9499999999998</v>
      </c>
      <c r="C1633">
        <v>2568</v>
      </c>
      <c r="D1633">
        <v>2533</v>
      </c>
      <c r="E1633" s="7">
        <v>2552.6</v>
      </c>
      <c r="F1633">
        <v>1155645</v>
      </c>
      <c r="G1633" s="8">
        <f t="shared" si="250"/>
        <v>2551.2000000000003</v>
      </c>
      <c r="H1633" s="9">
        <f t="shared" si="251"/>
        <v>2948281524.0000005</v>
      </c>
      <c r="I1633" s="9">
        <f t="shared" si="254"/>
        <v>35999287117.483337</v>
      </c>
      <c r="J1633" s="9">
        <f t="shared" si="255"/>
        <v>14480051</v>
      </c>
      <c r="K1633" s="21">
        <f t="shared" si="256"/>
        <v>2486.129856689271</v>
      </c>
      <c r="L1633" s="4" t="str">
        <f t="shared" si="252"/>
        <v>BUY</v>
      </c>
      <c r="M1633" s="4">
        <f t="shared" si="257"/>
        <v>0</v>
      </c>
      <c r="N1633" s="4">
        <f t="shared" si="253"/>
        <v>1</v>
      </c>
      <c r="O1633" s="4">
        <f t="shared" si="258"/>
        <v>2466.1999999999998</v>
      </c>
      <c r="P1633" s="4">
        <f t="shared" si="259"/>
        <v>0</v>
      </c>
    </row>
    <row r="1634" spans="1:16" x14ac:dyDescent="0.25">
      <c r="A1634" s="1">
        <v>43564</v>
      </c>
      <c r="B1634">
        <v>2555</v>
      </c>
      <c r="C1634">
        <v>2580.4</v>
      </c>
      <c r="D1634">
        <v>2545</v>
      </c>
      <c r="E1634" s="7">
        <v>2577.5500000000002</v>
      </c>
      <c r="F1634">
        <v>875255</v>
      </c>
      <c r="G1634" s="8">
        <f t="shared" si="250"/>
        <v>2567.65</v>
      </c>
      <c r="H1634" s="9">
        <f t="shared" si="251"/>
        <v>2247348500.75</v>
      </c>
      <c r="I1634" s="9">
        <f t="shared" si="254"/>
        <v>35638522238.233337</v>
      </c>
      <c r="J1634" s="9">
        <f t="shared" si="255"/>
        <v>14304156</v>
      </c>
      <c r="K1634" s="21">
        <f t="shared" si="256"/>
        <v>2491.4802549855676</v>
      </c>
      <c r="L1634" s="4" t="str">
        <f t="shared" si="252"/>
        <v>BUY</v>
      </c>
      <c r="M1634" s="4">
        <f t="shared" si="257"/>
        <v>0</v>
      </c>
      <c r="N1634" s="4">
        <f t="shared" si="253"/>
        <v>1</v>
      </c>
      <c r="O1634" s="4">
        <f t="shared" si="258"/>
        <v>2466.1999999999998</v>
      </c>
      <c r="P1634" s="4">
        <f t="shared" si="259"/>
        <v>0</v>
      </c>
    </row>
    <row r="1635" spans="1:16" x14ac:dyDescent="0.25">
      <c r="A1635" s="1">
        <v>43565</v>
      </c>
      <c r="B1635">
        <v>2580.5</v>
      </c>
      <c r="C1635">
        <v>2629.55</v>
      </c>
      <c r="D1635">
        <v>2577.0500000000002</v>
      </c>
      <c r="E1635" s="7">
        <v>2619.25</v>
      </c>
      <c r="F1635">
        <v>2316040</v>
      </c>
      <c r="G1635" s="8">
        <f t="shared" si="250"/>
        <v>2608.6166666666668</v>
      </c>
      <c r="H1635" s="9">
        <f t="shared" si="251"/>
        <v>6041660544.666667</v>
      </c>
      <c r="I1635" s="9">
        <f t="shared" si="254"/>
        <v>38295342826.700005</v>
      </c>
      <c r="J1635" s="9">
        <f t="shared" si="255"/>
        <v>15270202</v>
      </c>
      <c r="K1635" s="21">
        <f t="shared" si="256"/>
        <v>2507.8478219672538</v>
      </c>
      <c r="L1635" s="4" t="str">
        <f t="shared" si="252"/>
        <v>BUY</v>
      </c>
      <c r="M1635" s="4">
        <f t="shared" si="257"/>
        <v>0</v>
      </c>
      <c r="N1635" s="4">
        <f t="shared" si="253"/>
        <v>1</v>
      </c>
      <c r="O1635" s="4">
        <f t="shared" si="258"/>
        <v>2466.1999999999998</v>
      </c>
      <c r="P1635" s="4">
        <f t="shared" si="259"/>
        <v>0</v>
      </c>
    </row>
    <row r="1636" spans="1:16" x14ac:dyDescent="0.25">
      <c r="A1636" s="1">
        <v>43566</v>
      </c>
      <c r="B1636">
        <v>2614</v>
      </c>
      <c r="C1636">
        <v>2634.9</v>
      </c>
      <c r="D1636">
        <v>2599</v>
      </c>
      <c r="E1636" s="7">
        <v>2619.3000000000002</v>
      </c>
      <c r="F1636">
        <v>1244042</v>
      </c>
      <c r="G1636" s="8">
        <f t="shared" si="250"/>
        <v>2617.7333333333331</v>
      </c>
      <c r="H1636" s="9">
        <f t="shared" si="251"/>
        <v>3256570211.4666662</v>
      </c>
      <c r="I1636" s="9">
        <f t="shared" si="254"/>
        <v>31270811789.800003</v>
      </c>
      <c r="J1636" s="9">
        <f t="shared" si="255"/>
        <v>12346061</v>
      </c>
      <c r="K1636" s="21">
        <f t="shared" si="256"/>
        <v>2532.8573858334253</v>
      </c>
      <c r="L1636" s="4" t="str">
        <f t="shared" si="252"/>
        <v>BUY</v>
      </c>
      <c r="M1636" s="4">
        <f t="shared" si="257"/>
        <v>0</v>
      </c>
      <c r="N1636" s="4">
        <f t="shared" si="253"/>
        <v>1</v>
      </c>
      <c r="O1636" s="4">
        <f t="shared" si="258"/>
        <v>2466.1999999999998</v>
      </c>
      <c r="P1636" s="4">
        <f t="shared" si="259"/>
        <v>0</v>
      </c>
    </row>
    <row r="1637" spans="1:16" x14ac:dyDescent="0.25">
      <c r="A1637" s="1">
        <v>43567</v>
      </c>
      <c r="B1637">
        <v>2632</v>
      </c>
      <c r="C1637">
        <v>2725</v>
      </c>
      <c r="D1637">
        <v>2632</v>
      </c>
      <c r="E1637" s="7">
        <v>2708.25</v>
      </c>
      <c r="F1637">
        <v>1980852</v>
      </c>
      <c r="G1637" s="8">
        <f t="shared" si="250"/>
        <v>2688.4166666666665</v>
      </c>
      <c r="H1637" s="9">
        <f t="shared" si="251"/>
        <v>5325355531</v>
      </c>
      <c r="I1637" s="9">
        <f t="shared" si="254"/>
        <v>33419917822.049999</v>
      </c>
      <c r="J1637" s="9">
        <f t="shared" si="255"/>
        <v>13027488</v>
      </c>
      <c r="K1637" s="21">
        <f t="shared" si="256"/>
        <v>2565.3385995865051</v>
      </c>
      <c r="L1637" s="4" t="str">
        <f t="shared" si="252"/>
        <v>BUY</v>
      </c>
      <c r="M1637" s="4">
        <f t="shared" si="257"/>
        <v>0</v>
      </c>
      <c r="N1637" s="4">
        <f t="shared" si="253"/>
        <v>1</v>
      </c>
      <c r="O1637" s="4">
        <f t="shared" si="258"/>
        <v>2466.1999999999998</v>
      </c>
      <c r="P1637" s="4">
        <f t="shared" si="259"/>
        <v>0</v>
      </c>
    </row>
    <row r="1638" spans="1:16" x14ac:dyDescent="0.25">
      <c r="A1638" s="1">
        <v>43570</v>
      </c>
      <c r="B1638">
        <v>2702.9</v>
      </c>
      <c r="C1638">
        <v>2715.7</v>
      </c>
      <c r="D1638">
        <v>2689.8</v>
      </c>
      <c r="E1638" s="7">
        <v>2699.2</v>
      </c>
      <c r="F1638">
        <v>1289081</v>
      </c>
      <c r="G1638" s="8">
        <f t="shared" si="250"/>
        <v>2701.5666666666666</v>
      </c>
      <c r="H1638" s="9">
        <f t="shared" si="251"/>
        <v>3482538260.2333331</v>
      </c>
      <c r="I1638" s="9">
        <f t="shared" si="254"/>
        <v>34001410518.283333</v>
      </c>
      <c r="J1638" s="9">
        <f t="shared" si="255"/>
        <v>13135121</v>
      </c>
      <c r="K1638" s="21">
        <f t="shared" si="256"/>
        <v>2588.5875370530148</v>
      </c>
      <c r="L1638" s="4" t="str">
        <f t="shared" si="252"/>
        <v>BUY</v>
      </c>
      <c r="M1638" s="4">
        <f t="shared" si="257"/>
        <v>0</v>
      </c>
      <c r="N1638" s="4">
        <f t="shared" si="253"/>
        <v>1</v>
      </c>
      <c r="O1638" s="4">
        <f t="shared" si="258"/>
        <v>2466.1999999999998</v>
      </c>
      <c r="P1638" s="4">
        <f t="shared" si="259"/>
        <v>0</v>
      </c>
    </row>
    <row r="1639" spans="1:16" x14ac:dyDescent="0.25">
      <c r="A1639" s="1">
        <v>43571</v>
      </c>
      <c r="B1639">
        <v>2686</v>
      </c>
      <c r="C1639">
        <v>2699</v>
      </c>
      <c r="D1639">
        <v>2649.05</v>
      </c>
      <c r="E1639" s="7">
        <v>2656.3</v>
      </c>
      <c r="F1639">
        <v>1147351</v>
      </c>
      <c r="G1639" s="8">
        <f t="shared" si="250"/>
        <v>2668.1166666666668</v>
      </c>
      <c r="H1639" s="9">
        <f t="shared" si="251"/>
        <v>3061266325.6166668</v>
      </c>
      <c r="I1639" s="9">
        <f t="shared" si="254"/>
        <v>33569136795.366669</v>
      </c>
      <c r="J1639" s="9">
        <f t="shared" si="255"/>
        <v>12874846</v>
      </c>
      <c r="K1639" s="21">
        <f t="shared" si="256"/>
        <v>2607.3427826139955</v>
      </c>
      <c r="L1639" s="4" t="str">
        <f t="shared" si="252"/>
        <v>BUY</v>
      </c>
      <c r="M1639" s="4">
        <f t="shared" si="257"/>
        <v>0</v>
      </c>
      <c r="N1639" s="4">
        <f t="shared" si="253"/>
        <v>1</v>
      </c>
      <c r="O1639" s="4">
        <f t="shared" si="258"/>
        <v>2466.1999999999998</v>
      </c>
      <c r="P1639" s="4">
        <f t="shared" si="259"/>
        <v>0</v>
      </c>
    </row>
    <row r="1640" spans="1:16" x14ac:dyDescent="0.25">
      <c r="A1640" s="1">
        <v>43572</v>
      </c>
      <c r="B1640">
        <v>2670</v>
      </c>
      <c r="C1640">
        <v>2682.95</v>
      </c>
      <c r="D1640">
        <v>2636.25</v>
      </c>
      <c r="E1640" s="7">
        <v>2652</v>
      </c>
      <c r="F1640">
        <v>707708</v>
      </c>
      <c r="G1640" s="8">
        <f t="shared" si="250"/>
        <v>2657.0666666666666</v>
      </c>
      <c r="H1640" s="9">
        <f t="shared" si="251"/>
        <v>1880427336.5333333</v>
      </c>
      <c r="I1640" s="9">
        <f t="shared" si="254"/>
        <v>32294841045.233337</v>
      </c>
      <c r="J1640" s="9">
        <f t="shared" si="255"/>
        <v>12318980</v>
      </c>
      <c r="K1640" s="21">
        <f t="shared" si="256"/>
        <v>2621.5515444649914</v>
      </c>
      <c r="L1640" s="4" t="str">
        <f t="shared" si="252"/>
        <v>BUY</v>
      </c>
      <c r="M1640" s="4">
        <f t="shared" si="257"/>
        <v>0</v>
      </c>
      <c r="N1640" s="4">
        <f t="shared" si="253"/>
        <v>1</v>
      </c>
      <c r="O1640" s="4">
        <f t="shared" si="258"/>
        <v>2466.1999999999998</v>
      </c>
      <c r="P1640" s="4">
        <f t="shared" si="259"/>
        <v>0</v>
      </c>
    </row>
    <row r="1641" spans="1:16" x14ac:dyDescent="0.25">
      <c r="A1641" s="1">
        <v>43573</v>
      </c>
      <c r="B1641">
        <v>2673.9</v>
      </c>
      <c r="C1641">
        <v>2684.3</v>
      </c>
      <c r="D1641">
        <v>2632</v>
      </c>
      <c r="E1641" s="7">
        <v>2649.1</v>
      </c>
      <c r="F1641">
        <v>934242</v>
      </c>
      <c r="G1641" s="8">
        <f t="shared" si="250"/>
        <v>2655.1333333333332</v>
      </c>
      <c r="H1641" s="9">
        <f t="shared" si="251"/>
        <v>2480537075.5999999</v>
      </c>
      <c r="I1641" s="9">
        <f t="shared" si="254"/>
        <v>32870993884.566666</v>
      </c>
      <c r="J1641" s="9">
        <f t="shared" si="255"/>
        <v>12494614</v>
      </c>
      <c r="K1641" s="21">
        <f t="shared" si="256"/>
        <v>2630.8130755033062</v>
      </c>
      <c r="L1641" s="4" t="str">
        <f t="shared" si="252"/>
        <v>BUY</v>
      </c>
      <c r="M1641" s="4">
        <f t="shared" si="257"/>
        <v>0</v>
      </c>
      <c r="N1641" s="4">
        <f t="shared" si="253"/>
        <v>1</v>
      </c>
      <c r="O1641" s="4">
        <f t="shared" si="258"/>
        <v>2466.1999999999998</v>
      </c>
      <c r="P1641" s="4">
        <f t="shared" si="259"/>
        <v>0</v>
      </c>
    </row>
    <row r="1642" spans="1:16" x14ac:dyDescent="0.25">
      <c r="A1642" s="1">
        <v>43574</v>
      </c>
      <c r="B1642">
        <v>2640</v>
      </c>
      <c r="C1642">
        <v>2668</v>
      </c>
      <c r="D1642">
        <v>2629.05</v>
      </c>
      <c r="E1642" s="7">
        <v>2649.5</v>
      </c>
      <c r="F1642">
        <v>1029122</v>
      </c>
      <c r="G1642" s="8">
        <f t="shared" si="250"/>
        <v>2648.85</v>
      </c>
      <c r="H1642" s="9">
        <f t="shared" si="251"/>
        <v>2725989809.6999998</v>
      </c>
      <c r="I1642" s="9">
        <f t="shared" si="254"/>
        <v>33449975119.566669</v>
      </c>
      <c r="J1642" s="9">
        <f t="shared" si="255"/>
        <v>12679338</v>
      </c>
      <c r="K1642" s="21">
        <f t="shared" si="256"/>
        <v>2638.1483891009666</v>
      </c>
      <c r="L1642" s="4" t="str">
        <f t="shared" si="252"/>
        <v>BUY</v>
      </c>
      <c r="M1642" s="4">
        <f t="shared" si="257"/>
        <v>0</v>
      </c>
      <c r="N1642" s="4">
        <f t="shared" si="253"/>
        <v>1</v>
      </c>
      <c r="O1642" s="4">
        <f t="shared" si="258"/>
        <v>2466.1999999999998</v>
      </c>
      <c r="P1642" s="4">
        <f t="shared" si="259"/>
        <v>0</v>
      </c>
    </row>
    <row r="1643" spans="1:16" x14ac:dyDescent="0.25">
      <c r="A1643" s="1">
        <v>43577</v>
      </c>
      <c r="B1643">
        <v>2658</v>
      </c>
      <c r="C1643">
        <v>2659.8</v>
      </c>
      <c r="D1643">
        <v>2578.85</v>
      </c>
      <c r="E1643" s="7">
        <v>2650.2</v>
      </c>
      <c r="F1643">
        <v>1130957</v>
      </c>
      <c r="G1643" s="8">
        <f t="shared" si="250"/>
        <v>2629.6166666666663</v>
      </c>
      <c r="H1643" s="9">
        <f t="shared" si="251"/>
        <v>2973983376.4833331</v>
      </c>
      <c r="I1643" s="9">
        <f t="shared" si="254"/>
        <v>33475676972.049995</v>
      </c>
      <c r="J1643" s="9">
        <f t="shared" si="255"/>
        <v>12654650</v>
      </c>
      <c r="K1643" s="21">
        <f t="shared" si="256"/>
        <v>2645.3261822373588</v>
      </c>
      <c r="L1643" s="4" t="str">
        <f t="shared" si="252"/>
        <v>BUY</v>
      </c>
      <c r="M1643" s="4">
        <f t="shared" si="257"/>
        <v>0</v>
      </c>
      <c r="N1643" s="4">
        <f t="shared" si="253"/>
        <v>1</v>
      </c>
      <c r="O1643" s="4">
        <f t="shared" si="258"/>
        <v>2466.1999999999998</v>
      </c>
      <c r="P1643" s="4">
        <f t="shared" si="259"/>
        <v>0</v>
      </c>
    </row>
    <row r="1644" spans="1:16" x14ac:dyDescent="0.25">
      <c r="A1644" s="1">
        <v>43578</v>
      </c>
      <c r="B1644">
        <v>2651</v>
      </c>
      <c r="C1644">
        <v>2682</v>
      </c>
      <c r="D1644">
        <v>2648</v>
      </c>
      <c r="E1644" s="7">
        <v>2675.4</v>
      </c>
      <c r="F1644">
        <v>1031039</v>
      </c>
      <c r="G1644" s="8">
        <f t="shared" si="250"/>
        <v>2668.4666666666667</v>
      </c>
      <c r="H1644" s="9">
        <f t="shared" si="251"/>
        <v>2751293203.5333333</v>
      </c>
      <c r="I1644" s="9">
        <f t="shared" si="254"/>
        <v>33979621674.833328</v>
      </c>
      <c r="J1644" s="9">
        <f t="shared" si="255"/>
        <v>12810434</v>
      </c>
      <c r="K1644" s="21">
        <f t="shared" si="256"/>
        <v>2652.4957448618311</v>
      </c>
      <c r="L1644" s="4" t="str">
        <f t="shared" si="252"/>
        <v>BUY</v>
      </c>
      <c r="M1644" s="4">
        <f t="shared" si="257"/>
        <v>0</v>
      </c>
      <c r="N1644" s="4">
        <f t="shared" si="253"/>
        <v>1</v>
      </c>
      <c r="O1644" s="4">
        <f t="shared" si="258"/>
        <v>2466.1999999999998</v>
      </c>
      <c r="P1644" s="4">
        <f t="shared" si="259"/>
        <v>0</v>
      </c>
    </row>
    <row r="1645" spans="1:16" x14ac:dyDescent="0.25">
      <c r="A1645" s="1">
        <v>43579</v>
      </c>
      <c r="B1645">
        <v>2665.55</v>
      </c>
      <c r="C1645">
        <v>2715</v>
      </c>
      <c r="D1645">
        <v>2665.55</v>
      </c>
      <c r="E1645" s="7">
        <v>2709.9</v>
      </c>
      <c r="F1645">
        <v>1116569</v>
      </c>
      <c r="G1645" s="8">
        <f t="shared" si="250"/>
        <v>2696.8166666666671</v>
      </c>
      <c r="H1645" s="9">
        <f t="shared" si="251"/>
        <v>3011181888.6833339</v>
      </c>
      <c r="I1645" s="9">
        <f t="shared" si="254"/>
        <v>30949143018.849998</v>
      </c>
      <c r="J1645" s="9">
        <f t="shared" si="255"/>
        <v>11610963</v>
      </c>
      <c r="K1645" s="21">
        <f t="shared" si="256"/>
        <v>2665.5104334455291</v>
      </c>
      <c r="L1645" s="4" t="str">
        <f t="shared" si="252"/>
        <v>BUY</v>
      </c>
      <c r="M1645" s="4">
        <f t="shared" si="257"/>
        <v>0</v>
      </c>
      <c r="N1645" s="4">
        <f t="shared" si="253"/>
        <v>1</v>
      </c>
      <c r="O1645" s="4">
        <f t="shared" si="258"/>
        <v>2466.1999999999998</v>
      </c>
      <c r="P1645" s="4">
        <f t="shared" si="259"/>
        <v>0</v>
      </c>
    </row>
    <row r="1646" spans="1:16" x14ac:dyDescent="0.25">
      <c r="A1646" s="1">
        <v>43580</v>
      </c>
      <c r="B1646">
        <v>2705</v>
      </c>
      <c r="C1646">
        <v>2744.8</v>
      </c>
      <c r="D1646">
        <v>2702.05</v>
      </c>
      <c r="E1646" s="7">
        <v>2738.45</v>
      </c>
      <c r="F1646">
        <v>1163679</v>
      </c>
      <c r="G1646" s="8">
        <f t="shared" si="250"/>
        <v>2728.4333333333334</v>
      </c>
      <c r="H1646" s="9">
        <f t="shared" si="251"/>
        <v>3175020572.9000001</v>
      </c>
      <c r="I1646" s="9">
        <f t="shared" si="254"/>
        <v>30867593380.283337</v>
      </c>
      <c r="J1646" s="9">
        <f t="shared" si="255"/>
        <v>11530600</v>
      </c>
      <c r="K1646" s="21">
        <f t="shared" si="256"/>
        <v>2677.0153660939877</v>
      </c>
      <c r="L1646" s="4" t="str">
        <f t="shared" si="252"/>
        <v>BUY</v>
      </c>
      <c r="M1646" s="4">
        <f t="shared" si="257"/>
        <v>0</v>
      </c>
      <c r="N1646" s="4">
        <f t="shared" si="253"/>
        <v>1</v>
      </c>
      <c r="O1646" s="4">
        <f t="shared" si="258"/>
        <v>2466.1999999999998</v>
      </c>
      <c r="P1646" s="4">
        <f t="shared" si="259"/>
        <v>0</v>
      </c>
    </row>
    <row r="1647" spans="1:16" x14ac:dyDescent="0.25">
      <c r="A1647" s="1">
        <v>43581</v>
      </c>
      <c r="B1647">
        <v>2738</v>
      </c>
      <c r="C1647">
        <v>2740</v>
      </c>
      <c r="D1647">
        <v>2673.85</v>
      </c>
      <c r="E1647" s="7">
        <v>2691.7</v>
      </c>
      <c r="F1647">
        <v>1591877</v>
      </c>
      <c r="G1647" s="8">
        <f t="shared" si="250"/>
        <v>2701.85</v>
      </c>
      <c r="H1647" s="9">
        <f t="shared" si="251"/>
        <v>4301012872.4499998</v>
      </c>
      <c r="I1647" s="9">
        <f t="shared" si="254"/>
        <v>29843250721.733337</v>
      </c>
      <c r="J1647" s="9">
        <f t="shared" si="255"/>
        <v>11141625</v>
      </c>
      <c r="K1647" s="21">
        <f t="shared" si="256"/>
        <v>2678.5366337256314</v>
      </c>
      <c r="L1647" s="4" t="str">
        <f t="shared" si="252"/>
        <v>BUY</v>
      </c>
      <c r="M1647" s="4">
        <f t="shared" si="257"/>
        <v>0</v>
      </c>
      <c r="N1647" s="4">
        <f t="shared" si="253"/>
        <v>1</v>
      </c>
      <c r="O1647" s="4">
        <f t="shared" si="258"/>
        <v>2466.1999999999998</v>
      </c>
      <c r="P1647" s="4">
        <f t="shared" si="259"/>
        <v>0</v>
      </c>
    </row>
    <row r="1648" spans="1:16" x14ac:dyDescent="0.25">
      <c r="A1648" s="1">
        <v>43584</v>
      </c>
      <c r="B1648">
        <v>2699</v>
      </c>
      <c r="C1648">
        <v>2699</v>
      </c>
      <c r="D1648">
        <v>2618</v>
      </c>
      <c r="E1648" s="7">
        <v>2624.55</v>
      </c>
      <c r="F1648">
        <v>924283</v>
      </c>
      <c r="G1648" s="8">
        <f t="shared" si="250"/>
        <v>2647.1833333333334</v>
      </c>
      <c r="H1648" s="9">
        <f t="shared" si="251"/>
        <v>2446746552.8833332</v>
      </c>
      <c r="I1648" s="9">
        <f t="shared" si="254"/>
        <v>28807459014.383339</v>
      </c>
      <c r="J1648" s="9">
        <f t="shared" si="255"/>
        <v>10776827</v>
      </c>
      <c r="K1648" s="21">
        <f t="shared" si="256"/>
        <v>2673.092832833202</v>
      </c>
      <c r="L1648" s="4" t="str">
        <f t="shared" si="252"/>
        <v>SELL</v>
      </c>
      <c r="M1648" s="4" t="str">
        <f t="shared" si="257"/>
        <v>SELL</v>
      </c>
      <c r="N1648" s="4">
        <f t="shared" si="253"/>
        <v>-1</v>
      </c>
      <c r="O1648" s="4">
        <f t="shared" si="258"/>
        <v>2624.55</v>
      </c>
      <c r="P1648" s="4">
        <f t="shared" si="259"/>
        <v>6.420809342308019E-2</v>
      </c>
    </row>
    <row r="1649" spans="1:16" x14ac:dyDescent="0.25">
      <c r="A1649" s="1">
        <v>43585</v>
      </c>
      <c r="B1649">
        <v>2635</v>
      </c>
      <c r="C1649">
        <v>2657.55</v>
      </c>
      <c r="D1649">
        <v>2630.1</v>
      </c>
      <c r="E1649" s="7">
        <v>2638.55</v>
      </c>
      <c r="F1649">
        <v>646032</v>
      </c>
      <c r="G1649" s="8">
        <f t="shared" si="250"/>
        <v>2642.0666666666666</v>
      </c>
      <c r="H1649" s="9">
        <f t="shared" si="251"/>
        <v>1706859612.8</v>
      </c>
      <c r="I1649" s="9">
        <f t="shared" si="254"/>
        <v>27453052301.566669</v>
      </c>
      <c r="J1649" s="9">
        <f t="shared" si="255"/>
        <v>10275508</v>
      </c>
      <c r="K1649" s="21">
        <f t="shared" si="256"/>
        <v>2671.6978179148582</v>
      </c>
      <c r="L1649" s="4" t="str">
        <f t="shared" si="252"/>
        <v>SELL</v>
      </c>
      <c r="M1649" s="4">
        <f t="shared" si="257"/>
        <v>0</v>
      </c>
      <c r="N1649" s="4">
        <f t="shared" si="253"/>
        <v>-1</v>
      </c>
      <c r="O1649" s="4">
        <f t="shared" si="258"/>
        <v>2624.55</v>
      </c>
      <c r="P1649" s="4">
        <f t="shared" si="259"/>
        <v>0</v>
      </c>
    </row>
    <row r="1650" spans="1:16" x14ac:dyDescent="0.25">
      <c r="A1650" s="1">
        <v>43586</v>
      </c>
      <c r="B1650">
        <v>2640</v>
      </c>
      <c r="C1650">
        <v>2646.45</v>
      </c>
      <c r="D1650">
        <v>2600</v>
      </c>
      <c r="E1650" s="7">
        <v>2603.5</v>
      </c>
      <c r="F1650">
        <v>1208122</v>
      </c>
      <c r="G1650" s="8">
        <f t="shared" si="250"/>
        <v>2616.65</v>
      </c>
      <c r="H1650" s="9">
        <f t="shared" si="251"/>
        <v>3161232431.3000002</v>
      </c>
      <c r="I1650" s="9">
        <f t="shared" si="254"/>
        <v>28733857396.333328</v>
      </c>
      <c r="J1650" s="9">
        <f t="shared" si="255"/>
        <v>10775922</v>
      </c>
      <c r="K1650" s="21">
        <f t="shared" si="256"/>
        <v>2666.487136444875</v>
      </c>
      <c r="L1650" s="4" t="str">
        <f t="shared" si="252"/>
        <v>SELL</v>
      </c>
      <c r="M1650" s="4">
        <f t="shared" si="257"/>
        <v>0</v>
      </c>
      <c r="N1650" s="4">
        <f t="shared" si="253"/>
        <v>-1</v>
      </c>
      <c r="O1650" s="4">
        <f t="shared" si="258"/>
        <v>2624.55</v>
      </c>
      <c r="P1650" s="4">
        <f t="shared" si="259"/>
        <v>0</v>
      </c>
    </row>
    <row r="1651" spans="1:16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 s="7">
        <v>2548.6999999999998</v>
      </c>
      <c r="F1651">
        <v>1132637</v>
      </c>
      <c r="G1651" s="8">
        <f t="shared" si="250"/>
        <v>2559.8166666666666</v>
      </c>
      <c r="H1651" s="9">
        <f t="shared" si="251"/>
        <v>2899343069.8833332</v>
      </c>
      <c r="I1651" s="9">
        <f t="shared" si="254"/>
        <v>29152663390.616661</v>
      </c>
      <c r="J1651" s="9">
        <f t="shared" si="255"/>
        <v>10974317</v>
      </c>
      <c r="K1651" s="21">
        <f t="shared" si="256"/>
        <v>2656.4444412000003</v>
      </c>
      <c r="L1651" s="4" t="str">
        <f t="shared" si="252"/>
        <v>SELL</v>
      </c>
      <c r="M1651" s="4">
        <f t="shared" si="257"/>
        <v>0</v>
      </c>
      <c r="N1651" s="4">
        <f t="shared" si="253"/>
        <v>-1</v>
      </c>
      <c r="O1651" s="4">
        <f t="shared" si="258"/>
        <v>2624.55</v>
      </c>
      <c r="P1651" s="4">
        <f t="shared" si="259"/>
        <v>0</v>
      </c>
    </row>
    <row r="1652" spans="1:16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 s="7">
        <v>2601.0500000000002</v>
      </c>
      <c r="F1652">
        <v>751687</v>
      </c>
      <c r="G1652" s="8">
        <f t="shared" si="250"/>
        <v>2582.0666666666666</v>
      </c>
      <c r="H1652" s="9">
        <f t="shared" si="251"/>
        <v>1940905946.4666667</v>
      </c>
      <c r="I1652" s="9">
        <f t="shared" si="254"/>
        <v>28367579527.383331</v>
      </c>
      <c r="J1652" s="9">
        <f t="shared" si="255"/>
        <v>10696882</v>
      </c>
      <c r="K1652" s="21">
        <f t="shared" si="256"/>
        <v>2651.9484394969795</v>
      </c>
      <c r="L1652" s="4" t="str">
        <f t="shared" si="252"/>
        <v>SELL</v>
      </c>
      <c r="M1652" s="4">
        <f t="shared" si="257"/>
        <v>0</v>
      </c>
      <c r="N1652" s="4">
        <f t="shared" si="253"/>
        <v>-1</v>
      </c>
      <c r="O1652" s="4">
        <f t="shared" si="258"/>
        <v>2624.55</v>
      </c>
      <c r="P1652" s="4">
        <f t="shared" si="259"/>
        <v>0</v>
      </c>
    </row>
    <row r="1653" spans="1:16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 s="7">
        <v>2572.0500000000002</v>
      </c>
      <c r="F1653">
        <v>558439</v>
      </c>
      <c r="G1653" s="8">
        <f t="shared" si="250"/>
        <v>2581.0333333333333</v>
      </c>
      <c r="H1653" s="9">
        <f t="shared" si="251"/>
        <v>1441349673.6333332</v>
      </c>
      <c r="I1653" s="9">
        <f t="shared" si="254"/>
        <v>26834945824.533333</v>
      </c>
      <c r="J1653" s="9">
        <f t="shared" si="255"/>
        <v>10124364</v>
      </c>
      <c r="K1653" s="21">
        <f t="shared" si="256"/>
        <v>2650.531512353105</v>
      </c>
      <c r="L1653" s="4" t="str">
        <f t="shared" si="252"/>
        <v>SELL</v>
      </c>
      <c r="M1653" s="4">
        <f t="shared" si="257"/>
        <v>0</v>
      </c>
      <c r="N1653" s="4">
        <f t="shared" si="253"/>
        <v>-1</v>
      </c>
      <c r="O1653" s="4">
        <f t="shared" si="258"/>
        <v>2624.55</v>
      </c>
      <c r="P1653" s="4">
        <f t="shared" si="259"/>
        <v>0</v>
      </c>
    </row>
    <row r="1654" spans="1:16" x14ac:dyDescent="0.25">
      <c r="A1654" s="1">
        <v>43592</v>
      </c>
      <c r="B1654">
        <v>2580</v>
      </c>
      <c r="C1654">
        <v>2589.6999999999998</v>
      </c>
      <c r="D1654">
        <v>2526</v>
      </c>
      <c r="E1654" s="7">
        <v>2551.0500000000002</v>
      </c>
      <c r="F1654">
        <v>969845</v>
      </c>
      <c r="G1654" s="8">
        <f t="shared" si="250"/>
        <v>2555.5833333333335</v>
      </c>
      <c r="H1654" s="9">
        <f t="shared" si="251"/>
        <v>2478519717.916667</v>
      </c>
      <c r="I1654" s="9">
        <f t="shared" si="254"/>
        <v>26562172338.916668</v>
      </c>
      <c r="J1654" s="9">
        <f t="shared" si="255"/>
        <v>10063170</v>
      </c>
      <c r="K1654" s="21">
        <f t="shared" si="256"/>
        <v>2639.543239249329</v>
      </c>
      <c r="L1654" s="4" t="str">
        <f t="shared" si="252"/>
        <v>SELL</v>
      </c>
      <c r="M1654" s="4">
        <f t="shared" si="257"/>
        <v>0</v>
      </c>
      <c r="N1654" s="4">
        <f t="shared" si="253"/>
        <v>-1</v>
      </c>
      <c r="O1654" s="4">
        <f t="shared" si="258"/>
        <v>2624.55</v>
      </c>
      <c r="P1654" s="4">
        <f t="shared" si="259"/>
        <v>0</v>
      </c>
    </row>
    <row r="1655" spans="1:16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 s="7">
        <v>2524.9499999999998</v>
      </c>
      <c r="F1655">
        <v>625157</v>
      </c>
      <c r="G1655" s="8">
        <f t="shared" si="250"/>
        <v>2538.2333333333331</v>
      </c>
      <c r="H1655" s="9">
        <f t="shared" si="251"/>
        <v>1586794335.9666665</v>
      </c>
      <c r="I1655" s="9">
        <f t="shared" si="254"/>
        <v>25137784786.200001</v>
      </c>
      <c r="J1655" s="9">
        <f t="shared" si="255"/>
        <v>9571758</v>
      </c>
      <c r="K1655" s="21">
        <f t="shared" si="256"/>
        <v>2626.2453340546222</v>
      </c>
      <c r="L1655" s="4" t="str">
        <f t="shared" si="252"/>
        <v>SELL</v>
      </c>
      <c r="M1655" s="4">
        <f t="shared" si="257"/>
        <v>0</v>
      </c>
      <c r="N1655" s="4">
        <f t="shared" si="253"/>
        <v>-1</v>
      </c>
      <c r="O1655" s="4">
        <f t="shared" si="258"/>
        <v>2624.55</v>
      </c>
      <c r="P1655" s="4">
        <f t="shared" si="259"/>
        <v>0</v>
      </c>
    </row>
    <row r="1656" spans="1:16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 s="7">
        <v>2500.5500000000002</v>
      </c>
      <c r="F1656">
        <v>744364</v>
      </c>
      <c r="G1656" s="8">
        <f t="shared" si="250"/>
        <v>2500.75</v>
      </c>
      <c r="H1656" s="9">
        <f t="shared" si="251"/>
        <v>1861468273</v>
      </c>
      <c r="I1656" s="9">
        <f t="shared" si="254"/>
        <v>23824232486.300003</v>
      </c>
      <c r="J1656" s="9">
        <f t="shared" si="255"/>
        <v>9152443</v>
      </c>
      <c r="K1656" s="21">
        <f t="shared" si="256"/>
        <v>2603.046256207223</v>
      </c>
      <c r="L1656" s="4" t="str">
        <f t="shared" si="252"/>
        <v>SELL</v>
      </c>
      <c r="M1656" s="4">
        <f t="shared" si="257"/>
        <v>0</v>
      </c>
      <c r="N1656" s="4">
        <f t="shared" si="253"/>
        <v>-1</v>
      </c>
      <c r="O1656" s="4">
        <f t="shared" si="258"/>
        <v>2624.55</v>
      </c>
      <c r="P1656" s="4">
        <f t="shared" si="259"/>
        <v>0</v>
      </c>
    </row>
    <row r="1657" spans="1:16" x14ac:dyDescent="0.25">
      <c r="A1657" s="1">
        <v>43595</v>
      </c>
      <c r="B1657">
        <v>2510</v>
      </c>
      <c r="C1657">
        <v>2549.8000000000002</v>
      </c>
      <c r="D1657">
        <v>2501.25</v>
      </c>
      <c r="E1657" s="7">
        <v>2544.15</v>
      </c>
      <c r="F1657">
        <v>722013</v>
      </c>
      <c r="G1657" s="8">
        <f t="shared" si="250"/>
        <v>2531.7333333333336</v>
      </c>
      <c r="H1657" s="9">
        <f t="shared" si="251"/>
        <v>1827944379.2000003</v>
      </c>
      <c r="I1657" s="9">
        <f t="shared" si="254"/>
        <v>21351163993.050003</v>
      </c>
      <c r="J1657" s="9">
        <f t="shared" si="255"/>
        <v>8282579</v>
      </c>
      <c r="K1657" s="21">
        <f t="shared" si="256"/>
        <v>2577.8400656425979</v>
      </c>
      <c r="L1657" s="4" t="str">
        <f t="shared" si="252"/>
        <v>SELL</v>
      </c>
      <c r="M1657" s="4">
        <f t="shared" si="257"/>
        <v>0</v>
      </c>
      <c r="N1657" s="4">
        <f t="shared" si="253"/>
        <v>-1</v>
      </c>
      <c r="O1657" s="4">
        <f t="shared" si="258"/>
        <v>2624.55</v>
      </c>
      <c r="P1657" s="4">
        <f t="shared" si="259"/>
        <v>0</v>
      </c>
    </row>
    <row r="1658" spans="1:16" x14ac:dyDescent="0.25">
      <c r="A1658" s="1">
        <v>43598</v>
      </c>
      <c r="B1658">
        <v>2550</v>
      </c>
      <c r="C1658">
        <v>2550</v>
      </c>
      <c r="D1658">
        <v>2500.85</v>
      </c>
      <c r="E1658" s="7">
        <v>2511.3000000000002</v>
      </c>
      <c r="F1658">
        <v>1615834</v>
      </c>
      <c r="G1658" s="8">
        <f t="shared" si="250"/>
        <v>2520.7166666666667</v>
      </c>
      <c r="H1658" s="9">
        <f t="shared" si="251"/>
        <v>4073059694.3666668</v>
      </c>
      <c r="I1658" s="9">
        <f t="shared" si="254"/>
        <v>22977477134.533333</v>
      </c>
      <c r="J1658" s="9">
        <f t="shared" si="255"/>
        <v>8974130</v>
      </c>
      <c r="K1658" s="21">
        <f t="shared" si="256"/>
        <v>2560.4127792369104</v>
      </c>
      <c r="L1658" s="4" t="str">
        <f t="shared" si="252"/>
        <v>SELL</v>
      </c>
      <c r="M1658" s="4">
        <f t="shared" si="257"/>
        <v>0</v>
      </c>
      <c r="N1658" s="4">
        <f t="shared" si="253"/>
        <v>-1</v>
      </c>
      <c r="O1658" s="4">
        <f t="shared" si="258"/>
        <v>2624.55</v>
      </c>
      <c r="P1658" s="4">
        <f t="shared" si="259"/>
        <v>0</v>
      </c>
    </row>
    <row r="1659" spans="1:16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 s="7">
        <v>2507.5</v>
      </c>
      <c r="F1659">
        <v>672868</v>
      </c>
      <c r="G1659" s="8">
        <f t="shared" si="250"/>
        <v>2509.8333333333335</v>
      </c>
      <c r="H1659" s="9">
        <f t="shared" si="251"/>
        <v>1688786535.3333335</v>
      </c>
      <c r="I1659" s="9">
        <f t="shared" si="254"/>
        <v>22959404057.066669</v>
      </c>
      <c r="J1659" s="9">
        <f t="shared" si="255"/>
        <v>9000966</v>
      </c>
      <c r="K1659" s="21">
        <f t="shared" si="256"/>
        <v>2550.7711124635589</v>
      </c>
      <c r="L1659" s="4" t="str">
        <f t="shared" si="252"/>
        <v>SELL</v>
      </c>
      <c r="M1659" s="4">
        <f t="shared" si="257"/>
        <v>0</v>
      </c>
      <c r="N1659" s="4">
        <f t="shared" si="253"/>
        <v>-1</v>
      </c>
      <c r="O1659" s="4">
        <f t="shared" si="258"/>
        <v>2624.55</v>
      </c>
      <c r="P1659" s="4">
        <f t="shared" si="259"/>
        <v>0</v>
      </c>
    </row>
    <row r="1660" spans="1:16" x14ac:dyDescent="0.25">
      <c r="A1660" s="1">
        <v>43600</v>
      </c>
      <c r="B1660">
        <v>2512</v>
      </c>
      <c r="C1660">
        <v>2519.4</v>
      </c>
      <c r="D1660">
        <v>2496.0500000000002</v>
      </c>
      <c r="E1660" s="7">
        <v>2514.8000000000002</v>
      </c>
      <c r="F1660">
        <v>871165</v>
      </c>
      <c r="G1660" s="8">
        <f t="shared" si="250"/>
        <v>2510.0833333333335</v>
      </c>
      <c r="H1660" s="9">
        <f t="shared" si="251"/>
        <v>2186696747.0833335</v>
      </c>
      <c r="I1660" s="9">
        <f t="shared" si="254"/>
        <v>21984868372.849998</v>
      </c>
      <c r="J1660" s="9">
        <f t="shared" si="255"/>
        <v>8664009</v>
      </c>
      <c r="K1660" s="21">
        <f t="shared" si="256"/>
        <v>2537.4937136895865</v>
      </c>
      <c r="L1660" s="4" t="str">
        <f t="shared" si="252"/>
        <v>SELL</v>
      </c>
      <c r="M1660" s="4">
        <f t="shared" si="257"/>
        <v>0</v>
      </c>
      <c r="N1660" s="4">
        <f t="shared" si="253"/>
        <v>-1</v>
      </c>
      <c r="O1660" s="4">
        <f t="shared" si="258"/>
        <v>2624.55</v>
      </c>
      <c r="P1660" s="4">
        <f t="shared" si="259"/>
        <v>0</v>
      </c>
    </row>
    <row r="1661" spans="1:16" x14ac:dyDescent="0.25">
      <c r="A1661" s="1">
        <v>43601</v>
      </c>
      <c r="B1661">
        <v>2519.9</v>
      </c>
      <c r="C1661">
        <v>2520.15</v>
      </c>
      <c r="D1661">
        <v>2480</v>
      </c>
      <c r="E1661" s="7">
        <v>2484.0500000000002</v>
      </c>
      <c r="F1661">
        <v>1119533</v>
      </c>
      <c r="G1661" s="8">
        <f t="shared" si="250"/>
        <v>2494.7333333333331</v>
      </c>
      <c r="H1661" s="9">
        <f t="shared" si="251"/>
        <v>2792936292.8666663</v>
      </c>
      <c r="I1661" s="9">
        <f t="shared" si="254"/>
        <v>21878461595.833332</v>
      </c>
      <c r="J1661" s="9">
        <f t="shared" si="255"/>
        <v>8650905</v>
      </c>
      <c r="K1661" s="21">
        <f t="shared" si="256"/>
        <v>2529.0373198911943</v>
      </c>
      <c r="L1661" s="4" t="str">
        <f t="shared" si="252"/>
        <v>SELL</v>
      </c>
      <c r="M1661" s="4">
        <f t="shared" si="257"/>
        <v>0</v>
      </c>
      <c r="N1661" s="4">
        <f t="shared" si="253"/>
        <v>-1</v>
      </c>
      <c r="O1661" s="4">
        <f t="shared" si="258"/>
        <v>2624.55</v>
      </c>
      <c r="P1661" s="4">
        <f t="shared" si="259"/>
        <v>0</v>
      </c>
    </row>
    <row r="1662" spans="1:16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 s="7">
        <v>2440.5500000000002</v>
      </c>
      <c r="F1662">
        <v>1927020</v>
      </c>
      <c r="G1662" s="8">
        <f t="shared" si="250"/>
        <v>2454.4166666666665</v>
      </c>
      <c r="H1662" s="9">
        <f t="shared" si="251"/>
        <v>4729710005</v>
      </c>
      <c r="I1662" s="9">
        <f t="shared" si="254"/>
        <v>24667265654.366669</v>
      </c>
      <c r="J1662" s="9">
        <f t="shared" si="255"/>
        <v>9826238</v>
      </c>
      <c r="K1662" s="21">
        <f t="shared" si="256"/>
        <v>2510.3468544489424</v>
      </c>
      <c r="L1662" s="4" t="str">
        <f t="shared" si="252"/>
        <v>SELL</v>
      </c>
      <c r="M1662" s="4">
        <f t="shared" si="257"/>
        <v>0</v>
      </c>
      <c r="N1662" s="4">
        <f t="shared" si="253"/>
        <v>-1</v>
      </c>
      <c r="O1662" s="4">
        <f t="shared" si="258"/>
        <v>2624.55</v>
      </c>
      <c r="P1662" s="4">
        <f t="shared" si="259"/>
        <v>0</v>
      </c>
    </row>
    <row r="1663" spans="1:16" x14ac:dyDescent="0.25">
      <c r="A1663" s="1">
        <v>43605</v>
      </c>
      <c r="B1663">
        <v>2360</v>
      </c>
      <c r="C1663">
        <v>2360</v>
      </c>
      <c r="D1663">
        <v>2284.75</v>
      </c>
      <c r="E1663" s="7">
        <v>2322.1</v>
      </c>
      <c r="F1663">
        <v>3510758</v>
      </c>
      <c r="G1663" s="8">
        <f t="shared" si="250"/>
        <v>2322.2833333333333</v>
      </c>
      <c r="H1663" s="9">
        <f t="shared" si="251"/>
        <v>8152974790.7666664</v>
      </c>
      <c r="I1663" s="9">
        <f t="shared" si="254"/>
        <v>31378890771.5</v>
      </c>
      <c r="J1663" s="9">
        <f t="shared" si="255"/>
        <v>12778557</v>
      </c>
      <c r="K1663" s="21">
        <f t="shared" si="256"/>
        <v>2455.5895295141695</v>
      </c>
      <c r="L1663" s="4" t="str">
        <f t="shared" si="252"/>
        <v>SELL</v>
      </c>
      <c r="M1663" s="4">
        <f t="shared" si="257"/>
        <v>0</v>
      </c>
      <c r="N1663" s="4">
        <f t="shared" si="253"/>
        <v>-1</v>
      </c>
      <c r="O1663" s="4">
        <f t="shared" si="258"/>
        <v>2624.55</v>
      </c>
      <c r="P1663" s="4">
        <f t="shared" si="259"/>
        <v>0</v>
      </c>
    </row>
    <row r="1664" spans="1:16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 s="7">
        <v>2352.4499999999998</v>
      </c>
      <c r="F1664">
        <v>1371219</v>
      </c>
      <c r="G1664" s="8">
        <f t="shared" si="250"/>
        <v>2346.3833333333337</v>
      </c>
      <c r="H1664" s="9">
        <f t="shared" si="251"/>
        <v>3217405407.9500003</v>
      </c>
      <c r="I1664" s="9">
        <f t="shared" si="254"/>
        <v>32117776461.533333</v>
      </c>
      <c r="J1664" s="9">
        <f t="shared" si="255"/>
        <v>13179931</v>
      </c>
      <c r="K1664" s="21">
        <f t="shared" si="256"/>
        <v>2436.8698486762437</v>
      </c>
      <c r="L1664" s="4" t="str">
        <f t="shared" si="252"/>
        <v>SELL</v>
      </c>
      <c r="M1664" s="4">
        <f t="shared" si="257"/>
        <v>0</v>
      </c>
      <c r="N1664" s="4">
        <f t="shared" si="253"/>
        <v>-1</v>
      </c>
      <c r="O1664" s="4">
        <f t="shared" si="258"/>
        <v>2624.55</v>
      </c>
      <c r="P1664" s="4">
        <f t="shared" si="259"/>
        <v>0</v>
      </c>
    </row>
    <row r="1665" spans="1:16" x14ac:dyDescent="0.25">
      <c r="A1665" s="1">
        <v>43607</v>
      </c>
      <c r="B1665">
        <v>2337</v>
      </c>
      <c r="C1665">
        <v>2363.9499999999998</v>
      </c>
      <c r="D1665">
        <v>2324</v>
      </c>
      <c r="E1665" s="7">
        <v>2359.0500000000002</v>
      </c>
      <c r="F1665">
        <v>1012227</v>
      </c>
      <c r="G1665" s="8">
        <f t="shared" si="250"/>
        <v>2349</v>
      </c>
      <c r="H1665" s="9">
        <f t="shared" si="251"/>
        <v>2377721223</v>
      </c>
      <c r="I1665" s="9">
        <f t="shared" si="254"/>
        <v>32908703348.566669</v>
      </c>
      <c r="J1665" s="9">
        <f t="shared" si="255"/>
        <v>13567001</v>
      </c>
      <c r="K1665" s="21">
        <f t="shared" si="256"/>
        <v>2425.6431726191122</v>
      </c>
      <c r="L1665" s="4" t="str">
        <f t="shared" si="252"/>
        <v>SELL</v>
      </c>
      <c r="M1665" s="4">
        <f t="shared" si="257"/>
        <v>0</v>
      </c>
      <c r="N1665" s="4">
        <f t="shared" si="253"/>
        <v>-1</v>
      </c>
      <c r="O1665" s="4">
        <f t="shared" si="258"/>
        <v>2624.55</v>
      </c>
      <c r="P1665" s="4">
        <f t="shared" si="259"/>
        <v>0</v>
      </c>
    </row>
    <row r="1666" spans="1:16" x14ac:dyDescent="0.25">
      <c r="A1666" s="1">
        <v>43608</v>
      </c>
      <c r="B1666">
        <v>2362</v>
      </c>
      <c r="C1666">
        <v>2377.6</v>
      </c>
      <c r="D1666">
        <v>2310</v>
      </c>
      <c r="E1666" s="7">
        <v>2328.4499999999998</v>
      </c>
      <c r="F1666">
        <v>1034929</v>
      </c>
      <c r="G1666" s="8">
        <f t="shared" ref="G1666:G1729" si="260">AVERAGE(C1666:E1666)</f>
        <v>2338.6833333333334</v>
      </c>
      <c r="H1666" s="9">
        <f t="shared" si="251"/>
        <v>2420371203.4833336</v>
      </c>
      <c r="I1666" s="9">
        <f t="shared" si="254"/>
        <v>33467606279.050003</v>
      </c>
      <c r="J1666" s="9">
        <f t="shared" si="255"/>
        <v>13857566</v>
      </c>
      <c r="K1666" s="21">
        <f t="shared" si="256"/>
        <v>2415.1143338628158</v>
      </c>
      <c r="L1666" s="4" t="str">
        <f t="shared" si="252"/>
        <v>SELL</v>
      </c>
      <c r="M1666" s="4">
        <f t="shared" si="257"/>
        <v>0</v>
      </c>
      <c r="N1666" s="4">
        <f t="shared" si="253"/>
        <v>-1</v>
      </c>
      <c r="O1666" s="4">
        <f t="shared" si="258"/>
        <v>2624.55</v>
      </c>
      <c r="P1666" s="4">
        <f t="shared" si="259"/>
        <v>0</v>
      </c>
    </row>
    <row r="1667" spans="1:16" x14ac:dyDescent="0.25">
      <c r="A1667" s="1">
        <v>43609</v>
      </c>
      <c r="B1667">
        <v>2339.9499999999998</v>
      </c>
      <c r="C1667">
        <v>2342.1</v>
      </c>
      <c r="D1667">
        <v>2316.75</v>
      </c>
      <c r="E1667" s="7">
        <v>2326.9499999999998</v>
      </c>
      <c r="F1667">
        <v>1409482</v>
      </c>
      <c r="G1667" s="8">
        <f t="shared" si="260"/>
        <v>2328.6</v>
      </c>
      <c r="H1667" s="9">
        <f t="shared" ref="H1667:H1730" si="261">G1667*F1667</f>
        <v>3282119785.1999998</v>
      </c>
      <c r="I1667" s="9">
        <f t="shared" si="254"/>
        <v>34921781685.050003</v>
      </c>
      <c r="J1667" s="9">
        <f t="shared" si="255"/>
        <v>14545035</v>
      </c>
      <c r="K1667" s="21">
        <f t="shared" si="256"/>
        <v>2400.9417430105877</v>
      </c>
      <c r="L1667" s="4" t="str">
        <f t="shared" si="252"/>
        <v>SELL</v>
      </c>
      <c r="M1667" s="4">
        <f t="shared" si="257"/>
        <v>0</v>
      </c>
      <c r="N1667" s="4">
        <f t="shared" si="253"/>
        <v>-1</v>
      </c>
      <c r="O1667" s="4">
        <f t="shared" si="258"/>
        <v>2624.55</v>
      </c>
      <c r="P1667" s="4">
        <f t="shared" si="259"/>
        <v>0</v>
      </c>
    </row>
    <row r="1668" spans="1:16" x14ac:dyDescent="0.25">
      <c r="A1668" s="1">
        <v>43612</v>
      </c>
      <c r="B1668">
        <v>2336.6999999999998</v>
      </c>
      <c r="C1668">
        <v>2376</v>
      </c>
      <c r="D1668">
        <v>2320</v>
      </c>
      <c r="E1668" s="7">
        <v>2361.6999999999998</v>
      </c>
      <c r="F1668">
        <v>2179002</v>
      </c>
      <c r="G1668" s="8">
        <f t="shared" si="260"/>
        <v>2352.5666666666666</v>
      </c>
      <c r="H1668" s="9">
        <f t="shared" si="261"/>
        <v>5126247471.8000002</v>
      </c>
      <c r="I1668" s="9">
        <f t="shared" si="254"/>
        <v>35974969462.483337</v>
      </c>
      <c r="J1668" s="9">
        <f t="shared" si="255"/>
        <v>15108203</v>
      </c>
      <c r="K1668" s="21">
        <f t="shared" si="256"/>
        <v>2381.1547582782241</v>
      </c>
      <c r="L1668" s="4" t="str">
        <f t="shared" si="252"/>
        <v>SELL</v>
      </c>
      <c r="M1668" s="4">
        <f t="shared" si="257"/>
        <v>0</v>
      </c>
      <c r="N1668" s="4">
        <f t="shared" si="253"/>
        <v>-1</v>
      </c>
      <c r="O1668" s="4">
        <f t="shared" si="258"/>
        <v>2624.55</v>
      </c>
      <c r="P1668" s="4">
        <f t="shared" si="259"/>
        <v>0</v>
      </c>
    </row>
    <row r="1669" spans="1:16" x14ac:dyDescent="0.25">
      <c r="A1669" s="1">
        <v>43613</v>
      </c>
      <c r="B1669">
        <v>2365</v>
      </c>
      <c r="C1669">
        <v>2427</v>
      </c>
      <c r="D1669">
        <v>2350</v>
      </c>
      <c r="E1669" s="7">
        <v>2411.4499999999998</v>
      </c>
      <c r="F1669">
        <v>1401273</v>
      </c>
      <c r="G1669" s="8">
        <f t="shared" si="260"/>
        <v>2396.15</v>
      </c>
      <c r="H1669" s="9">
        <f t="shared" si="261"/>
        <v>3357660298.9500003</v>
      </c>
      <c r="I1669" s="9">
        <f t="shared" si="254"/>
        <v>37643843226.099998</v>
      </c>
      <c r="J1669" s="9">
        <f t="shared" si="255"/>
        <v>15836608</v>
      </c>
      <c r="K1669" s="21">
        <f t="shared" si="256"/>
        <v>2377.0142713704854</v>
      </c>
      <c r="L1669" s="4" t="str">
        <f t="shared" si="252"/>
        <v>BUY</v>
      </c>
      <c r="M1669" s="4" t="str">
        <f t="shared" si="257"/>
        <v>BUY</v>
      </c>
      <c r="N1669" s="4">
        <f t="shared" si="253"/>
        <v>1</v>
      </c>
      <c r="O1669" s="4">
        <f t="shared" si="258"/>
        <v>2411.4499999999998</v>
      </c>
      <c r="P1669" s="4">
        <f t="shared" si="259"/>
        <v>8.1194871501781396E-2</v>
      </c>
    </row>
    <row r="1670" spans="1:16" x14ac:dyDescent="0.25">
      <c r="A1670" s="1">
        <v>43614</v>
      </c>
      <c r="B1670">
        <v>2411</v>
      </c>
      <c r="C1670">
        <v>2416.9</v>
      </c>
      <c r="D1670">
        <v>2385.4</v>
      </c>
      <c r="E1670" s="7">
        <v>2406.5</v>
      </c>
      <c r="F1670">
        <v>592276</v>
      </c>
      <c r="G1670" s="8">
        <f t="shared" si="260"/>
        <v>2402.9333333333334</v>
      </c>
      <c r="H1670" s="9">
        <f t="shared" si="261"/>
        <v>1423199742.9333334</v>
      </c>
      <c r="I1670" s="9">
        <f t="shared" si="254"/>
        <v>36880346221.949997</v>
      </c>
      <c r="J1670" s="9">
        <f t="shared" si="255"/>
        <v>15557719</v>
      </c>
      <c r="K1670" s="21">
        <f t="shared" si="256"/>
        <v>2370.5497073157057</v>
      </c>
      <c r="L1670" s="4" t="str">
        <f t="shared" si="252"/>
        <v>BUY</v>
      </c>
      <c r="M1670" s="4">
        <f t="shared" si="257"/>
        <v>0</v>
      </c>
      <c r="N1670" s="4">
        <f t="shared" si="253"/>
        <v>1</v>
      </c>
      <c r="O1670" s="4">
        <f t="shared" si="258"/>
        <v>2411.4499999999998</v>
      </c>
      <c r="P1670" s="4">
        <f t="shared" si="259"/>
        <v>0</v>
      </c>
    </row>
    <row r="1671" spans="1:16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 s="7">
        <v>2413.4</v>
      </c>
      <c r="F1671">
        <v>839010</v>
      </c>
      <c r="G1671" s="8">
        <f t="shared" si="260"/>
        <v>2412.7000000000003</v>
      </c>
      <c r="H1671" s="9">
        <f t="shared" si="261"/>
        <v>2024279427.0000002</v>
      </c>
      <c r="I1671" s="9">
        <f t="shared" si="254"/>
        <v>36111689356.083336</v>
      </c>
      <c r="J1671" s="9">
        <f t="shared" si="255"/>
        <v>15277196</v>
      </c>
      <c r="K1671" s="21">
        <f t="shared" si="256"/>
        <v>2363.7642245398524</v>
      </c>
      <c r="L1671" s="4" t="str">
        <f t="shared" si="252"/>
        <v>BUY</v>
      </c>
      <c r="M1671" s="4">
        <f t="shared" si="257"/>
        <v>0</v>
      </c>
      <c r="N1671" s="4">
        <f t="shared" si="253"/>
        <v>1</v>
      </c>
      <c r="O1671" s="4">
        <f t="shared" si="258"/>
        <v>2411.4499999999998</v>
      </c>
      <c r="P1671" s="4">
        <f t="shared" si="259"/>
        <v>0</v>
      </c>
    </row>
    <row r="1672" spans="1:16" x14ac:dyDescent="0.25">
      <c r="A1672" s="1">
        <v>43616</v>
      </c>
      <c r="B1672">
        <v>2425.25</v>
      </c>
      <c r="C1672">
        <v>2428</v>
      </c>
      <c r="D1672">
        <v>2371.1</v>
      </c>
      <c r="E1672" s="7">
        <v>2378</v>
      </c>
      <c r="F1672">
        <v>1428787</v>
      </c>
      <c r="G1672" s="8">
        <f t="shared" si="260"/>
        <v>2392.3666666666668</v>
      </c>
      <c r="H1672" s="9">
        <f t="shared" si="261"/>
        <v>3418182392.5666666</v>
      </c>
      <c r="I1672" s="9">
        <f t="shared" si="254"/>
        <v>34800161743.650002</v>
      </c>
      <c r="J1672" s="9">
        <f t="shared" si="255"/>
        <v>14778963</v>
      </c>
      <c r="K1672" s="21">
        <f t="shared" si="256"/>
        <v>2354.7093083357745</v>
      </c>
      <c r="L1672" s="4" t="str">
        <f t="shared" si="252"/>
        <v>BUY</v>
      </c>
      <c r="M1672" s="4">
        <f t="shared" si="257"/>
        <v>0</v>
      </c>
      <c r="N1672" s="4">
        <f t="shared" si="253"/>
        <v>1</v>
      </c>
      <c r="O1672" s="4">
        <f t="shared" si="258"/>
        <v>2411.4499999999998</v>
      </c>
      <c r="P1672" s="4">
        <f t="shared" si="259"/>
        <v>0</v>
      </c>
    </row>
    <row r="1673" spans="1:16" x14ac:dyDescent="0.25">
      <c r="A1673" s="1">
        <v>43619</v>
      </c>
      <c r="B1673">
        <v>2382</v>
      </c>
      <c r="C1673">
        <v>2403.85</v>
      </c>
      <c r="D1673">
        <v>2371.15</v>
      </c>
      <c r="E1673" s="7">
        <v>2398.1</v>
      </c>
      <c r="F1673">
        <v>900363</v>
      </c>
      <c r="G1673" s="8">
        <f t="shared" si="260"/>
        <v>2391.0333333333333</v>
      </c>
      <c r="H1673" s="9">
        <f t="shared" si="261"/>
        <v>2152797945.0999999</v>
      </c>
      <c r="I1673" s="9">
        <f t="shared" si="254"/>
        <v>28799984897.983334</v>
      </c>
      <c r="J1673" s="9">
        <f t="shared" si="255"/>
        <v>12168568</v>
      </c>
      <c r="K1673" s="21">
        <f t="shared" si="256"/>
        <v>2366.7521846435284</v>
      </c>
      <c r="L1673" s="4" t="str">
        <f t="shared" si="252"/>
        <v>BUY</v>
      </c>
      <c r="M1673" s="4">
        <f t="shared" si="257"/>
        <v>0</v>
      </c>
      <c r="N1673" s="4">
        <f t="shared" si="253"/>
        <v>1</v>
      </c>
      <c r="O1673" s="4">
        <f t="shared" si="258"/>
        <v>2411.4499999999998</v>
      </c>
      <c r="P1673" s="4">
        <f t="shared" si="259"/>
        <v>0</v>
      </c>
    </row>
    <row r="1674" spans="1:16" x14ac:dyDescent="0.25">
      <c r="A1674" s="1">
        <v>43620</v>
      </c>
      <c r="B1674">
        <v>2401.1</v>
      </c>
      <c r="C1674">
        <v>2419.1</v>
      </c>
      <c r="D1674">
        <v>2395</v>
      </c>
      <c r="E1674" s="7">
        <v>2401.1</v>
      </c>
      <c r="F1674">
        <v>876738</v>
      </c>
      <c r="G1674" s="8">
        <f t="shared" si="260"/>
        <v>2405.0666666666671</v>
      </c>
      <c r="H1674" s="9">
        <f t="shared" si="261"/>
        <v>2108613339.2000003</v>
      </c>
      <c r="I1674" s="9">
        <f t="shared" si="254"/>
        <v>27691192829.233334</v>
      </c>
      <c r="J1674" s="9">
        <f t="shared" si="255"/>
        <v>11674087</v>
      </c>
      <c r="K1674" s="21">
        <f t="shared" si="256"/>
        <v>2372.0221400811329</v>
      </c>
      <c r="L1674" s="4" t="str">
        <f t="shared" si="252"/>
        <v>BUY</v>
      </c>
      <c r="M1674" s="4">
        <f t="shared" si="257"/>
        <v>0</v>
      </c>
      <c r="N1674" s="4">
        <f t="shared" si="253"/>
        <v>1</v>
      </c>
      <c r="O1674" s="4">
        <f t="shared" si="258"/>
        <v>2411.4499999999998</v>
      </c>
      <c r="P1674" s="4">
        <f t="shared" si="259"/>
        <v>0</v>
      </c>
    </row>
    <row r="1675" spans="1:16" x14ac:dyDescent="0.25">
      <c r="A1675" s="1">
        <v>43621</v>
      </c>
      <c r="B1675">
        <v>2401.1</v>
      </c>
      <c r="C1675">
        <v>2448</v>
      </c>
      <c r="D1675">
        <v>2401.1</v>
      </c>
      <c r="E1675" s="7">
        <v>2436.1</v>
      </c>
      <c r="F1675">
        <v>1019396</v>
      </c>
      <c r="G1675" s="8">
        <f t="shared" si="260"/>
        <v>2428.4</v>
      </c>
      <c r="H1675" s="9">
        <f t="shared" si="261"/>
        <v>2475501246.4000001</v>
      </c>
      <c r="I1675" s="9">
        <f t="shared" si="254"/>
        <v>27788972852.633335</v>
      </c>
      <c r="J1675" s="9">
        <f t="shared" si="255"/>
        <v>11681256</v>
      </c>
      <c r="K1675" s="21">
        <f t="shared" si="256"/>
        <v>2378.9370640137786</v>
      </c>
      <c r="L1675" s="4" t="str">
        <f t="shared" ref="L1675:L1738" si="262">IF(E1675&gt;K1675,"BUY",IF(E1675&lt;K1675,"SELL",0))</f>
        <v>BUY</v>
      </c>
      <c r="M1675" s="4">
        <f t="shared" si="257"/>
        <v>0</v>
      </c>
      <c r="N1675" s="4">
        <f t="shared" ref="N1675:N1738" si="263">IF(M1675="BUY",1,IF(M1675="SELL",-1,N1674))</f>
        <v>1</v>
      </c>
      <c r="O1675" s="4">
        <f t="shared" si="258"/>
        <v>2411.4499999999998</v>
      </c>
      <c r="P1675" s="4">
        <f t="shared" si="259"/>
        <v>0</v>
      </c>
    </row>
    <row r="1676" spans="1:16" x14ac:dyDescent="0.25">
      <c r="A1676" s="1">
        <v>43622</v>
      </c>
      <c r="B1676">
        <v>2431</v>
      </c>
      <c r="C1676">
        <v>2437.5</v>
      </c>
      <c r="D1676">
        <v>2415.1999999999998</v>
      </c>
      <c r="E1676" s="7">
        <v>2423.0500000000002</v>
      </c>
      <c r="F1676">
        <v>865664</v>
      </c>
      <c r="G1676" s="8">
        <f t="shared" si="260"/>
        <v>2425.25</v>
      </c>
      <c r="H1676" s="9">
        <f t="shared" si="261"/>
        <v>2099451616</v>
      </c>
      <c r="I1676" s="9">
        <f t="shared" ref="I1676:I1739" si="264">SUM(H1667:H1676)</f>
        <v>27468053265.150002</v>
      </c>
      <c r="J1676" s="9">
        <f t="shared" ref="J1676:J1739" si="265">SUM(F1667:F1676)</f>
        <v>11511991</v>
      </c>
      <c r="K1676" s="21">
        <f t="shared" ref="K1676:K1739" si="266">I1676/J1676</f>
        <v>2386.038458955536</v>
      </c>
      <c r="L1676" s="4" t="str">
        <f t="shared" si="262"/>
        <v>BUY</v>
      </c>
      <c r="M1676" s="4">
        <f t="shared" ref="M1676:M1739" si="267">IF(L1676&lt;&gt;L1675,L1676,0)</f>
        <v>0</v>
      </c>
      <c r="N1676" s="4">
        <f t="shared" si="263"/>
        <v>1</v>
      </c>
      <c r="O1676" s="4">
        <f t="shared" ref="O1676:O1739" si="268">IF(M1676&lt;&gt;0,E1676,O1675)</f>
        <v>2411.4499999999998</v>
      </c>
      <c r="P1676" s="4">
        <f t="shared" ref="P1676:P1739" si="269">IF(M1676="BUY",(O1675-O1676)/O1675,IF(M1676="SELL",(O1676-O1675)/O1675,0))</f>
        <v>0</v>
      </c>
    </row>
    <row r="1677" spans="1:16" x14ac:dyDescent="0.25">
      <c r="A1677" s="1">
        <v>43623</v>
      </c>
      <c r="B1677">
        <v>2435</v>
      </c>
      <c r="C1677">
        <v>2456.5</v>
      </c>
      <c r="D1677">
        <v>2419.6</v>
      </c>
      <c r="E1677" s="7">
        <v>2437.8000000000002</v>
      </c>
      <c r="F1677">
        <v>1801979</v>
      </c>
      <c r="G1677" s="8">
        <f t="shared" si="260"/>
        <v>2437.9666666666667</v>
      </c>
      <c r="H1677" s="9">
        <f t="shared" si="261"/>
        <v>4393164736.0333338</v>
      </c>
      <c r="I1677" s="9">
        <f t="shared" si="264"/>
        <v>28579098215.983334</v>
      </c>
      <c r="J1677" s="9">
        <f t="shared" si="265"/>
        <v>11904488</v>
      </c>
      <c r="K1677" s="21">
        <f t="shared" si="266"/>
        <v>2400.6994854363611</v>
      </c>
      <c r="L1677" s="4" t="str">
        <f t="shared" si="262"/>
        <v>BUY</v>
      </c>
      <c r="M1677" s="4">
        <f t="shared" si="267"/>
        <v>0</v>
      </c>
      <c r="N1677" s="4">
        <f t="shared" si="263"/>
        <v>1</v>
      </c>
      <c r="O1677" s="4">
        <f t="shared" si="268"/>
        <v>2411.4499999999998</v>
      </c>
      <c r="P1677" s="4">
        <f t="shared" si="269"/>
        <v>0</v>
      </c>
    </row>
    <row r="1678" spans="1:16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 s="7">
        <v>2430.8000000000002</v>
      </c>
      <c r="F1678">
        <v>1087682</v>
      </c>
      <c r="G1678" s="8">
        <f t="shared" si="260"/>
        <v>2434.5666666666666</v>
      </c>
      <c r="H1678" s="9">
        <f t="shared" si="261"/>
        <v>2648034341.1333332</v>
      </c>
      <c r="I1678" s="9">
        <f t="shared" si="264"/>
        <v>26100885085.316666</v>
      </c>
      <c r="J1678" s="9">
        <f t="shared" si="265"/>
        <v>10813168</v>
      </c>
      <c r="K1678" s="21">
        <f t="shared" si="266"/>
        <v>2413.8055642265676</v>
      </c>
      <c r="L1678" s="4" t="str">
        <f t="shared" si="262"/>
        <v>BUY</v>
      </c>
      <c r="M1678" s="4">
        <f t="shared" si="267"/>
        <v>0</v>
      </c>
      <c r="N1678" s="4">
        <f t="shared" si="263"/>
        <v>1</v>
      </c>
      <c r="O1678" s="4">
        <f t="shared" si="268"/>
        <v>2411.4499999999998</v>
      </c>
      <c r="P1678" s="4">
        <f t="shared" si="269"/>
        <v>0</v>
      </c>
    </row>
    <row r="1679" spans="1:16" x14ac:dyDescent="0.25">
      <c r="A1679" s="1">
        <v>43627</v>
      </c>
      <c r="B1679">
        <v>2450</v>
      </c>
      <c r="C1679">
        <v>2457.65</v>
      </c>
      <c r="D1679">
        <v>2401.1</v>
      </c>
      <c r="E1679" s="7">
        <v>2411.6999999999998</v>
      </c>
      <c r="F1679">
        <v>909440</v>
      </c>
      <c r="G1679" s="8">
        <f t="shared" si="260"/>
        <v>2423.4833333333331</v>
      </c>
      <c r="H1679" s="9">
        <f t="shared" si="261"/>
        <v>2204012682.6666665</v>
      </c>
      <c r="I1679" s="9">
        <f t="shared" si="264"/>
        <v>24947237469.033337</v>
      </c>
      <c r="J1679" s="9">
        <f t="shared" si="265"/>
        <v>10321335</v>
      </c>
      <c r="K1679" s="21">
        <f t="shared" si="266"/>
        <v>2417.0553004076833</v>
      </c>
      <c r="L1679" s="4" t="str">
        <f t="shared" si="262"/>
        <v>SELL</v>
      </c>
      <c r="M1679" s="4" t="str">
        <f t="shared" si="267"/>
        <v>SELL</v>
      </c>
      <c r="N1679" s="4">
        <f t="shared" si="263"/>
        <v>-1</v>
      </c>
      <c r="O1679" s="4">
        <f t="shared" si="268"/>
        <v>2411.6999999999998</v>
      </c>
      <c r="P1679" s="4">
        <f t="shared" si="269"/>
        <v>1.0367206452549297E-4</v>
      </c>
    </row>
    <row r="1680" spans="1:16" x14ac:dyDescent="0.25">
      <c r="A1680" s="1">
        <v>43628</v>
      </c>
      <c r="B1680">
        <v>2420</v>
      </c>
      <c r="C1680">
        <v>2425.0500000000002</v>
      </c>
      <c r="D1680">
        <v>2398</v>
      </c>
      <c r="E1680" s="7">
        <v>2405.15</v>
      </c>
      <c r="F1680">
        <v>890359</v>
      </c>
      <c r="G1680" s="8">
        <f t="shared" si="260"/>
        <v>2409.4</v>
      </c>
      <c r="H1680" s="9">
        <f t="shared" si="261"/>
        <v>2145230974.6000001</v>
      </c>
      <c r="I1680" s="9">
        <f t="shared" si="264"/>
        <v>25669268700.700001</v>
      </c>
      <c r="J1680" s="9">
        <f t="shared" si="265"/>
        <v>10619418</v>
      </c>
      <c r="K1680" s="21">
        <f t="shared" si="266"/>
        <v>2417.2010839671252</v>
      </c>
      <c r="L1680" s="4" t="str">
        <f t="shared" si="262"/>
        <v>SELL</v>
      </c>
      <c r="M1680" s="4">
        <f t="shared" si="267"/>
        <v>0</v>
      </c>
      <c r="N1680" s="4">
        <f t="shared" si="263"/>
        <v>-1</v>
      </c>
      <c r="O1680" s="4">
        <f t="shared" si="268"/>
        <v>2411.6999999999998</v>
      </c>
      <c r="P1680" s="4">
        <f t="shared" si="269"/>
        <v>0</v>
      </c>
    </row>
    <row r="1681" spans="1:16" x14ac:dyDescent="0.25">
      <c r="A1681" s="1">
        <v>43629</v>
      </c>
      <c r="B1681">
        <v>2408</v>
      </c>
      <c r="C1681">
        <v>2415.4</v>
      </c>
      <c r="D1681">
        <v>2376.1</v>
      </c>
      <c r="E1681" s="7">
        <v>2386.35</v>
      </c>
      <c r="F1681">
        <v>588177</v>
      </c>
      <c r="G1681" s="8">
        <f t="shared" si="260"/>
        <v>2392.6166666666668</v>
      </c>
      <c r="H1681" s="9">
        <f t="shared" si="261"/>
        <v>1407282093.1500001</v>
      </c>
      <c r="I1681" s="9">
        <f t="shared" si="264"/>
        <v>25052271366.850002</v>
      </c>
      <c r="J1681" s="9">
        <f t="shared" si="265"/>
        <v>10368585</v>
      </c>
      <c r="K1681" s="21">
        <f t="shared" si="266"/>
        <v>2416.1707086212828</v>
      </c>
      <c r="L1681" s="4" t="str">
        <f t="shared" si="262"/>
        <v>SELL</v>
      </c>
      <c r="M1681" s="4">
        <f t="shared" si="267"/>
        <v>0</v>
      </c>
      <c r="N1681" s="4">
        <f t="shared" si="263"/>
        <v>-1</v>
      </c>
      <c r="O1681" s="4">
        <f t="shared" si="268"/>
        <v>2411.6999999999998</v>
      </c>
      <c r="P1681" s="4">
        <f t="shared" si="269"/>
        <v>0</v>
      </c>
    </row>
    <row r="1682" spans="1:16" x14ac:dyDescent="0.25">
      <c r="A1682" s="1">
        <v>43630</v>
      </c>
      <c r="B1682">
        <v>2395</v>
      </c>
      <c r="C1682">
        <v>2402.4</v>
      </c>
      <c r="D1682">
        <v>2372.75</v>
      </c>
      <c r="E1682" s="7">
        <v>2388.75</v>
      </c>
      <c r="F1682">
        <v>1133786</v>
      </c>
      <c r="G1682" s="8">
        <f t="shared" si="260"/>
        <v>2387.9666666666667</v>
      </c>
      <c r="H1682" s="9">
        <f t="shared" si="261"/>
        <v>2707443175.1333332</v>
      </c>
      <c r="I1682" s="9">
        <f t="shared" si="264"/>
        <v>24341532149.416664</v>
      </c>
      <c r="J1682" s="9">
        <f t="shared" si="265"/>
        <v>10073584</v>
      </c>
      <c r="K1682" s="21">
        <f t="shared" si="266"/>
        <v>2416.3725789566715</v>
      </c>
      <c r="L1682" s="4" t="str">
        <f t="shared" si="262"/>
        <v>SELL</v>
      </c>
      <c r="M1682" s="4">
        <f t="shared" si="267"/>
        <v>0</v>
      </c>
      <c r="N1682" s="4">
        <f t="shared" si="263"/>
        <v>-1</v>
      </c>
      <c r="O1682" s="4">
        <f t="shared" si="268"/>
        <v>2411.6999999999998</v>
      </c>
      <c r="P1682" s="4">
        <f t="shared" si="269"/>
        <v>0</v>
      </c>
    </row>
    <row r="1683" spans="1:16" x14ac:dyDescent="0.25">
      <c r="A1683" s="1">
        <v>43633</v>
      </c>
      <c r="B1683">
        <v>2388</v>
      </c>
      <c r="C1683">
        <v>2388</v>
      </c>
      <c r="D1683">
        <v>2358.1999999999998</v>
      </c>
      <c r="E1683" s="7">
        <v>2367.8000000000002</v>
      </c>
      <c r="F1683">
        <v>908256</v>
      </c>
      <c r="G1683" s="8">
        <f t="shared" si="260"/>
        <v>2371.3333333333335</v>
      </c>
      <c r="H1683" s="9">
        <f t="shared" si="261"/>
        <v>2153777728</v>
      </c>
      <c r="I1683" s="9">
        <f t="shared" si="264"/>
        <v>24342511932.316666</v>
      </c>
      <c r="J1683" s="9">
        <f t="shared" si="265"/>
        <v>10081477</v>
      </c>
      <c r="K1683" s="21">
        <f t="shared" si="266"/>
        <v>2414.5779365778117</v>
      </c>
      <c r="L1683" s="4" t="str">
        <f t="shared" si="262"/>
        <v>SELL</v>
      </c>
      <c r="M1683" s="4">
        <f t="shared" si="267"/>
        <v>0</v>
      </c>
      <c r="N1683" s="4">
        <f t="shared" si="263"/>
        <v>-1</v>
      </c>
      <c r="O1683" s="4">
        <f t="shared" si="268"/>
        <v>2411.6999999999998</v>
      </c>
      <c r="P1683" s="4">
        <f t="shared" si="269"/>
        <v>0</v>
      </c>
    </row>
    <row r="1684" spans="1:16" x14ac:dyDescent="0.25">
      <c r="A1684" s="1">
        <v>43634</v>
      </c>
      <c r="B1684">
        <v>2369.9</v>
      </c>
      <c r="C1684">
        <v>2386.9</v>
      </c>
      <c r="D1684">
        <v>2355.0500000000002</v>
      </c>
      <c r="E1684" s="7">
        <v>2380.3000000000002</v>
      </c>
      <c r="F1684">
        <v>601071</v>
      </c>
      <c r="G1684" s="8">
        <f t="shared" si="260"/>
        <v>2374.0833333333335</v>
      </c>
      <c r="H1684" s="9">
        <f t="shared" si="261"/>
        <v>1426992643.25</v>
      </c>
      <c r="I1684" s="9">
        <f t="shared" si="264"/>
        <v>23660891236.366669</v>
      </c>
      <c r="J1684" s="9">
        <f t="shared" si="265"/>
        <v>9805810</v>
      </c>
      <c r="K1684" s="21">
        <f t="shared" si="266"/>
        <v>2412.9461244269132</v>
      </c>
      <c r="L1684" s="4" t="str">
        <f t="shared" si="262"/>
        <v>SELL</v>
      </c>
      <c r="M1684" s="4">
        <f t="shared" si="267"/>
        <v>0</v>
      </c>
      <c r="N1684" s="4">
        <f t="shared" si="263"/>
        <v>-1</v>
      </c>
      <c r="O1684" s="4">
        <f t="shared" si="268"/>
        <v>2411.6999999999998</v>
      </c>
      <c r="P1684" s="4">
        <f t="shared" si="269"/>
        <v>0</v>
      </c>
    </row>
    <row r="1685" spans="1:16" x14ac:dyDescent="0.25">
      <c r="A1685" s="1">
        <v>43635</v>
      </c>
      <c r="B1685">
        <v>2363.3000000000002</v>
      </c>
      <c r="C1685">
        <v>2369.9</v>
      </c>
      <c r="D1685">
        <v>2320.9</v>
      </c>
      <c r="E1685" s="7">
        <v>2328.9</v>
      </c>
      <c r="F1685">
        <v>2586667</v>
      </c>
      <c r="G1685" s="8">
        <f t="shared" si="260"/>
        <v>2339.9</v>
      </c>
      <c r="H1685" s="9">
        <f t="shared" si="261"/>
        <v>6052542113.3000002</v>
      </c>
      <c r="I1685" s="9">
        <f t="shared" si="264"/>
        <v>27237932103.266666</v>
      </c>
      <c r="J1685" s="9">
        <f t="shared" si="265"/>
        <v>11373081</v>
      </c>
      <c r="K1685" s="21">
        <f t="shared" si="266"/>
        <v>2394.9475171474351</v>
      </c>
      <c r="L1685" s="4" t="str">
        <f t="shared" si="262"/>
        <v>SELL</v>
      </c>
      <c r="M1685" s="4">
        <f t="shared" si="267"/>
        <v>0</v>
      </c>
      <c r="N1685" s="4">
        <f t="shared" si="263"/>
        <v>-1</v>
      </c>
      <c r="O1685" s="4">
        <f t="shared" si="268"/>
        <v>2411.6999999999998</v>
      </c>
      <c r="P1685" s="4">
        <f t="shared" si="269"/>
        <v>0</v>
      </c>
    </row>
    <row r="1686" spans="1:16" x14ac:dyDescent="0.25">
      <c r="A1686" s="1">
        <v>43636</v>
      </c>
      <c r="B1686">
        <v>2315</v>
      </c>
      <c r="C1686">
        <v>2387</v>
      </c>
      <c r="D1686">
        <v>2291</v>
      </c>
      <c r="E1686" s="7">
        <v>2366.1999999999998</v>
      </c>
      <c r="F1686">
        <v>3870607</v>
      </c>
      <c r="G1686" s="8">
        <f t="shared" si="260"/>
        <v>2348.0666666666666</v>
      </c>
      <c r="H1686" s="9">
        <f t="shared" si="261"/>
        <v>9088443276.4666672</v>
      </c>
      <c r="I1686" s="9">
        <f t="shared" si="264"/>
        <v>34226923763.733334</v>
      </c>
      <c r="J1686" s="9">
        <f t="shared" si="265"/>
        <v>14378024</v>
      </c>
      <c r="K1686" s="21">
        <f t="shared" si="266"/>
        <v>2380.5026173091192</v>
      </c>
      <c r="L1686" s="4" t="str">
        <f t="shared" si="262"/>
        <v>SELL</v>
      </c>
      <c r="M1686" s="4">
        <f t="shared" si="267"/>
        <v>0</v>
      </c>
      <c r="N1686" s="4">
        <f t="shared" si="263"/>
        <v>-1</v>
      </c>
      <c r="O1686" s="4">
        <f t="shared" si="268"/>
        <v>2411.6999999999998</v>
      </c>
      <c r="P1686" s="4">
        <f t="shared" si="269"/>
        <v>0</v>
      </c>
    </row>
    <row r="1687" spans="1:16" x14ac:dyDescent="0.25">
      <c r="A1687" s="1">
        <v>43637</v>
      </c>
      <c r="B1687">
        <v>2368.9</v>
      </c>
      <c r="C1687">
        <v>2375.8000000000002</v>
      </c>
      <c r="D1687">
        <v>2344.4</v>
      </c>
      <c r="E1687" s="7">
        <v>2362.4499999999998</v>
      </c>
      <c r="F1687">
        <v>1364173</v>
      </c>
      <c r="G1687" s="8">
        <f t="shared" si="260"/>
        <v>2360.8833333333337</v>
      </c>
      <c r="H1687" s="9">
        <f t="shared" si="261"/>
        <v>3220653299.4833336</v>
      </c>
      <c r="I1687" s="9">
        <f t="shared" si="264"/>
        <v>33054412327.183334</v>
      </c>
      <c r="J1687" s="9">
        <f t="shared" si="265"/>
        <v>13940218</v>
      </c>
      <c r="K1687" s="21">
        <f t="shared" si="266"/>
        <v>2371.154620909324</v>
      </c>
      <c r="L1687" s="4" t="str">
        <f t="shared" si="262"/>
        <v>SELL</v>
      </c>
      <c r="M1687" s="4">
        <f t="shared" si="267"/>
        <v>0</v>
      </c>
      <c r="N1687" s="4">
        <f t="shared" si="263"/>
        <v>-1</v>
      </c>
      <c r="O1687" s="4">
        <f t="shared" si="268"/>
        <v>2411.6999999999998</v>
      </c>
      <c r="P1687" s="4">
        <f t="shared" si="269"/>
        <v>0</v>
      </c>
    </row>
    <row r="1688" spans="1:16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 s="7">
        <v>2400.1999999999998</v>
      </c>
      <c r="F1688">
        <v>1064316</v>
      </c>
      <c r="G1688" s="8">
        <f t="shared" si="260"/>
        <v>2390.2333333333331</v>
      </c>
      <c r="H1688" s="9">
        <f t="shared" si="261"/>
        <v>2543963580.3999996</v>
      </c>
      <c r="I1688" s="9">
        <f t="shared" si="264"/>
        <v>32950341566.449997</v>
      </c>
      <c r="J1688" s="9">
        <f t="shared" si="265"/>
        <v>13916852</v>
      </c>
      <c r="K1688" s="21">
        <f t="shared" si="266"/>
        <v>2367.6576833934855</v>
      </c>
      <c r="L1688" s="4" t="str">
        <f t="shared" si="262"/>
        <v>BUY</v>
      </c>
      <c r="M1688" s="4" t="str">
        <f t="shared" si="267"/>
        <v>BUY</v>
      </c>
      <c r="N1688" s="4">
        <f t="shared" si="263"/>
        <v>1</v>
      </c>
      <c r="O1688" s="4">
        <f t="shared" si="268"/>
        <v>2400.1999999999998</v>
      </c>
      <c r="P1688" s="4">
        <f t="shared" si="269"/>
        <v>4.7684206161628731E-3</v>
      </c>
    </row>
    <row r="1689" spans="1:16" x14ac:dyDescent="0.25">
      <c r="A1689" s="1">
        <v>43641</v>
      </c>
      <c r="B1689">
        <v>2401</v>
      </c>
      <c r="C1689">
        <v>2410</v>
      </c>
      <c r="D1689">
        <v>2370.3000000000002</v>
      </c>
      <c r="E1689" s="7">
        <v>2395.1</v>
      </c>
      <c r="F1689">
        <v>992529</v>
      </c>
      <c r="G1689" s="8">
        <f t="shared" si="260"/>
        <v>2391.7999999999997</v>
      </c>
      <c r="H1689" s="9">
        <f t="shared" si="261"/>
        <v>2373930862.1999998</v>
      </c>
      <c r="I1689" s="9">
        <f t="shared" si="264"/>
        <v>33120259745.983334</v>
      </c>
      <c r="J1689" s="9">
        <f t="shared" si="265"/>
        <v>13999941</v>
      </c>
      <c r="K1689" s="21">
        <f t="shared" si="266"/>
        <v>2365.742808914933</v>
      </c>
      <c r="L1689" s="4" t="str">
        <f t="shared" si="262"/>
        <v>BUY</v>
      </c>
      <c r="M1689" s="4">
        <f t="shared" si="267"/>
        <v>0</v>
      </c>
      <c r="N1689" s="4">
        <f t="shared" si="263"/>
        <v>1</v>
      </c>
      <c r="O1689" s="4">
        <f t="shared" si="268"/>
        <v>2400.1999999999998</v>
      </c>
      <c r="P1689" s="4">
        <f t="shared" si="269"/>
        <v>0</v>
      </c>
    </row>
    <row r="1690" spans="1:16" x14ac:dyDescent="0.25">
      <c r="A1690" s="1">
        <v>43642</v>
      </c>
      <c r="B1690">
        <v>2396.9</v>
      </c>
      <c r="C1690">
        <v>2409.35</v>
      </c>
      <c r="D1690">
        <v>2386</v>
      </c>
      <c r="E1690" s="7">
        <v>2401.15</v>
      </c>
      <c r="F1690">
        <v>632927</v>
      </c>
      <c r="G1690" s="8">
        <f t="shared" si="260"/>
        <v>2398.8333333333335</v>
      </c>
      <c r="H1690" s="9">
        <f t="shared" si="261"/>
        <v>1518286385.1666667</v>
      </c>
      <c r="I1690" s="9">
        <f t="shared" si="264"/>
        <v>32493315156.550003</v>
      </c>
      <c r="J1690" s="9">
        <f t="shared" si="265"/>
        <v>13742509</v>
      </c>
      <c r="K1690" s="21">
        <f t="shared" si="266"/>
        <v>2364.4383392108389</v>
      </c>
      <c r="L1690" s="4" t="str">
        <f t="shared" si="262"/>
        <v>BUY</v>
      </c>
      <c r="M1690" s="4">
        <f t="shared" si="267"/>
        <v>0</v>
      </c>
      <c r="N1690" s="4">
        <f t="shared" si="263"/>
        <v>1</v>
      </c>
      <c r="O1690" s="4">
        <f t="shared" si="268"/>
        <v>2400.1999999999998</v>
      </c>
      <c r="P1690" s="4">
        <f t="shared" si="269"/>
        <v>0</v>
      </c>
    </row>
    <row r="1691" spans="1:16" x14ac:dyDescent="0.25">
      <c r="A1691" s="1">
        <v>43643</v>
      </c>
      <c r="B1691">
        <v>2400</v>
      </c>
      <c r="C1691">
        <v>2431.9</v>
      </c>
      <c r="D1691">
        <v>2398.25</v>
      </c>
      <c r="E1691" s="7">
        <v>2428.65</v>
      </c>
      <c r="F1691">
        <v>629830</v>
      </c>
      <c r="G1691" s="8">
        <f t="shared" si="260"/>
        <v>2419.6</v>
      </c>
      <c r="H1691" s="9">
        <f t="shared" si="261"/>
        <v>1523936668</v>
      </c>
      <c r="I1691" s="9">
        <f t="shared" si="264"/>
        <v>32609969731.400002</v>
      </c>
      <c r="J1691" s="9">
        <f t="shared" si="265"/>
        <v>13784162</v>
      </c>
      <c r="K1691" s="21">
        <f t="shared" si="266"/>
        <v>2365.7564189538689</v>
      </c>
      <c r="L1691" s="4" t="str">
        <f t="shared" si="262"/>
        <v>BUY</v>
      </c>
      <c r="M1691" s="4">
        <f t="shared" si="267"/>
        <v>0</v>
      </c>
      <c r="N1691" s="4">
        <f t="shared" si="263"/>
        <v>1</v>
      </c>
      <c r="O1691" s="4">
        <f t="shared" si="268"/>
        <v>2400.1999999999998</v>
      </c>
      <c r="P1691" s="4">
        <f t="shared" si="269"/>
        <v>0</v>
      </c>
    </row>
    <row r="1692" spans="1:16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 s="7">
        <v>2427.6999999999998</v>
      </c>
      <c r="F1692">
        <v>626595</v>
      </c>
      <c r="G1692" s="8">
        <f t="shared" si="260"/>
        <v>2421.7166666666667</v>
      </c>
      <c r="H1692" s="9">
        <f t="shared" si="261"/>
        <v>1517435554.75</v>
      </c>
      <c r="I1692" s="9">
        <f t="shared" si="264"/>
        <v>31419962111.01667</v>
      </c>
      <c r="J1692" s="9">
        <f t="shared" si="265"/>
        <v>13276971</v>
      </c>
      <c r="K1692" s="21">
        <f t="shared" si="266"/>
        <v>2366.5007712238485</v>
      </c>
      <c r="L1692" s="4" t="str">
        <f t="shared" si="262"/>
        <v>BUY</v>
      </c>
      <c r="M1692" s="4">
        <f t="shared" si="267"/>
        <v>0</v>
      </c>
      <c r="N1692" s="4">
        <f t="shared" si="263"/>
        <v>1</v>
      </c>
      <c r="O1692" s="4">
        <f t="shared" si="268"/>
        <v>2400.1999999999998</v>
      </c>
      <c r="P1692" s="4">
        <f t="shared" si="269"/>
        <v>0</v>
      </c>
    </row>
    <row r="1693" spans="1:16" x14ac:dyDescent="0.25">
      <c r="A1693" s="1">
        <v>43647</v>
      </c>
      <c r="B1693">
        <v>2405</v>
      </c>
      <c r="C1693">
        <v>2414.6</v>
      </c>
      <c r="D1693">
        <v>2381</v>
      </c>
      <c r="E1693" s="7">
        <v>2398.4499999999998</v>
      </c>
      <c r="F1693">
        <v>886233</v>
      </c>
      <c r="G1693" s="8">
        <f t="shared" si="260"/>
        <v>2398.0166666666669</v>
      </c>
      <c r="H1693" s="9">
        <f t="shared" si="261"/>
        <v>2125201504.5500002</v>
      </c>
      <c r="I1693" s="9">
        <f t="shared" si="264"/>
        <v>31391385887.566669</v>
      </c>
      <c r="J1693" s="9">
        <f t="shared" si="265"/>
        <v>13254948</v>
      </c>
      <c r="K1693" s="21">
        <f t="shared" si="266"/>
        <v>2368.2768040709529</v>
      </c>
      <c r="L1693" s="4" t="str">
        <f t="shared" si="262"/>
        <v>BUY</v>
      </c>
      <c r="M1693" s="4">
        <f t="shared" si="267"/>
        <v>0</v>
      </c>
      <c r="N1693" s="4">
        <f t="shared" si="263"/>
        <v>1</v>
      </c>
      <c r="O1693" s="4">
        <f t="shared" si="268"/>
        <v>2400.1999999999998</v>
      </c>
      <c r="P1693" s="4">
        <f t="shared" si="269"/>
        <v>0</v>
      </c>
    </row>
    <row r="1694" spans="1:16" x14ac:dyDescent="0.25">
      <c r="A1694" s="1">
        <v>43648</v>
      </c>
      <c r="B1694">
        <v>2398.6</v>
      </c>
      <c r="C1694">
        <v>2402.75</v>
      </c>
      <c r="D1694">
        <v>2372.5</v>
      </c>
      <c r="E1694" s="7">
        <v>2396.25</v>
      </c>
      <c r="F1694">
        <v>718565</v>
      </c>
      <c r="G1694" s="8">
        <f t="shared" si="260"/>
        <v>2390.5</v>
      </c>
      <c r="H1694" s="9">
        <f t="shared" si="261"/>
        <v>1717729632.5</v>
      </c>
      <c r="I1694" s="9">
        <f t="shared" si="264"/>
        <v>31682122876.816669</v>
      </c>
      <c r="J1694" s="9">
        <f t="shared" si="265"/>
        <v>13372442</v>
      </c>
      <c r="K1694" s="21">
        <f t="shared" si="266"/>
        <v>2369.2099675449458</v>
      </c>
      <c r="L1694" s="4" t="str">
        <f t="shared" si="262"/>
        <v>BUY</v>
      </c>
      <c r="M1694" s="4">
        <f t="shared" si="267"/>
        <v>0</v>
      </c>
      <c r="N1694" s="4">
        <f t="shared" si="263"/>
        <v>1</v>
      </c>
      <c r="O1694" s="4">
        <f t="shared" si="268"/>
        <v>2400.1999999999998</v>
      </c>
      <c r="P1694" s="4">
        <f t="shared" si="269"/>
        <v>0</v>
      </c>
    </row>
    <row r="1695" spans="1:16" x14ac:dyDescent="0.25">
      <c r="A1695" s="1">
        <v>43649</v>
      </c>
      <c r="B1695">
        <v>2379.6999999999998</v>
      </c>
      <c r="C1695">
        <v>2429.5</v>
      </c>
      <c r="D1695">
        <v>2365.5</v>
      </c>
      <c r="E1695" s="7">
        <v>2418.1</v>
      </c>
      <c r="F1695">
        <v>1470801</v>
      </c>
      <c r="G1695" s="8">
        <f t="shared" si="260"/>
        <v>2404.3666666666668</v>
      </c>
      <c r="H1695" s="9">
        <f t="shared" si="261"/>
        <v>3536344897.7000003</v>
      </c>
      <c r="I1695" s="9">
        <f t="shared" si="264"/>
        <v>29165925661.216667</v>
      </c>
      <c r="J1695" s="9">
        <f t="shared" si="265"/>
        <v>12256576</v>
      </c>
      <c r="K1695" s="21">
        <f t="shared" si="266"/>
        <v>2379.6144748106376</v>
      </c>
      <c r="L1695" s="4" t="str">
        <f t="shared" si="262"/>
        <v>BUY</v>
      </c>
      <c r="M1695" s="4">
        <f t="shared" si="267"/>
        <v>0</v>
      </c>
      <c r="N1695" s="4">
        <f t="shared" si="263"/>
        <v>1</v>
      </c>
      <c r="O1695" s="4">
        <f t="shared" si="268"/>
        <v>2400.1999999999998</v>
      </c>
      <c r="P1695" s="4">
        <f t="shared" si="269"/>
        <v>0</v>
      </c>
    </row>
    <row r="1696" spans="1:16" x14ac:dyDescent="0.25">
      <c r="A1696" s="1">
        <v>43650</v>
      </c>
      <c r="B1696">
        <v>2410</v>
      </c>
      <c r="C1696">
        <v>2415.1</v>
      </c>
      <c r="D1696">
        <v>2388</v>
      </c>
      <c r="E1696" s="7">
        <v>2398.6999999999998</v>
      </c>
      <c r="F1696">
        <v>876051</v>
      </c>
      <c r="G1696" s="8">
        <f t="shared" si="260"/>
        <v>2400.6</v>
      </c>
      <c r="H1696" s="9">
        <f t="shared" si="261"/>
        <v>2103048030.5999999</v>
      </c>
      <c r="I1696" s="9">
        <f t="shared" si="264"/>
        <v>22180530415.349998</v>
      </c>
      <c r="J1696" s="9">
        <f t="shared" si="265"/>
        <v>9262020</v>
      </c>
      <c r="K1696" s="21">
        <f t="shared" si="266"/>
        <v>2394.7832562821068</v>
      </c>
      <c r="L1696" s="4" t="str">
        <f t="shared" si="262"/>
        <v>BUY</v>
      </c>
      <c r="M1696" s="4">
        <f t="shared" si="267"/>
        <v>0</v>
      </c>
      <c r="N1696" s="4">
        <f t="shared" si="263"/>
        <v>1</v>
      </c>
      <c r="O1696" s="4">
        <f t="shared" si="268"/>
        <v>2400.1999999999998</v>
      </c>
      <c r="P1696" s="4">
        <f t="shared" si="269"/>
        <v>0</v>
      </c>
    </row>
    <row r="1697" spans="1:16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 s="7">
        <v>2391.0500000000002</v>
      </c>
      <c r="F1697">
        <v>42676</v>
      </c>
      <c r="G1697" s="8">
        <f t="shared" si="260"/>
        <v>2394</v>
      </c>
      <c r="H1697" s="9">
        <f t="shared" si="261"/>
        <v>102166344</v>
      </c>
      <c r="I1697" s="9">
        <f t="shared" si="264"/>
        <v>19062043459.866665</v>
      </c>
      <c r="J1697" s="9">
        <f t="shared" si="265"/>
        <v>7940523</v>
      </c>
      <c r="K1697" s="21">
        <f t="shared" si="266"/>
        <v>2400.6030156787738</v>
      </c>
      <c r="L1697" s="4" t="str">
        <f t="shared" si="262"/>
        <v>SELL</v>
      </c>
      <c r="M1697" s="4" t="str">
        <f t="shared" si="267"/>
        <v>SELL</v>
      </c>
      <c r="N1697" s="4">
        <f t="shared" si="263"/>
        <v>-1</v>
      </c>
      <c r="O1697" s="4">
        <f t="shared" si="268"/>
        <v>2391.0500000000002</v>
      </c>
      <c r="P1697" s="4">
        <f t="shared" si="269"/>
        <v>-3.8121823181400038E-3</v>
      </c>
    </row>
    <row r="1698" spans="1:16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 s="7">
        <v>2350</v>
      </c>
      <c r="F1698">
        <v>1467388</v>
      </c>
      <c r="G1698" s="8">
        <f t="shared" si="260"/>
        <v>2361.2833333333333</v>
      </c>
      <c r="H1698" s="9">
        <f t="shared" si="261"/>
        <v>3464918827.9333334</v>
      </c>
      <c r="I1698" s="9">
        <f t="shared" si="264"/>
        <v>19982998707.400002</v>
      </c>
      <c r="J1698" s="9">
        <f t="shared" si="265"/>
        <v>8343595</v>
      </c>
      <c r="K1698" s="21">
        <f t="shared" si="266"/>
        <v>2395.0106287996964</v>
      </c>
      <c r="L1698" s="4" t="str">
        <f t="shared" si="262"/>
        <v>SELL</v>
      </c>
      <c r="M1698" s="4">
        <f t="shared" si="267"/>
        <v>0</v>
      </c>
      <c r="N1698" s="4">
        <f t="shared" si="263"/>
        <v>-1</v>
      </c>
      <c r="O1698" s="4">
        <f t="shared" si="268"/>
        <v>2391.0500000000002</v>
      </c>
      <c r="P1698" s="4">
        <f t="shared" si="269"/>
        <v>0</v>
      </c>
    </row>
    <row r="1699" spans="1:16" x14ac:dyDescent="0.25">
      <c r="A1699" s="1">
        <v>43655</v>
      </c>
      <c r="B1699">
        <v>2341</v>
      </c>
      <c r="C1699">
        <v>2344</v>
      </c>
      <c r="D1699">
        <v>2295</v>
      </c>
      <c r="E1699" s="7">
        <v>2304.0500000000002</v>
      </c>
      <c r="F1699">
        <v>1162538</v>
      </c>
      <c r="G1699" s="8">
        <f t="shared" si="260"/>
        <v>2314.35</v>
      </c>
      <c r="H1699" s="9">
        <f t="shared" si="261"/>
        <v>2690519820.2999997</v>
      </c>
      <c r="I1699" s="9">
        <f t="shared" si="264"/>
        <v>20299587665.5</v>
      </c>
      <c r="J1699" s="9">
        <f t="shared" si="265"/>
        <v>8513604</v>
      </c>
      <c r="K1699" s="21">
        <f t="shared" si="266"/>
        <v>2384.3706690492063</v>
      </c>
      <c r="L1699" s="4" t="str">
        <f t="shared" si="262"/>
        <v>SELL</v>
      </c>
      <c r="M1699" s="4">
        <f t="shared" si="267"/>
        <v>0</v>
      </c>
      <c r="N1699" s="4">
        <f t="shared" si="263"/>
        <v>-1</v>
      </c>
      <c r="O1699" s="4">
        <f t="shared" si="268"/>
        <v>2391.0500000000002</v>
      </c>
      <c r="P1699" s="4">
        <f t="shared" si="269"/>
        <v>0</v>
      </c>
    </row>
    <row r="1700" spans="1:16" x14ac:dyDescent="0.25">
      <c r="A1700" s="1">
        <v>43656</v>
      </c>
      <c r="B1700">
        <v>2294</v>
      </c>
      <c r="C1700">
        <v>2335</v>
      </c>
      <c r="D1700">
        <v>2284.5</v>
      </c>
      <c r="E1700" s="7">
        <v>2319.4499999999998</v>
      </c>
      <c r="F1700">
        <v>731655</v>
      </c>
      <c r="G1700" s="8">
        <f t="shared" si="260"/>
        <v>2312.9833333333331</v>
      </c>
      <c r="H1700" s="9">
        <f t="shared" si="261"/>
        <v>1692305820.7499998</v>
      </c>
      <c r="I1700" s="9">
        <f t="shared" si="264"/>
        <v>20473607101.083332</v>
      </c>
      <c r="J1700" s="9">
        <f t="shared" si="265"/>
        <v>8612332</v>
      </c>
      <c r="K1700" s="21">
        <f t="shared" si="266"/>
        <v>2377.243132415626</v>
      </c>
      <c r="L1700" s="4" t="str">
        <f t="shared" si="262"/>
        <v>SELL</v>
      </c>
      <c r="M1700" s="4">
        <f t="shared" si="267"/>
        <v>0</v>
      </c>
      <c r="N1700" s="4">
        <f t="shared" si="263"/>
        <v>-1</v>
      </c>
      <c r="O1700" s="4">
        <f t="shared" si="268"/>
        <v>2391.0500000000002</v>
      </c>
      <c r="P1700" s="4">
        <f t="shared" si="269"/>
        <v>0</v>
      </c>
    </row>
    <row r="1701" spans="1:16" x14ac:dyDescent="0.25">
      <c r="A1701" s="1">
        <v>43657</v>
      </c>
      <c r="B1701">
        <v>2320</v>
      </c>
      <c r="C1701">
        <v>2336.15</v>
      </c>
      <c r="D1701">
        <v>2294</v>
      </c>
      <c r="E1701" s="7">
        <v>2330.5500000000002</v>
      </c>
      <c r="F1701">
        <v>591876</v>
      </c>
      <c r="G1701" s="8">
        <f t="shared" si="260"/>
        <v>2320.2333333333331</v>
      </c>
      <c r="H1701" s="9">
        <f t="shared" si="261"/>
        <v>1373290424.3999999</v>
      </c>
      <c r="I1701" s="9">
        <f t="shared" si="264"/>
        <v>20322960857.483334</v>
      </c>
      <c r="J1701" s="9">
        <f t="shared" si="265"/>
        <v>8574378</v>
      </c>
      <c r="K1701" s="21">
        <f t="shared" si="266"/>
        <v>2370.1965154187665</v>
      </c>
      <c r="L1701" s="4" t="str">
        <f t="shared" si="262"/>
        <v>SELL</v>
      </c>
      <c r="M1701" s="4">
        <f t="shared" si="267"/>
        <v>0</v>
      </c>
      <c r="N1701" s="4">
        <f t="shared" si="263"/>
        <v>-1</v>
      </c>
      <c r="O1701" s="4">
        <f t="shared" si="268"/>
        <v>2391.0500000000002</v>
      </c>
      <c r="P1701" s="4">
        <f t="shared" si="269"/>
        <v>0</v>
      </c>
    </row>
    <row r="1702" spans="1:16" x14ac:dyDescent="0.25">
      <c r="A1702" s="1">
        <v>43658</v>
      </c>
      <c r="B1702">
        <v>2337.9</v>
      </c>
      <c r="C1702">
        <v>2344.9</v>
      </c>
      <c r="D1702">
        <v>2260.0500000000002</v>
      </c>
      <c r="E1702" s="7">
        <v>2277.0500000000002</v>
      </c>
      <c r="F1702">
        <v>1024026</v>
      </c>
      <c r="G1702" s="8">
        <f t="shared" si="260"/>
        <v>2294.0000000000005</v>
      </c>
      <c r="H1702" s="9">
        <f t="shared" si="261"/>
        <v>2349115644.0000005</v>
      </c>
      <c r="I1702" s="9">
        <f t="shared" si="264"/>
        <v>21154640946.733334</v>
      </c>
      <c r="J1702" s="9">
        <f t="shared" si="265"/>
        <v>8971809</v>
      </c>
      <c r="K1702" s="21">
        <f t="shared" si="266"/>
        <v>2357.9013938809144</v>
      </c>
      <c r="L1702" s="4" t="str">
        <f t="shared" si="262"/>
        <v>SELL</v>
      </c>
      <c r="M1702" s="4">
        <f t="shared" si="267"/>
        <v>0</v>
      </c>
      <c r="N1702" s="4">
        <f t="shared" si="263"/>
        <v>-1</v>
      </c>
      <c r="O1702" s="4">
        <f t="shared" si="268"/>
        <v>2391.0500000000002</v>
      </c>
      <c r="P1702" s="4">
        <f t="shared" si="269"/>
        <v>0</v>
      </c>
    </row>
    <row r="1703" spans="1:16" x14ac:dyDescent="0.25">
      <c r="A1703" s="1">
        <v>43661</v>
      </c>
      <c r="B1703">
        <v>2280.4499999999998</v>
      </c>
      <c r="C1703">
        <v>2307</v>
      </c>
      <c r="D1703">
        <v>2260</v>
      </c>
      <c r="E1703" s="7">
        <v>2283.1999999999998</v>
      </c>
      <c r="F1703">
        <v>966817</v>
      </c>
      <c r="G1703" s="8">
        <f t="shared" si="260"/>
        <v>2283.4</v>
      </c>
      <c r="H1703" s="9">
        <f t="shared" si="261"/>
        <v>2207629937.8000002</v>
      </c>
      <c r="I1703" s="9">
        <f t="shared" si="264"/>
        <v>21237069379.983334</v>
      </c>
      <c r="J1703" s="9">
        <f t="shared" si="265"/>
        <v>9052393</v>
      </c>
      <c r="K1703" s="21">
        <f t="shared" si="266"/>
        <v>2346.017166950588</v>
      </c>
      <c r="L1703" s="4" t="str">
        <f t="shared" si="262"/>
        <v>SELL</v>
      </c>
      <c r="M1703" s="4">
        <f t="shared" si="267"/>
        <v>0</v>
      </c>
      <c r="N1703" s="4">
        <f t="shared" si="263"/>
        <v>-1</v>
      </c>
      <c r="O1703" s="4">
        <f t="shared" si="268"/>
        <v>2391.0500000000002</v>
      </c>
      <c r="P1703" s="4">
        <f t="shared" si="269"/>
        <v>0</v>
      </c>
    </row>
    <row r="1704" spans="1:16" x14ac:dyDescent="0.25">
      <c r="A1704" s="1">
        <v>43662</v>
      </c>
      <c r="B1704">
        <v>2180</v>
      </c>
      <c r="C1704">
        <v>2275</v>
      </c>
      <c r="D1704">
        <v>2142.85</v>
      </c>
      <c r="E1704" s="7">
        <v>2169.85</v>
      </c>
      <c r="F1704">
        <v>2250113</v>
      </c>
      <c r="G1704" s="8">
        <f t="shared" si="260"/>
        <v>2195.9</v>
      </c>
      <c r="H1704" s="9">
        <f t="shared" si="261"/>
        <v>4941023136.6999998</v>
      </c>
      <c r="I1704" s="9">
        <f t="shared" si="264"/>
        <v>24460362884.183334</v>
      </c>
      <c r="J1704" s="9">
        <f t="shared" si="265"/>
        <v>10583941</v>
      </c>
      <c r="K1704" s="21">
        <f t="shared" si="266"/>
        <v>2311.0826944503315</v>
      </c>
      <c r="L1704" s="4" t="str">
        <f t="shared" si="262"/>
        <v>SELL</v>
      </c>
      <c r="M1704" s="4">
        <f t="shared" si="267"/>
        <v>0</v>
      </c>
      <c r="N1704" s="4">
        <f t="shared" si="263"/>
        <v>-1</v>
      </c>
      <c r="O1704" s="4">
        <f t="shared" si="268"/>
        <v>2391.0500000000002</v>
      </c>
      <c r="P1704" s="4">
        <f t="shared" si="269"/>
        <v>0</v>
      </c>
    </row>
    <row r="1705" spans="1:16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 s="7">
        <v>2155.4499999999998</v>
      </c>
      <c r="F1705">
        <v>1086213</v>
      </c>
      <c r="G1705" s="8">
        <f t="shared" si="260"/>
        <v>2171.25</v>
      </c>
      <c r="H1705" s="9">
        <f t="shared" si="261"/>
        <v>2358439976.25</v>
      </c>
      <c r="I1705" s="9">
        <f t="shared" si="264"/>
        <v>23282457962.733334</v>
      </c>
      <c r="J1705" s="9">
        <f t="shared" si="265"/>
        <v>10199353</v>
      </c>
      <c r="K1705" s="21">
        <f t="shared" si="266"/>
        <v>2282.7387151649064</v>
      </c>
      <c r="L1705" s="4" t="str">
        <f t="shared" si="262"/>
        <v>SELL</v>
      </c>
      <c r="M1705" s="4">
        <f t="shared" si="267"/>
        <v>0</v>
      </c>
      <c r="N1705" s="4">
        <f t="shared" si="263"/>
        <v>-1</v>
      </c>
      <c r="O1705" s="4">
        <f t="shared" si="268"/>
        <v>2391.0500000000002</v>
      </c>
      <c r="P1705" s="4">
        <f t="shared" si="269"/>
        <v>0</v>
      </c>
    </row>
    <row r="1706" spans="1:16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 s="7">
        <v>2101.15</v>
      </c>
      <c r="F1706">
        <v>1199212</v>
      </c>
      <c r="G1706" s="8">
        <f t="shared" si="260"/>
        <v>2111.4666666666667</v>
      </c>
      <c r="H1706" s="9">
        <f t="shared" si="261"/>
        <v>2532096164.2666669</v>
      </c>
      <c r="I1706" s="9">
        <f t="shared" si="264"/>
        <v>23711506096.400002</v>
      </c>
      <c r="J1706" s="9">
        <f t="shared" si="265"/>
        <v>10522514</v>
      </c>
      <c r="K1706" s="21">
        <f t="shared" si="266"/>
        <v>2253.4069421432941</v>
      </c>
      <c r="L1706" s="4" t="str">
        <f t="shared" si="262"/>
        <v>SELL</v>
      </c>
      <c r="M1706" s="4">
        <f t="shared" si="267"/>
        <v>0</v>
      </c>
      <c r="N1706" s="4">
        <f t="shared" si="263"/>
        <v>-1</v>
      </c>
      <c r="O1706" s="4">
        <f t="shared" si="268"/>
        <v>2391.0500000000002</v>
      </c>
      <c r="P1706" s="4">
        <f t="shared" si="269"/>
        <v>0</v>
      </c>
    </row>
    <row r="1707" spans="1:16" x14ac:dyDescent="0.25">
      <c r="A1707" s="1">
        <v>43665</v>
      </c>
      <c r="B1707">
        <v>2116.9</v>
      </c>
      <c r="C1707">
        <v>2157.5500000000002</v>
      </c>
      <c r="D1707">
        <v>2051.9</v>
      </c>
      <c r="E1707" s="7">
        <v>2121.3000000000002</v>
      </c>
      <c r="F1707">
        <v>3145162</v>
      </c>
      <c r="G1707" s="8">
        <f t="shared" si="260"/>
        <v>2110.2500000000005</v>
      </c>
      <c r="H1707" s="9">
        <f t="shared" si="261"/>
        <v>6637078110.500001</v>
      </c>
      <c r="I1707" s="9">
        <f t="shared" si="264"/>
        <v>30246417862.900002</v>
      </c>
      <c r="J1707" s="9">
        <f t="shared" si="265"/>
        <v>13625000</v>
      </c>
      <c r="K1707" s="21">
        <f t="shared" si="266"/>
        <v>2219.9205770935782</v>
      </c>
      <c r="L1707" s="4" t="str">
        <f t="shared" si="262"/>
        <v>SELL</v>
      </c>
      <c r="M1707" s="4">
        <f t="shared" si="267"/>
        <v>0</v>
      </c>
      <c r="N1707" s="4">
        <f t="shared" si="263"/>
        <v>-1</v>
      </c>
      <c r="O1707" s="4">
        <f t="shared" si="268"/>
        <v>2391.0500000000002</v>
      </c>
      <c r="P1707" s="4">
        <f t="shared" si="269"/>
        <v>0</v>
      </c>
    </row>
    <row r="1708" spans="1:16" x14ac:dyDescent="0.25">
      <c r="A1708" s="1">
        <v>43668</v>
      </c>
      <c r="B1708">
        <v>2145.1</v>
      </c>
      <c r="C1708">
        <v>2208.9</v>
      </c>
      <c r="D1708">
        <v>2138</v>
      </c>
      <c r="E1708" s="7">
        <v>2189.6</v>
      </c>
      <c r="F1708">
        <v>2009979</v>
      </c>
      <c r="G1708" s="8">
        <f t="shared" si="260"/>
        <v>2178.8333333333335</v>
      </c>
      <c r="H1708" s="9">
        <f t="shared" si="261"/>
        <v>4379409244.5</v>
      </c>
      <c r="I1708" s="9">
        <f t="shared" si="264"/>
        <v>31160908279.466667</v>
      </c>
      <c r="J1708" s="9">
        <f t="shared" si="265"/>
        <v>14167591</v>
      </c>
      <c r="K1708" s="21">
        <f t="shared" si="266"/>
        <v>2199.4500179647102</v>
      </c>
      <c r="L1708" s="4" t="str">
        <f t="shared" si="262"/>
        <v>SELL</v>
      </c>
      <c r="M1708" s="4">
        <f t="shared" si="267"/>
        <v>0</v>
      </c>
      <c r="N1708" s="4">
        <f t="shared" si="263"/>
        <v>-1</v>
      </c>
      <c r="O1708" s="4">
        <f t="shared" si="268"/>
        <v>2391.0500000000002</v>
      </c>
      <c r="P1708" s="4">
        <f t="shared" si="269"/>
        <v>0</v>
      </c>
    </row>
    <row r="1709" spans="1:16" x14ac:dyDescent="0.25">
      <c r="A1709" s="1">
        <v>43669</v>
      </c>
      <c r="B1709">
        <v>2185</v>
      </c>
      <c r="C1709">
        <v>2208.6</v>
      </c>
      <c r="D1709">
        <v>2130.15</v>
      </c>
      <c r="E1709" s="7">
        <v>2137.1999999999998</v>
      </c>
      <c r="F1709">
        <v>1252344</v>
      </c>
      <c r="G1709" s="8">
        <f t="shared" si="260"/>
        <v>2158.65</v>
      </c>
      <c r="H1709" s="9">
        <f t="shared" si="261"/>
        <v>2703372375.5999999</v>
      </c>
      <c r="I1709" s="9">
        <f t="shared" si="264"/>
        <v>31173760834.766666</v>
      </c>
      <c r="J1709" s="9">
        <f t="shared" si="265"/>
        <v>14257397</v>
      </c>
      <c r="K1709" s="21">
        <f t="shared" si="266"/>
        <v>2186.4973553564278</v>
      </c>
      <c r="L1709" s="4" t="str">
        <f t="shared" si="262"/>
        <v>SELL</v>
      </c>
      <c r="M1709" s="4">
        <f t="shared" si="267"/>
        <v>0</v>
      </c>
      <c r="N1709" s="4">
        <f t="shared" si="263"/>
        <v>-1</v>
      </c>
      <c r="O1709" s="4">
        <f t="shared" si="268"/>
        <v>2391.0500000000002</v>
      </c>
      <c r="P1709" s="4">
        <f t="shared" si="269"/>
        <v>0</v>
      </c>
    </row>
    <row r="1710" spans="1:16" x14ac:dyDescent="0.25">
      <c r="A1710" s="1">
        <v>43670</v>
      </c>
      <c r="B1710">
        <v>2142</v>
      </c>
      <c r="C1710">
        <v>2150</v>
      </c>
      <c r="D1710">
        <v>2104.1999999999998</v>
      </c>
      <c r="E1710" s="7">
        <v>2125.1</v>
      </c>
      <c r="F1710">
        <v>1070267</v>
      </c>
      <c r="G1710" s="8">
        <f t="shared" si="260"/>
        <v>2126.4333333333329</v>
      </c>
      <c r="H1710" s="9">
        <f t="shared" si="261"/>
        <v>2275851424.3666663</v>
      </c>
      <c r="I1710" s="9">
        <f t="shared" si="264"/>
        <v>31757306438.383331</v>
      </c>
      <c r="J1710" s="9">
        <f t="shared" si="265"/>
        <v>14596009</v>
      </c>
      <c r="K1710" s="21">
        <f t="shared" si="266"/>
        <v>2175.7527306528332</v>
      </c>
      <c r="L1710" s="4" t="str">
        <f t="shared" si="262"/>
        <v>SELL</v>
      </c>
      <c r="M1710" s="4">
        <f t="shared" si="267"/>
        <v>0</v>
      </c>
      <c r="N1710" s="4">
        <f t="shared" si="263"/>
        <v>-1</v>
      </c>
      <c r="O1710" s="4">
        <f t="shared" si="268"/>
        <v>2391.0500000000002</v>
      </c>
      <c r="P1710" s="4">
        <f t="shared" si="269"/>
        <v>0</v>
      </c>
    </row>
    <row r="1711" spans="1:16" x14ac:dyDescent="0.25">
      <c r="A1711" s="1">
        <v>43671</v>
      </c>
      <c r="B1711">
        <v>2126.1999999999998</v>
      </c>
      <c r="C1711">
        <v>2140</v>
      </c>
      <c r="D1711">
        <v>2105</v>
      </c>
      <c r="E1711" s="7">
        <v>2132.9</v>
      </c>
      <c r="F1711">
        <v>896683</v>
      </c>
      <c r="G1711" s="8">
        <f t="shared" si="260"/>
        <v>2125.9666666666667</v>
      </c>
      <c r="H1711" s="9">
        <f t="shared" si="261"/>
        <v>1906318168.5666666</v>
      </c>
      <c r="I1711" s="9">
        <f t="shared" si="264"/>
        <v>32290334182.549995</v>
      </c>
      <c r="J1711" s="9">
        <f t="shared" si="265"/>
        <v>14900816</v>
      </c>
      <c r="K1711" s="21">
        <f t="shared" si="266"/>
        <v>2167.0178453683338</v>
      </c>
      <c r="L1711" s="4" t="str">
        <f t="shared" si="262"/>
        <v>SELL</v>
      </c>
      <c r="M1711" s="4">
        <f t="shared" si="267"/>
        <v>0</v>
      </c>
      <c r="N1711" s="4">
        <f t="shared" si="263"/>
        <v>-1</v>
      </c>
      <c r="O1711" s="4">
        <f t="shared" si="268"/>
        <v>2391.0500000000002</v>
      </c>
      <c r="P1711" s="4">
        <f t="shared" si="269"/>
        <v>0</v>
      </c>
    </row>
    <row r="1712" spans="1:16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 s="7">
        <v>2135</v>
      </c>
      <c r="F1712">
        <v>659430</v>
      </c>
      <c r="G1712" s="8">
        <f t="shared" si="260"/>
        <v>2144.8333333333335</v>
      </c>
      <c r="H1712" s="9">
        <f t="shared" si="261"/>
        <v>1414367445</v>
      </c>
      <c r="I1712" s="9">
        <f t="shared" si="264"/>
        <v>31355585983.549995</v>
      </c>
      <c r="J1712" s="9">
        <f t="shared" si="265"/>
        <v>14536220</v>
      </c>
      <c r="K1712" s="21">
        <f t="shared" si="266"/>
        <v>2157.0660036481281</v>
      </c>
      <c r="L1712" s="4" t="str">
        <f t="shared" si="262"/>
        <v>SELL</v>
      </c>
      <c r="M1712" s="4">
        <f t="shared" si="267"/>
        <v>0</v>
      </c>
      <c r="N1712" s="4">
        <f t="shared" si="263"/>
        <v>-1</v>
      </c>
      <c r="O1712" s="4">
        <f t="shared" si="268"/>
        <v>2391.0500000000002</v>
      </c>
      <c r="P1712" s="4">
        <f t="shared" si="269"/>
        <v>0</v>
      </c>
    </row>
    <row r="1713" spans="1:16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 s="7">
        <v>2156.35</v>
      </c>
      <c r="F1713">
        <v>637904</v>
      </c>
      <c r="G1713" s="8">
        <f t="shared" si="260"/>
        <v>2148.8333333333335</v>
      </c>
      <c r="H1713" s="9">
        <f t="shared" si="261"/>
        <v>1370749378.6666667</v>
      </c>
      <c r="I1713" s="9">
        <f t="shared" si="264"/>
        <v>30518705424.416664</v>
      </c>
      <c r="J1713" s="9">
        <f t="shared" si="265"/>
        <v>14207307</v>
      </c>
      <c r="K1713" s="21">
        <f t="shared" si="266"/>
        <v>2148.0992438902504</v>
      </c>
      <c r="L1713" s="4" t="str">
        <f t="shared" si="262"/>
        <v>BUY</v>
      </c>
      <c r="M1713" s="4" t="str">
        <f t="shared" si="267"/>
        <v>BUY</v>
      </c>
      <c r="N1713" s="4">
        <f t="shared" si="263"/>
        <v>1</v>
      </c>
      <c r="O1713" s="4">
        <f t="shared" si="268"/>
        <v>2156.35</v>
      </c>
      <c r="P1713" s="4">
        <f t="shared" si="269"/>
        <v>9.8157713138579392E-2</v>
      </c>
    </row>
    <row r="1714" spans="1:16" x14ac:dyDescent="0.25">
      <c r="A1714" s="1">
        <v>43676</v>
      </c>
      <c r="B1714">
        <v>2154.9</v>
      </c>
      <c r="C1714">
        <v>2207.6</v>
      </c>
      <c r="D1714">
        <v>2137</v>
      </c>
      <c r="E1714" s="7">
        <v>2188.4499999999998</v>
      </c>
      <c r="F1714">
        <v>1513117</v>
      </c>
      <c r="G1714" s="8">
        <f t="shared" si="260"/>
        <v>2177.6833333333334</v>
      </c>
      <c r="H1714" s="9">
        <f t="shared" si="261"/>
        <v>3295089672.2833333</v>
      </c>
      <c r="I1714" s="9">
        <f t="shared" si="264"/>
        <v>28872771959.999996</v>
      </c>
      <c r="J1714" s="9">
        <f t="shared" si="265"/>
        <v>13470311</v>
      </c>
      <c r="K1714" s="21">
        <f t="shared" si="266"/>
        <v>2143.4376652476694</v>
      </c>
      <c r="L1714" s="4" t="str">
        <f t="shared" si="262"/>
        <v>BUY</v>
      </c>
      <c r="M1714" s="4">
        <f t="shared" si="267"/>
        <v>0</v>
      </c>
      <c r="N1714" s="4">
        <f t="shared" si="263"/>
        <v>1</v>
      </c>
      <c r="O1714" s="4">
        <f t="shared" si="268"/>
        <v>2156.35</v>
      </c>
      <c r="P1714" s="4">
        <f t="shared" si="269"/>
        <v>0</v>
      </c>
    </row>
    <row r="1715" spans="1:16" x14ac:dyDescent="0.25">
      <c r="A1715" s="1">
        <v>43677</v>
      </c>
      <c r="B1715">
        <v>2212</v>
      </c>
      <c r="C1715">
        <v>2307.25</v>
      </c>
      <c r="D1715">
        <v>2192.1999999999998</v>
      </c>
      <c r="E1715" s="7">
        <v>2300.35</v>
      </c>
      <c r="F1715">
        <v>2138074</v>
      </c>
      <c r="G1715" s="8">
        <f t="shared" si="260"/>
        <v>2266.6</v>
      </c>
      <c r="H1715" s="9">
        <f t="shared" si="261"/>
        <v>4846158528.3999996</v>
      </c>
      <c r="I1715" s="9">
        <f t="shared" si="264"/>
        <v>31360490512.150002</v>
      </c>
      <c r="J1715" s="9">
        <f t="shared" si="265"/>
        <v>14522172</v>
      </c>
      <c r="K1715" s="21">
        <f t="shared" si="266"/>
        <v>2159.4903649502294</v>
      </c>
      <c r="L1715" s="4" t="str">
        <f t="shared" si="262"/>
        <v>BUY</v>
      </c>
      <c r="M1715" s="4">
        <f t="shared" si="267"/>
        <v>0</v>
      </c>
      <c r="N1715" s="4">
        <f t="shared" si="263"/>
        <v>1</v>
      </c>
      <c r="O1715" s="4">
        <f t="shared" si="268"/>
        <v>2156.35</v>
      </c>
      <c r="P1715" s="4">
        <f t="shared" si="269"/>
        <v>0</v>
      </c>
    </row>
    <row r="1716" spans="1:16" x14ac:dyDescent="0.25">
      <c r="A1716" s="1">
        <v>43678</v>
      </c>
      <c r="B1716">
        <v>2294</v>
      </c>
      <c r="C1716">
        <v>2319.4499999999998</v>
      </c>
      <c r="D1716">
        <v>2251.9</v>
      </c>
      <c r="E1716" s="7">
        <v>2282.6</v>
      </c>
      <c r="F1716">
        <v>962148</v>
      </c>
      <c r="G1716" s="8">
        <f t="shared" si="260"/>
        <v>2284.65</v>
      </c>
      <c r="H1716" s="9">
        <f t="shared" si="261"/>
        <v>2198171428.2000003</v>
      </c>
      <c r="I1716" s="9">
        <f t="shared" si="264"/>
        <v>31026565776.083332</v>
      </c>
      <c r="J1716" s="9">
        <f t="shared" si="265"/>
        <v>14285108</v>
      </c>
      <c r="K1716" s="21">
        <f t="shared" si="266"/>
        <v>2171.9517819594598</v>
      </c>
      <c r="L1716" s="4" t="str">
        <f t="shared" si="262"/>
        <v>BUY</v>
      </c>
      <c r="M1716" s="4">
        <f t="shared" si="267"/>
        <v>0</v>
      </c>
      <c r="N1716" s="4">
        <f t="shared" si="263"/>
        <v>1</v>
      </c>
      <c r="O1716" s="4">
        <f t="shared" si="268"/>
        <v>2156.35</v>
      </c>
      <c r="P1716" s="4">
        <f t="shared" si="269"/>
        <v>0</v>
      </c>
    </row>
    <row r="1717" spans="1:16" x14ac:dyDescent="0.25">
      <c r="A1717" s="1">
        <v>43679</v>
      </c>
      <c r="B1717">
        <v>2275</v>
      </c>
      <c r="C1717">
        <v>2292</v>
      </c>
      <c r="D1717">
        <v>2252.5500000000002</v>
      </c>
      <c r="E1717" s="7">
        <v>2259.85</v>
      </c>
      <c r="F1717">
        <v>721148</v>
      </c>
      <c r="G1717" s="8">
        <f t="shared" si="260"/>
        <v>2268.1333333333332</v>
      </c>
      <c r="H1717" s="9">
        <f t="shared" si="261"/>
        <v>1635659817.0666666</v>
      </c>
      <c r="I1717" s="9">
        <f t="shared" si="264"/>
        <v>26025147482.649998</v>
      </c>
      <c r="J1717" s="9">
        <f t="shared" si="265"/>
        <v>11861094</v>
      </c>
      <c r="K1717" s="21">
        <f t="shared" si="266"/>
        <v>2194.1607985443839</v>
      </c>
      <c r="L1717" s="4" t="str">
        <f t="shared" si="262"/>
        <v>BUY</v>
      </c>
      <c r="M1717" s="4">
        <f t="shared" si="267"/>
        <v>0</v>
      </c>
      <c r="N1717" s="4">
        <f t="shared" si="263"/>
        <v>1</v>
      </c>
      <c r="O1717" s="4">
        <f t="shared" si="268"/>
        <v>2156.35</v>
      </c>
      <c r="P1717" s="4">
        <f t="shared" si="269"/>
        <v>0</v>
      </c>
    </row>
    <row r="1718" spans="1:16" x14ac:dyDescent="0.25">
      <c r="A1718" s="1">
        <v>43682</v>
      </c>
      <c r="B1718">
        <v>2265</v>
      </c>
      <c r="C1718">
        <v>2294.75</v>
      </c>
      <c r="D1718">
        <v>2242.3000000000002</v>
      </c>
      <c r="E1718" s="7">
        <v>2276.0500000000002</v>
      </c>
      <c r="F1718">
        <v>1722916</v>
      </c>
      <c r="G1718" s="8">
        <f t="shared" si="260"/>
        <v>2271.0333333333333</v>
      </c>
      <c r="H1718" s="9">
        <f t="shared" si="261"/>
        <v>3912799666.5333333</v>
      </c>
      <c r="I1718" s="9">
        <f t="shared" si="264"/>
        <v>25558537904.683331</v>
      </c>
      <c r="J1718" s="9">
        <f t="shared" si="265"/>
        <v>11574031</v>
      </c>
      <c r="K1718" s="21">
        <f t="shared" si="266"/>
        <v>2208.2658932469881</v>
      </c>
      <c r="L1718" s="4" t="str">
        <f t="shared" si="262"/>
        <v>BUY</v>
      </c>
      <c r="M1718" s="4">
        <f t="shared" si="267"/>
        <v>0</v>
      </c>
      <c r="N1718" s="4">
        <f t="shared" si="263"/>
        <v>1</v>
      </c>
      <c r="O1718" s="4">
        <f t="shared" si="268"/>
        <v>2156.35</v>
      </c>
      <c r="P1718" s="4">
        <f t="shared" si="269"/>
        <v>0</v>
      </c>
    </row>
    <row r="1719" spans="1:16" x14ac:dyDescent="0.25">
      <c r="A1719" s="1">
        <v>43683</v>
      </c>
      <c r="B1719">
        <v>2277</v>
      </c>
      <c r="C1719">
        <v>2290</v>
      </c>
      <c r="D1719">
        <v>2254.0500000000002</v>
      </c>
      <c r="E1719" s="7">
        <v>2263.4499999999998</v>
      </c>
      <c r="F1719">
        <v>561526</v>
      </c>
      <c r="G1719" s="8">
        <f t="shared" si="260"/>
        <v>2269.1666666666665</v>
      </c>
      <c r="H1719" s="9">
        <f t="shared" si="261"/>
        <v>1274196081.6666665</v>
      </c>
      <c r="I1719" s="9">
        <f t="shared" si="264"/>
        <v>24129361610.75</v>
      </c>
      <c r="J1719" s="9">
        <f t="shared" si="265"/>
        <v>10883213</v>
      </c>
      <c r="K1719" s="21">
        <f t="shared" si="266"/>
        <v>2217.1174643692079</v>
      </c>
      <c r="L1719" s="4" t="str">
        <f t="shared" si="262"/>
        <v>BUY</v>
      </c>
      <c r="M1719" s="4">
        <f t="shared" si="267"/>
        <v>0</v>
      </c>
      <c r="N1719" s="4">
        <f t="shared" si="263"/>
        <v>1</v>
      </c>
      <c r="O1719" s="4">
        <f t="shared" si="268"/>
        <v>2156.35</v>
      </c>
      <c r="P1719" s="4">
        <f t="shared" si="269"/>
        <v>0</v>
      </c>
    </row>
    <row r="1720" spans="1:16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 s="7">
        <v>2221.85</v>
      </c>
      <c r="F1720">
        <v>999016</v>
      </c>
      <c r="G1720" s="8">
        <f t="shared" si="260"/>
        <v>2232.6166666666668</v>
      </c>
      <c r="H1720" s="9">
        <f t="shared" si="261"/>
        <v>2230419771.8666668</v>
      </c>
      <c r="I1720" s="9">
        <f t="shared" si="264"/>
        <v>24083929958.25</v>
      </c>
      <c r="J1720" s="9">
        <f t="shared" si="265"/>
        <v>10811962</v>
      </c>
      <c r="K1720" s="21">
        <f t="shared" si="266"/>
        <v>2227.5263229976208</v>
      </c>
      <c r="L1720" s="4" t="str">
        <f t="shared" si="262"/>
        <v>SELL</v>
      </c>
      <c r="M1720" s="4" t="str">
        <f t="shared" si="267"/>
        <v>SELL</v>
      </c>
      <c r="N1720" s="4">
        <f t="shared" si="263"/>
        <v>-1</v>
      </c>
      <c r="O1720" s="4">
        <f t="shared" si="268"/>
        <v>2221.85</v>
      </c>
      <c r="P1720" s="4">
        <f t="shared" si="269"/>
        <v>3.0375402879866443E-2</v>
      </c>
    </row>
    <row r="1721" spans="1:16" x14ac:dyDescent="0.25">
      <c r="A1721" s="1">
        <v>43685</v>
      </c>
      <c r="B1721">
        <v>2229</v>
      </c>
      <c r="C1721">
        <v>2237.85</v>
      </c>
      <c r="D1721">
        <v>2170</v>
      </c>
      <c r="E1721" s="7">
        <v>2186</v>
      </c>
      <c r="F1721">
        <v>1124763</v>
      </c>
      <c r="G1721" s="8">
        <f t="shared" si="260"/>
        <v>2197.9500000000003</v>
      </c>
      <c r="H1721" s="9">
        <f t="shared" si="261"/>
        <v>2472172835.8500004</v>
      </c>
      <c r="I1721" s="9">
        <f t="shared" si="264"/>
        <v>24649784625.533333</v>
      </c>
      <c r="J1721" s="9">
        <f t="shared" si="265"/>
        <v>11040042</v>
      </c>
      <c r="K1721" s="21">
        <f t="shared" si="266"/>
        <v>2232.7618523130013</v>
      </c>
      <c r="L1721" s="4" t="str">
        <f t="shared" si="262"/>
        <v>SELL</v>
      </c>
      <c r="M1721" s="4">
        <f t="shared" si="267"/>
        <v>0</v>
      </c>
      <c r="N1721" s="4">
        <f t="shared" si="263"/>
        <v>-1</v>
      </c>
      <c r="O1721" s="4">
        <f t="shared" si="268"/>
        <v>2221.85</v>
      </c>
      <c r="P1721" s="4">
        <f t="shared" si="269"/>
        <v>0</v>
      </c>
    </row>
    <row r="1722" spans="1:16" x14ac:dyDescent="0.25">
      <c r="A1722" s="1">
        <v>43686</v>
      </c>
      <c r="B1722">
        <v>2190</v>
      </c>
      <c r="C1722">
        <v>2203.9499999999998</v>
      </c>
      <c r="D1722">
        <v>2169.9</v>
      </c>
      <c r="E1722" s="7">
        <v>2182.35</v>
      </c>
      <c r="F1722">
        <v>796722</v>
      </c>
      <c r="G1722" s="8">
        <f t="shared" si="260"/>
        <v>2185.4</v>
      </c>
      <c r="H1722" s="9">
        <f t="shared" si="261"/>
        <v>1741156258.8000002</v>
      </c>
      <c r="I1722" s="9">
        <f t="shared" si="264"/>
        <v>24976573439.333332</v>
      </c>
      <c r="J1722" s="9">
        <f t="shared" si="265"/>
        <v>11177334</v>
      </c>
      <c r="K1722" s="21">
        <f t="shared" si="266"/>
        <v>2234.573417894941</v>
      </c>
      <c r="L1722" s="4" t="str">
        <f t="shared" si="262"/>
        <v>SELL</v>
      </c>
      <c r="M1722" s="4">
        <f t="shared" si="267"/>
        <v>0</v>
      </c>
      <c r="N1722" s="4">
        <f t="shared" si="263"/>
        <v>-1</v>
      </c>
      <c r="O1722" s="4">
        <f t="shared" si="268"/>
        <v>2221.85</v>
      </c>
      <c r="P1722" s="4">
        <f t="shared" si="269"/>
        <v>0</v>
      </c>
    </row>
    <row r="1723" spans="1:16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 s="7">
        <v>2154.5500000000002</v>
      </c>
      <c r="F1723">
        <v>1032853</v>
      </c>
      <c r="G1723" s="8">
        <f t="shared" si="260"/>
        <v>2161.5500000000002</v>
      </c>
      <c r="H1723" s="9">
        <f t="shared" si="261"/>
        <v>2232563402.1500001</v>
      </c>
      <c r="I1723" s="9">
        <f t="shared" si="264"/>
        <v>25838387462.816669</v>
      </c>
      <c r="J1723" s="9">
        <f t="shared" si="265"/>
        <v>11572283</v>
      </c>
      <c r="K1723" s="21">
        <f t="shared" si="266"/>
        <v>2232.7821971530311</v>
      </c>
      <c r="L1723" s="4" t="str">
        <f t="shared" si="262"/>
        <v>SELL</v>
      </c>
      <c r="M1723" s="4">
        <f t="shared" si="267"/>
        <v>0</v>
      </c>
      <c r="N1723" s="4">
        <f t="shared" si="263"/>
        <v>-1</v>
      </c>
      <c r="O1723" s="4">
        <f t="shared" si="268"/>
        <v>2221.85</v>
      </c>
      <c r="P1723" s="4">
        <f t="shared" si="269"/>
        <v>0</v>
      </c>
    </row>
    <row r="1724" spans="1:16" x14ac:dyDescent="0.25">
      <c r="A1724" s="1">
        <v>43690</v>
      </c>
      <c r="B1724">
        <v>2160.5</v>
      </c>
      <c r="C1724">
        <v>2199</v>
      </c>
      <c r="D1724">
        <v>2160</v>
      </c>
      <c r="E1724" s="7">
        <v>2195.75</v>
      </c>
      <c r="F1724">
        <v>1619773</v>
      </c>
      <c r="G1724" s="8">
        <f t="shared" si="260"/>
        <v>2184.9166666666665</v>
      </c>
      <c r="H1724" s="9">
        <f t="shared" si="261"/>
        <v>3539069023.9166665</v>
      </c>
      <c r="I1724" s="9">
        <f t="shared" si="264"/>
        <v>26082366814.450005</v>
      </c>
      <c r="J1724" s="9">
        <f t="shared" si="265"/>
        <v>11678939</v>
      </c>
      <c r="K1724" s="21">
        <f t="shared" si="266"/>
        <v>2233.2822197675664</v>
      </c>
      <c r="L1724" s="4" t="str">
        <f t="shared" si="262"/>
        <v>SELL</v>
      </c>
      <c r="M1724" s="4">
        <f t="shared" si="267"/>
        <v>0</v>
      </c>
      <c r="N1724" s="4">
        <f t="shared" si="263"/>
        <v>-1</v>
      </c>
      <c r="O1724" s="4">
        <f t="shared" si="268"/>
        <v>2221.85</v>
      </c>
      <c r="P1724" s="4">
        <f t="shared" si="269"/>
        <v>0</v>
      </c>
    </row>
    <row r="1725" spans="1:16" x14ac:dyDescent="0.25">
      <c r="A1725" s="1">
        <v>43691</v>
      </c>
      <c r="B1725">
        <v>2205</v>
      </c>
      <c r="C1725">
        <v>2219.9</v>
      </c>
      <c r="D1725">
        <v>2173.3000000000002</v>
      </c>
      <c r="E1725" s="7">
        <v>2195.25</v>
      </c>
      <c r="F1725">
        <v>794359</v>
      </c>
      <c r="G1725" s="8">
        <f t="shared" si="260"/>
        <v>2196.15</v>
      </c>
      <c r="H1725" s="9">
        <f t="shared" si="261"/>
        <v>1744531517.8500001</v>
      </c>
      <c r="I1725" s="9">
        <f t="shared" si="264"/>
        <v>22980739803.900002</v>
      </c>
      <c r="J1725" s="9">
        <f t="shared" si="265"/>
        <v>10335224</v>
      </c>
      <c r="K1725" s="21">
        <f t="shared" si="266"/>
        <v>2223.5357263567776</v>
      </c>
      <c r="L1725" s="4" t="str">
        <f t="shared" si="262"/>
        <v>SELL</v>
      </c>
      <c r="M1725" s="4">
        <f t="shared" si="267"/>
        <v>0</v>
      </c>
      <c r="N1725" s="4">
        <f t="shared" si="263"/>
        <v>-1</v>
      </c>
      <c r="O1725" s="4">
        <f t="shared" si="268"/>
        <v>2221.85</v>
      </c>
      <c r="P1725" s="4">
        <f t="shared" si="269"/>
        <v>0</v>
      </c>
    </row>
    <row r="1726" spans="1:16" x14ac:dyDescent="0.25">
      <c r="A1726" s="1">
        <v>43692</v>
      </c>
      <c r="B1726">
        <v>2194.8000000000002</v>
      </c>
      <c r="C1726">
        <v>2217.6</v>
      </c>
      <c r="D1726">
        <v>2163</v>
      </c>
      <c r="E1726" s="7">
        <v>2208.1999999999998</v>
      </c>
      <c r="F1726">
        <v>655879</v>
      </c>
      <c r="G1726" s="8">
        <f t="shared" si="260"/>
        <v>2196.2666666666669</v>
      </c>
      <c r="H1726" s="9">
        <f t="shared" si="261"/>
        <v>1440485185.0666668</v>
      </c>
      <c r="I1726" s="9">
        <f t="shared" si="264"/>
        <v>22223053560.766663</v>
      </c>
      <c r="J1726" s="9">
        <f t="shared" si="265"/>
        <v>10028955</v>
      </c>
      <c r="K1726" s="21">
        <f t="shared" si="266"/>
        <v>2215.8892487568905</v>
      </c>
      <c r="L1726" s="4" t="str">
        <f t="shared" si="262"/>
        <v>SELL</v>
      </c>
      <c r="M1726" s="4">
        <f t="shared" si="267"/>
        <v>0</v>
      </c>
      <c r="N1726" s="4">
        <f t="shared" si="263"/>
        <v>-1</v>
      </c>
      <c r="O1726" s="4">
        <f t="shared" si="268"/>
        <v>2221.85</v>
      </c>
      <c r="P1726" s="4">
        <f t="shared" si="269"/>
        <v>0</v>
      </c>
    </row>
    <row r="1727" spans="1:16" x14ac:dyDescent="0.25">
      <c r="A1727" s="1">
        <v>43693</v>
      </c>
      <c r="B1727">
        <v>2218</v>
      </c>
      <c r="C1727">
        <v>2218</v>
      </c>
      <c r="D1727">
        <v>2183</v>
      </c>
      <c r="E1727" s="7">
        <v>2200.3000000000002</v>
      </c>
      <c r="F1727">
        <v>1073767</v>
      </c>
      <c r="G1727" s="8">
        <f t="shared" si="260"/>
        <v>2200.4333333333334</v>
      </c>
      <c r="H1727" s="9">
        <f t="shared" si="261"/>
        <v>2362752699.0333333</v>
      </c>
      <c r="I1727" s="9">
        <f t="shared" si="264"/>
        <v>22950146442.73333</v>
      </c>
      <c r="J1727" s="9">
        <f t="shared" si="265"/>
        <v>10381574</v>
      </c>
      <c r="K1727" s="21">
        <f t="shared" si="266"/>
        <v>2210.6615473466095</v>
      </c>
      <c r="L1727" s="4" t="str">
        <f t="shared" si="262"/>
        <v>SELL</v>
      </c>
      <c r="M1727" s="4">
        <f t="shared" si="267"/>
        <v>0</v>
      </c>
      <c r="N1727" s="4">
        <f t="shared" si="263"/>
        <v>-1</v>
      </c>
      <c r="O1727" s="4">
        <f t="shared" si="268"/>
        <v>2221.85</v>
      </c>
      <c r="P1727" s="4">
        <f t="shared" si="269"/>
        <v>0</v>
      </c>
    </row>
    <row r="1728" spans="1:16" x14ac:dyDescent="0.25">
      <c r="A1728" s="1">
        <v>43696</v>
      </c>
      <c r="B1728">
        <v>2214</v>
      </c>
      <c r="C1728">
        <v>2224.6999999999998</v>
      </c>
      <c r="D1728">
        <v>2189</v>
      </c>
      <c r="E1728" s="7">
        <v>2207.6</v>
      </c>
      <c r="F1728">
        <v>935183</v>
      </c>
      <c r="G1728" s="8">
        <f t="shared" si="260"/>
        <v>2207.1</v>
      </c>
      <c r="H1728" s="9">
        <f t="shared" si="261"/>
        <v>2064042399.3</v>
      </c>
      <c r="I1728" s="9">
        <f t="shared" si="264"/>
        <v>21101389175.5</v>
      </c>
      <c r="J1728" s="9">
        <f t="shared" si="265"/>
        <v>9593841</v>
      </c>
      <c r="K1728" s="21">
        <f t="shared" si="266"/>
        <v>2199.4724715054167</v>
      </c>
      <c r="L1728" s="4" t="str">
        <f t="shared" si="262"/>
        <v>BUY</v>
      </c>
      <c r="M1728" s="4" t="str">
        <f t="shared" si="267"/>
        <v>BUY</v>
      </c>
      <c r="N1728" s="4">
        <f t="shared" si="263"/>
        <v>1</v>
      </c>
      <c r="O1728" s="4">
        <f t="shared" si="268"/>
        <v>2207.6</v>
      </c>
      <c r="P1728" s="4">
        <f t="shared" si="269"/>
        <v>6.4135742736908434E-3</v>
      </c>
    </row>
    <row r="1729" spans="1:16" x14ac:dyDescent="0.25">
      <c r="A1729" s="1">
        <v>43697</v>
      </c>
      <c r="B1729">
        <v>2202</v>
      </c>
      <c r="C1729">
        <v>2272.1</v>
      </c>
      <c r="D1729">
        <v>2202</v>
      </c>
      <c r="E1729" s="7">
        <v>2259.3000000000002</v>
      </c>
      <c r="F1729">
        <v>2147705</v>
      </c>
      <c r="G1729" s="8">
        <f t="shared" si="260"/>
        <v>2244.4666666666667</v>
      </c>
      <c r="H1729" s="9">
        <f t="shared" si="261"/>
        <v>4820452282.333333</v>
      </c>
      <c r="I1729" s="9">
        <f t="shared" si="264"/>
        <v>24647645376.166668</v>
      </c>
      <c r="J1729" s="9">
        <f t="shared" si="265"/>
        <v>11180020</v>
      </c>
      <c r="K1729" s="21">
        <f t="shared" si="266"/>
        <v>2204.6154994505077</v>
      </c>
      <c r="L1729" s="4" t="str">
        <f t="shared" si="262"/>
        <v>BUY</v>
      </c>
      <c r="M1729" s="4">
        <f t="shared" si="267"/>
        <v>0</v>
      </c>
      <c r="N1729" s="4">
        <f t="shared" si="263"/>
        <v>1</v>
      </c>
      <c r="O1729" s="4">
        <f t="shared" si="268"/>
        <v>2207.6</v>
      </c>
      <c r="P1729" s="4">
        <f t="shared" si="269"/>
        <v>0</v>
      </c>
    </row>
    <row r="1730" spans="1:16" x14ac:dyDescent="0.25">
      <c r="A1730" s="1">
        <v>43698</v>
      </c>
      <c r="B1730">
        <v>2277</v>
      </c>
      <c r="C1730">
        <v>2290</v>
      </c>
      <c r="D1730">
        <v>2252</v>
      </c>
      <c r="E1730" s="7">
        <v>2282.65</v>
      </c>
      <c r="F1730">
        <v>993615</v>
      </c>
      <c r="G1730" s="8">
        <f t="shared" ref="G1730:G1793" si="270">AVERAGE(C1730:E1730)</f>
        <v>2274.8833333333332</v>
      </c>
      <c r="H1730" s="9">
        <f t="shared" si="261"/>
        <v>2260358203.25</v>
      </c>
      <c r="I1730" s="9">
        <f t="shared" si="264"/>
        <v>24677583807.549999</v>
      </c>
      <c r="J1730" s="9">
        <f t="shared" si="265"/>
        <v>11174619</v>
      </c>
      <c r="K1730" s="21">
        <f t="shared" si="266"/>
        <v>2208.3601962223497</v>
      </c>
      <c r="L1730" s="4" t="str">
        <f t="shared" si="262"/>
        <v>BUY</v>
      </c>
      <c r="M1730" s="4">
        <f t="shared" si="267"/>
        <v>0</v>
      </c>
      <c r="N1730" s="4">
        <f t="shared" si="263"/>
        <v>1</v>
      </c>
      <c r="O1730" s="4">
        <f t="shared" si="268"/>
        <v>2207.6</v>
      </c>
      <c r="P1730" s="4">
        <f t="shared" si="269"/>
        <v>0</v>
      </c>
    </row>
    <row r="1731" spans="1:16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 s="7">
        <v>2288.9</v>
      </c>
      <c r="F1731">
        <v>667105</v>
      </c>
      <c r="G1731" s="8">
        <f t="shared" si="270"/>
        <v>2282.6333333333332</v>
      </c>
      <c r="H1731" s="9">
        <f t="shared" ref="H1731:H1794" si="271">G1731*F1731</f>
        <v>1522756109.8333333</v>
      </c>
      <c r="I1731" s="9">
        <f t="shared" si="264"/>
        <v>23728167081.533333</v>
      </c>
      <c r="J1731" s="9">
        <f t="shared" si="265"/>
        <v>10716961</v>
      </c>
      <c r="K1731" s="21">
        <f t="shared" si="266"/>
        <v>2214.0760875712185</v>
      </c>
      <c r="L1731" s="4" t="str">
        <f t="shared" si="262"/>
        <v>BUY</v>
      </c>
      <c r="M1731" s="4">
        <f t="shared" si="267"/>
        <v>0</v>
      </c>
      <c r="N1731" s="4">
        <f t="shared" si="263"/>
        <v>1</v>
      </c>
      <c r="O1731" s="4">
        <f t="shared" si="268"/>
        <v>2207.6</v>
      </c>
      <c r="P1731" s="4">
        <f t="shared" si="269"/>
        <v>0</v>
      </c>
    </row>
    <row r="1732" spans="1:16" x14ac:dyDescent="0.25">
      <c r="A1732" s="1">
        <v>43700</v>
      </c>
      <c r="B1732">
        <v>2292</v>
      </c>
      <c r="C1732">
        <v>2345</v>
      </c>
      <c r="D1732">
        <v>2287.0500000000002</v>
      </c>
      <c r="E1732" s="7">
        <v>2339.3000000000002</v>
      </c>
      <c r="F1732">
        <v>1461380</v>
      </c>
      <c r="G1732" s="8">
        <f t="shared" si="270"/>
        <v>2323.7833333333333</v>
      </c>
      <c r="H1732" s="9">
        <f t="shared" si="271"/>
        <v>3395930487.6666665</v>
      </c>
      <c r="I1732" s="9">
        <f t="shared" si="264"/>
        <v>25382941310.399998</v>
      </c>
      <c r="J1732" s="9">
        <f t="shared" si="265"/>
        <v>11381619</v>
      </c>
      <c r="K1732" s="21">
        <f t="shared" si="266"/>
        <v>2230.1696542820487</v>
      </c>
      <c r="L1732" s="4" t="str">
        <f t="shared" si="262"/>
        <v>BUY</v>
      </c>
      <c r="M1732" s="4">
        <f t="shared" si="267"/>
        <v>0</v>
      </c>
      <c r="N1732" s="4">
        <f t="shared" si="263"/>
        <v>1</v>
      </c>
      <c r="O1732" s="4">
        <f t="shared" si="268"/>
        <v>2207.6</v>
      </c>
      <c r="P1732" s="4">
        <f t="shared" si="269"/>
        <v>0</v>
      </c>
    </row>
    <row r="1733" spans="1:16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 s="7">
        <v>2313.6</v>
      </c>
      <c r="F1733">
        <v>1017451</v>
      </c>
      <c r="G1733" s="8">
        <f t="shared" si="270"/>
        <v>2321</v>
      </c>
      <c r="H1733" s="9">
        <f t="shared" si="271"/>
        <v>2361503771</v>
      </c>
      <c r="I1733" s="9">
        <f t="shared" si="264"/>
        <v>25511881679.25</v>
      </c>
      <c r="J1733" s="9">
        <f t="shared" si="265"/>
        <v>11366217</v>
      </c>
      <c r="K1733" s="21">
        <f t="shared" si="266"/>
        <v>2244.535862657734</v>
      </c>
      <c r="L1733" s="4" t="str">
        <f t="shared" si="262"/>
        <v>BUY</v>
      </c>
      <c r="M1733" s="4">
        <f t="shared" si="267"/>
        <v>0</v>
      </c>
      <c r="N1733" s="4">
        <f t="shared" si="263"/>
        <v>1</v>
      </c>
      <c r="O1733" s="4">
        <f t="shared" si="268"/>
        <v>2207.6</v>
      </c>
      <c r="P1733" s="4">
        <f t="shared" si="269"/>
        <v>0</v>
      </c>
    </row>
    <row r="1734" spans="1:16" x14ac:dyDescent="0.25">
      <c r="A1734" s="1">
        <v>43704</v>
      </c>
      <c r="B1734">
        <v>2306</v>
      </c>
      <c r="C1734">
        <v>2325</v>
      </c>
      <c r="D1734">
        <v>2286.1999999999998</v>
      </c>
      <c r="E1734" s="7">
        <v>2307.6999999999998</v>
      </c>
      <c r="F1734">
        <v>934150</v>
      </c>
      <c r="G1734" s="8">
        <f t="shared" si="270"/>
        <v>2306.2999999999997</v>
      </c>
      <c r="H1734" s="9">
        <f t="shared" si="271"/>
        <v>2154430144.9999995</v>
      </c>
      <c r="I1734" s="9">
        <f t="shared" si="264"/>
        <v>24127242800.333336</v>
      </c>
      <c r="J1734" s="9">
        <f t="shared" si="265"/>
        <v>10680594</v>
      </c>
      <c r="K1734" s="21">
        <f t="shared" si="266"/>
        <v>2258.9794912467728</v>
      </c>
      <c r="L1734" s="4" t="str">
        <f t="shared" si="262"/>
        <v>BUY</v>
      </c>
      <c r="M1734" s="4">
        <f t="shared" si="267"/>
        <v>0</v>
      </c>
      <c r="N1734" s="4">
        <f t="shared" si="263"/>
        <v>1</v>
      </c>
      <c r="O1734" s="4">
        <f t="shared" si="268"/>
        <v>2207.6</v>
      </c>
      <c r="P1734" s="4">
        <f t="shared" si="269"/>
        <v>0</v>
      </c>
    </row>
    <row r="1735" spans="1:16" x14ac:dyDescent="0.25">
      <c r="A1735" s="1">
        <v>43705</v>
      </c>
      <c r="B1735">
        <v>2300</v>
      </c>
      <c r="C1735">
        <v>2317.75</v>
      </c>
      <c r="D1735">
        <v>2278.8000000000002</v>
      </c>
      <c r="E1735" s="7">
        <v>2288.1</v>
      </c>
      <c r="F1735">
        <v>559477</v>
      </c>
      <c r="G1735" s="8">
        <f t="shared" si="270"/>
        <v>2294.8833333333332</v>
      </c>
      <c r="H1735" s="9">
        <f t="shared" si="271"/>
        <v>1283934442.6833332</v>
      </c>
      <c r="I1735" s="9">
        <f t="shared" si="264"/>
        <v>23666645725.166668</v>
      </c>
      <c r="J1735" s="9">
        <f t="shared" si="265"/>
        <v>10445712</v>
      </c>
      <c r="K1735" s="21">
        <f t="shared" si="266"/>
        <v>2265.6804749323614</v>
      </c>
      <c r="L1735" s="4" t="str">
        <f t="shared" si="262"/>
        <v>BUY</v>
      </c>
      <c r="M1735" s="4">
        <f t="shared" si="267"/>
        <v>0</v>
      </c>
      <c r="N1735" s="4">
        <f t="shared" si="263"/>
        <v>1</v>
      </c>
      <c r="O1735" s="4">
        <f t="shared" si="268"/>
        <v>2207.6</v>
      </c>
      <c r="P1735" s="4">
        <f t="shared" si="269"/>
        <v>0</v>
      </c>
    </row>
    <row r="1736" spans="1:16" x14ac:dyDescent="0.25">
      <c r="A1736" s="1">
        <v>43706</v>
      </c>
      <c r="B1736">
        <v>2266</v>
      </c>
      <c r="C1736">
        <v>2301.6</v>
      </c>
      <c r="D1736">
        <v>2266</v>
      </c>
      <c r="E1736" s="7">
        <v>2293.1</v>
      </c>
      <c r="F1736">
        <v>448704</v>
      </c>
      <c r="G1736" s="8">
        <f t="shared" si="270"/>
        <v>2286.9</v>
      </c>
      <c r="H1736" s="9">
        <f t="shared" si="271"/>
        <v>1026141177.6</v>
      </c>
      <c r="I1736" s="9">
        <f t="shared" si="264"/>
        <v>23252301717.699997</v>
      </c>
      <c r="J1736" s="9">
        <f t="shared" si="265"/>
        <v>10238537</v>
      </c>
      <c r="K1736" s="21">
        <f t="shared" si="266"/>
        <v>2271.0570580249891</v>
      </c>
      <c r="L1736" s="4" t="str">
        <f t="shared" si="262"/>
        <v>BUY</v>
      </c>
      <c r="M1736" s="4">
        <f t="shared" si="267"/>
        <v>0</v>
      </c>
      <c r="N1736" s="4">
        <f t="shared" si="263"/>
        <v>1</v>
      </c>
      <c r="O1736" s="4">
        <f t="shared" si="268"/>
        <v>2207.6</v>
      </c>
      <c r="P1736" s="4">
        <f t="shared" si="269"/>
        <v>0</v>
      </c>
    </row>
    <row r="1737" spans="1:16" x14ac:dyDescent="0.25">
      <c r="A1737" s="1">
        <v>43707</v>
      </c>
      <c r="B1737">
        <v>2281.5</v>
      </c>
      <c r="C1737">
        <v>2330</v>
      </c>
      <c r="D1737">
        <v>2281.5</v>
      </c>
      <c r="E1737" s="7">
        <v>2323.4</v>
      </c>
      <c r="F1737">
        <v>647346</v>
      </c>
      <c r="G1737" s="8">
        <f t="shared" si="270"/>
        <v>2311.6333333333332</v>
      </c>
      <c r="H1737" s="9">
        <f t="shared" si="271"/>
        <v>1496426591.8</v>
      </c>
      <c r="I1737" s="9">
        <f t="shared" si="264"/>
        <v>22385975610.466663</v>
      </c>
      <c r="J1737" s="9">
        <f t="shared" si="265"/>
        <v>9812116</v>
      </c>
      <c r="K1737" s="21">
        <f t="shared" si="266"/>
        <v>2281.4625928257128</v>
      </c>
      <c r="L1737" s="4" t="str">
        <f t="shared" si="262"/>
        <v>BUY</v>
      </c>
      <c r="M1737" s="4">
        <f t="shared" si="267"/>
        <v>0</v>
      </c>
      <c r="N1737" s="4">
        <f t="shared" si="263"/>
        <v>1</v>
      </c>
      <c r="O1737" s="4">
        <f t="shared" si="268"/>
        <v>2207.6</v>
      </c>
      <c r="P1737" s="4">
        <f t="shared" si="269"/>
        <v>0</v>
      </c>
    </row>
    <row r="1738" spans="1:16" x14ac:dyDescent="0.25">
      <c r="A1738" s="1">
        <v>43710</v>
      </c>
      <c r="B1738">
        <v>2326.6999999999998</v>
      </c>
      <c r="C1738">
        <v>2349.9</v>
      </c>
      <c r="D1738">
        <v>2303.15</v>
      </c>
      <c r="E1738" s="7">
        <v>2313.4</v>
      </c>
      <c r="F1738">
        <v>675209</v>
      </c>
      <c r="G1738" s="8">
        <f t="shared" si="270"/>
        <v>2322.15</v>
      </c>
      <c r="H1738" s="9">
        <f t="shared" si="271"/>
        <v>1567936579.3500001</v>
      </c>
      <c r="I1738" s="9">
        <f t="shared" si="264"/>
        <v>21889869790.516663</v>
      </c>
      <c r="J1738" s="9">
        <f t="shared" si="265"/>
        <v>9552142</v>
      </c>
      <c r="K1738" s="21">
        <f t="shared" si="266"/>
        <v>2291.6189678206902</v>
      </c>
      <c r="L1738" s="4" t="str">
        <f t="shared" si="262"/>
        <v>BUY</v>
      </c>
      <c r="M1738" s="4">
        <f t="shared" si="267"/>
        <v>0</v>
      </c>
      <c r="N1738" s="4">
        <f t="shared" si="263"/>
        <v>1</v>
      </c>
      <c r="O1738" s="4">
        <f t="shared" si="268"/>
        <v>2207.6</v>
      </c>
      <c r="P1738" s="4">
        <f t="shared" si="269"/>
        <v>0</v>
      </c>
    </row>
    <row r="1739" spans="1:16" x14ac:dyDescent="0.25">
      <c r="A1739" s="1">
        <v>43711</v>
      </c>
      <c r="B1739">
        <v>2303</v>
      </c>
      <c r="C1739">
        <v>2359.9</v>
      </c>
      <c r="D1739">
        <v>2303</v>
      </c>
      <c r="E1739" s="7">
        <v>2351.6999999999998</v>
      </c>
      <c r="F1739">
        <v>981758</v>
      </c>
      <c r="G1739" s="8">
        <f t="shared" si="270"/>
        <v>2338.1999999999998</v>
      </c>
      <c r="H1739" s="9">
        <f t="shared" si="271"/>
        <v>2295546555.5999999</v>
      </c>
      <c r="I1739" s="9">
        <f t="shared" si="264"/>
        <v>19364964063.783333</v>
      </c>
      <c r="J1739" s="9">
        <f t="shared" si="265"/>
        <v>8386195</v>
      </c>
      <c r="K1739" s="21">
        <f t="shared" si="266"/>
        <v>2309.1478392504982</v>
      </c>
      <c r="L1739" s="4" t="str">
        <f t="shared" ref="L1739:L1802" si="272">IF(E1739&gt;K1739,"BUY",IF(E1739&lt;K1739,"SELL",0))</f>
        <v>BUY</v>
      </c>
      <c r="M1739" s="4">
        <f t="shared" si="267"/>
        <v>0</v>
      </c>
      <c r="N1739" s="4">
        <f t="shared" ref="N1739:N1802" si="273">IF(M1739="BUY",1,IF(M1739="SELL",-1,N1738))</f>
        <v>1</v>
      </c>
      <c r="O1739" s="4">
        <f t="shared" si="268"/>
        <v>2207.6</v>
      </c>
      <c r="P1739" s="4">
        <f t="shared" si="269"/>
        <v>0</v>
      </c>
    </row>
    <row r="1740" spans="1:16" x14ac:dyDescent="0.25">
      <c r="A1740" s="1">
        <v>43712</v>
      </c>
      <c r="B1740">
        <v>2354.9</v>
      </c>
      <c r="C1740">
        <v>2378.6</v>
      </c>
      <c r="D1740">
        <v>2345.65</v>
      </c>
      <c r="E1740" s="7">
        <v>2365.5500000000002</v>
      </c>
      <c r="F1740">
        <v>702874</v>
      </c>
      <c r="G1740" s="8">
        <f t="shared" si="270"/>
        <v>2363.2666666666669</v>
      </c>
      <c r="H1740" s="9">
        <f t="shared" si="271"/>
        <v>1661078695.0666668</v>
      </c>
      <c r="I1740" s="9">
        <f t="shared" ref="I1740:I1803" si="274">SUM(H1731:H1740)</f>
        <v>18765684555.599998</v>
      </c>
      <c r="J1740" s="9">
        <f t="shared" ref="J1740:J1803" si="275">SUM(F1731:F1740)</f>
        <v>8095454</v>
      </c>
      <c r="K1740" s="21">
        <f t="shared" ref="K1740:K1803" si="276">I1740/J1740</f>
        <v>2318.0521507008748</v>
      </c>
      <c r="L1740" s="4" t="str">
        <f t="shared" si="272"/>
        <v>BUY</v>
      </c>
      <c r="M1740" s="4">
        <f t="shared" ref="M1740:M1803" si="277">IF(L1740&lt;&gt;L1739,L1740,0)</f>
        <v>0</v>
      </c>
      <c r="N1740" s="4">
        <f t="shared" si="273"/>
        <v>1</v>
      </c>
      <c r="O1740" s="4">
        <f t="shared" ref="O1740:O1803" si="278">IF(M1740&lt;&gt;0,E1740,O1739)</f>
        <v>2207.6</v>
      </c>
      <c r="P1740" s="4">
        <f t="shared" ref="P1740:P1803" si="279">IF(M1740="BUY",(O1739-O1740)/O1739,IF(M1740="SELL",(O1740-O1739)/O1739,0))</f>
        <v>0</v>
      </c>
    </row>
    <row r="1741" spans="1:16" x14ac:dyDescent="0.25">
      <c r="A1741" s="1">
        <v>43713</v>
      </c>
      <c r="B1741">
        <v>2366.6</v>
      </c>
      <c r="C1741">
        <v>2375.1</v>
      </c>
      <c r="D1741">
        <v>2352.4</v>
      </c>
      <c r="E1741" s="7">
        <v>2361.35</v>
      </c>
      <c r="F1741">
        <v>411566</v>
      </c>
      <c r="G1741" s="8">
        <f t="shared" si="270"/>
        <v>2362.9500000000003</v>
      </c>
      <c r="H1741" s="9">
        <f t="shared" si="271"/>
        <v>972509879.70000017</v>
      </c>
      <c r="I1741" s="9">
        <f t="shared" si="274"/>
        <v>18215438325.466667</v>
      </c>
      <c r="J1741" s="9">
        <f t="shared" si="275"/>
        <v>7839915</v>
      </c>
      <c r="K1741" s="21">
        <f t="shared" si="276"/>
        <v>2323.4229357673735</v>
      </c>
      <c r="L1741" s="4" t="str">
        <f t="shared" si="272"/>
        <v>BUY</v>
      </c>
      <c r="M1741" s="4">
        <f t="shared" si="277"/>
        <v>0</v>
      </c>
      <c r="N1741" s="4">
        <f t="shared" si="273"/>
        <v>1</v>
      </c>
      <c r="O1741" s="4">
        <f t="shared" si="278"/>
        <v>2207.6</v>
      </c>
      <c r="P1741" s="4">
        <f t="shared" si="279"/>
        <v>0</v>
      </c>
    </row>
    <row r="1742" spans="1:16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 s="7">
        <v>2368.25</v>
      </c>
      <c r="F1742">
        <v>737662</v>
      </c>
      <c r="G1742" s="8">
        <f t="shared" si="270"/>
        <v>2361.0833333333335</v>
      </c>
      <c r="H1742" s="9">
        <f t="shared" si="271"/>
        <v>1741681453.8333335</v>
      </c>
      <c r="I1742" s="9">
        <f t="shared" si="274"/>
        <v>16561189291.633337</v>
      </c>
      <c r="J1742" s="9">
        <f t="shared" si="275"/>
        <v>7116197</v>
      </c>
      <c r="K1742" s="21">
        <f t="shared" si="276"/>
        <v>2327.2527856709612</v>
      </c>
      <c r="L1742" s="4" t="str">
        <f t="shared" si="272"/>
        <v>BUY</v>
      </c>
      <c r="M1742" s="4">
        <f t="shared" si="277"/>
        <v>0</v>
      </c>
      <c r="N1742" s="4">
        <f t="shared" si="273"/>
        <v>1</v>
      </c>
      <c r="O1742" s="4">
        <f t="shared" si="278"/>
        <v>2207.6</v>
      </c>
      <c r="P1742" s="4">
        <f t="shared" si="279"/>
        <v>0</v>
      </c>
    </row>
    <row r="1743" spans="1:16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 s="7">
        <v>2379.5</v>
      </c>
      <c r="F1743">
        <v>710033</v>
      </c>
      <c r="G1743" s="8">
        <f t="shared" si="270"/>
        <v>2375.5499999999997</v>
      </c>
      <c r="H1743" s="9">
        <f t="shared" si="271"/>
        <v>1686718893.1499999</v>
      </c>
      <c r="I1743" s="9">
        <f t="shared" si="274"/>
        <v>15886404413.783335</v>
      </c>
      <c r="J1743" s="9">
        <f t="shared" si="275"/>
        <v>6808779</v>
      </c>
      <c r="K1743" s="21">
        <f t="shared" si="276"/>
        <v>2333.2236828047048</v>
      </c>
      <c r="L1743" s="4" t="str">
        <f t="shared" si="272"/>
        <v>BUY</v>
      </c>
      <c r="M1743" s="4">
        <f t="shared" si="277"/>
        <v>0</v>
      </c>
      <c r="N1743" s="4">
        <f t="shared" si="273"/>
        <v>1</v>
      </c>
      <c r="O1743" s="4">
        <f t="shared" si="278"/>
        <v>2207.6</v>
      </c>
      <c r="P1743" s="4">
        <f t="shared" si="279"/>
        <v>0</v>
      </c>
    </row>
    <row r="1744" spans="1:16" x14ac:dyDescent="0.25">
      <c r="A1744" s="1">
        <v>43718</v>
      </c>
      <c r="B1744">
        <v>2384</v>
      </c>
      <c r="C1744">
        <v>2389.9499999999998</v>
      </c>
      <c r="D1744">
        <v>2320.4</v>
      </c>
      <c r="E1744" s="7">
        <v>2334.4</v>
      </c>
      <c r="F1744">
        <v>1108202</v>
      </c>
      <c r="G1744" s="8">
        <f t="shared" si="270"/>
        <v>2348.25</v>
      </c>
      <c r="H1744" s="9">
        <f t="shared" si="271"/>
        <v>2602335346.5</v>
      </c>
      <c r="I1744" s="9">
        <f t="shared" si="274"/>
        <v>16334309615.283335</v>
      </c>
      <c r="J1744" s="9">
        <f t="shared" si="275"/>
        <v>6982831</v>
      </c>
      <c r="K1744" s="21">
        <f t="shared" si="276"/>
        <v>2339.2102164986286</v>
      </c>
      <c r="L1744" s="4" t="str">
        <f t="shared" si="272"/>
        <v>SELL</v>
      </c>
      <c r="M1744" s="4" t="str">
        <f t="shared" si="277"/>
        <v>SELL</v>
      </c>
      <c r="N1744" s="4">
        <f t="shared" si="273"/>
        <v>-1</v>
      </c>
      <c r="O1744" s="4">
        <f t="shared" si="278"/>
        <v>2334.4</v>
      </c>
      <c r="P1744" s="4">
        <f t="shared" si="279"/>
        <v>5.7437941656097204E-2</v>
      </c>
    </row>
    <row r="1745" spans="1:16" x14ac:dyDescent="0.25">
      <c r="A1745" s="1">
        <v>43719</v>
      </c>
      <c r="B1745">
        <v>2321</v>
      </c>
      <c r="C1745">
        <v>2329.35</v>
      </c>
      <c r="D1745">
        <v>2257.1</v>
      </c>
      <c r="E1745" s="7">
        <v>2281.4</v>
      </c>
      <c r="F1745">
        <v>1504948</v>
      </c>
      <c r="G1745" s="8">
        <f t="shared" si="270"/>
        <v>2289.2833333333333</v>
      </c>
      <c r="H1745" s="9">
        <f t="shared" si="271"/>
        <v>3445252373.9333334</v>
      </c>
      <c r="I1745" s="9">
        <f t="shared" si="274"/>
        <v>18495627546.533333</v>
      </c>
      <c r="J1745" s="9">
        <f t="shared" si="275"/>
        <v>7928302</v>
      </c>
      <c r="K1745" s="21">
        <f t="shared" si="276"/>
        <v>2332.8611279607326</v>
      </c>
      <c r="L1745" s="4" t="str">
        <f t="shared" si="272"/>
        <v>SELL</v>
      </c>
      <c r="M1745" s="4">
        <f t="shared" si="277"/>
        <v>0</v>
      </c>
      <c r="N1745" s="4">
        <f t="shared" si="273"/>
        <v>-1</v>
      </c>
      <c r="O1745" s="4">
        <f t="shared" si="278"/>
        <v>2334.4</v>
      </c>
      <c r="P1745" s="4">
        <f t="shared" si="279"/>
        <v>0</v>
      </c>
    </row>
    <row r="1746" spans="1:16" x14ac:dyDescent="0.25">
      <c r="A1746" s="1">
        <v>43720</v>
      </c>
      <c r="B1746">
        <v>2275</v>
      </c>
      <c r="C1746">
        <v>2311.3000000000002</v>
      </c>
      <c r="D1746">
        <v>2257</v>
      </c>
      <c r="E1746" s="7">
        <v>2303.6999999999998</v>
      </c>
      <c r="F1746">
        <v>927289</v>
      </c>
      <c r="G1746" s="8">
        <f t="shared" si="270"/>
        <v>2290.6666666666665</v>
      </c>
      <c r="H1746" s="9">
        <f t="shared" si="271"/>
        <v>2124110002.6666665</v>
      </c>
      <c r="I1746" s="9">
        <f t="shared" si="274"/>
        <v>19593596371.600002</v>
      </c>
      <c r="J1746" s="9">
        <f t="shared" si="275"/>
        <v>8406887</v>
      </c>
      <c r="K1746" s="21">
        <f t="shared" si="276"/>
        <v>2330.6601327697163</v>
      </c>
      <c r="L1746" s="4" t="str">
        <f t="shared" si="272"/>
        <v>SELL</v>
      </c>
      <c r="M1746" s="4">
        <f t="shared" si="277"/>
        <v>0</v>
      </c>
      <c r="N1746" s="4">
        <f t="shared" si="273"/>
        <v>-1</v>
      </c>
      <c r="O1746" s="4">
        <f t="shared" si="278"/>
        <v>2334.4</v>
      </c>
      <c r="P1746" s="4">
        <f t="shared" si="279"/>
        <v>0</v>
      </c>
    </row>
    <row r="1747" spans="1:16" x14ac:dyDescent="0.25">
      <c r="A1747" s="1">
        <v>43721</v>
      </c>
      <c r="B1747">
        <v>2304</v>
      </c>
      <c r="C1747">
        <v>2329.8000000000002</v>
      </c>
      <c r="D1747">
        <v>2291.5</v>
      </c>
      <c r="E1747" s="7">
        <v>2315.35</v>
      </c>
      <c r="F1747">
        <v>766957</v>
      </c>
      <c r="G1747" s="8">
        <f t="shared" si="270"/>
        <v>2312.2166666666667</v>
      </c>
      <c r="H1747" s="9">
        <f t="shared" si="271"/>
        <v>1773370758.0166667</v>
      </c>
      <c r="I1747" s="9">
        <f t="shared" si="274"/>
        <v>19870540537.816666</v>
      </c>
      <c r="J1747" s="9">
        <f t="shared" si="275"/>
        <v>8526498</v>
      </c>
      <c r="K1747" s="21">
        <f t="shared" si="276"/>
        <v>2330.4456926884477</v>
      </c>
      <c r="L1747" s="4" t="str">
        <f t="shared" si="272"/>
        <v>SELL</v>
      </c>
      <c r="M1747" s="4">
        <f t="shared" si="277"/>
        <v>0</v>
      </c>
      <c r="N1747" s="4">
        <f t="shared" si="273"/>
        <v>-1</v>
      </c>
      <c r="O1747" s="4">
        <f t="shared" si="278"/>
        <v>2334.4</v>
      </c>
      <c r="P1747" s="4">
        <f t="shared" si="279"/>
        <v>0</v>
      </c>
    </row>
    <row r="1748" spans="1:16" x14ac:dyDescent="0.25">
      <c r="A1748" s="1">
        <v>43724</v>
      </c>
      <c r="B1748">
        <v>2315</v>
      </c>
      <c r="C1748">
        <v>2329.6</v>
      </c>
      <c r="D1748">
        <v>2280.1999999999998</v>
      </c>
      <c r="E1748" s="7">
        <v>2324.4</v>
      </c>
      <c r="F1748">
        <v>965648</v>
      </c>
      <c r="G1748" s="8">
        <f t="shared" si="270"/>
        <v>2311.3999999999996</v>
      </c>
      <c r="H1748" s="9">
        <f t="shared" si="271"/>
        <v>2231998787.1999998</v>
      </c>
      <c r="I1748" s="9">
        <f t="shared" si="274"/>
        <v>20534602745.666668</v>
      </c>
      <c r="J1748" s="9">
        <f t="shared" si="275"/>
        <v>8816937</v>
      </c>
      <c r="K1748" s="21">
        <f t="shared" si="276"/>
        <v>2328.995063213752</v>
      </c>
      <c r="L1748" s="4" t="str">
        <f t="shared" si="272"/>
        <v>SELL</v>
      </c>
      <c r="M1748" s="4">
        <f t="shared" si="277"/>
        <v>0</v>
      </c>
      <c r="N1748" s="4">
        <f t="shared" si="273"/>
        <v>-1</v>
      </c>
      <c r="O1748" s="4">
        <f t="shared" si="278"/>
        <v>2334.4</v>
      </c>
      <c r="P1748" s="4">
        <f t="shared" si="279"/>
        <v>0</v>
      </c>
    </row>
    <row r="1749" spans="1:16" x14ac:dyDescent="0.25">
      <c r="A1749" s="1">
        <v>43725</v>
      </c>
      <c r="B1749">
        <v>2324.4</v>
      </c>
      <c r="C1749">
        <v>2360</v>
      </c>
      <c r="D1749">
        <v>2304</v>
      </c>
      <c r="E1749" s="7">
        <v>2344.35</v>
      </c>
      <c r="F1749">
        <v>1285187</v>
      </c>
      <c r="G1749" s="8">
        <f t="shared" si="270"/>
        <v>2336.1166666666668</v>
      </c>
      <c r="H1749" s="9">
        <f t="shared" si="271"/>
        <v>3002346770.4833336</v>
      </c>
      <c r="I1749" s="9">
        <f t="shared" si="274"/>
        <v>21241402960.549999</v>
      </c>
      <c r="J1749" s="9">
        <f t="shared" si="275"/>
        <v>9120366</v>
      </c>
      <c r="K1749" s="21">
        <f t="shared" si="276"/>
        <v>2329.0077350569045</v>
      </c>
      <c r="L1749" s="4" t="str">
        <f t="shared" si="272"/>
        <v>BUY</v>
      </c>
      <c r="M1749" s="4" t="str">
        <f t="shared" si="277"/>
        <v>BUY</v>
      </c>
      <c r="N1749" s="4">
        <f t="shared" si="273"/>
        <v>1</v>
      </c>
      <c r="O1749" s="4">
        <f t="shared" si="278"/>
        <v>2344.35</v>
      </c>
      <c r="P1749" s="4">
        <f t="shared" si="279"/>
        <v>-4.2623372172720265E-3</v>
      </c>
    </row>
    <row r="1750" spans="1:16" x14ac:dyDescent="0.25">
      <c r="A1750" s="1">
        <v>43726</v>
      </c>
      <c r="B1750">
        <v>2348</v>
      </c>
      <c r="C1750">
        <v>2357.9499999999998</v>
      </c>
      <c r="D1750">
        <v>2237.85</v>
      </c>
      <c r="E1750" s="7">
        <v>2249.3000000000002</v>
      </c>
      <c r="F1750">
        <v>5117790</v>
      </c>
      <c r="G1750" s="8">
        <f t="shared" si="270"/>
        <v>2281.6999999999998</v>
      </c>
      <c r="H1750" s="9">
        <f t="shared" si="271"/>
        <v>11677261443</v>
      </c>
      <c r="I1750" s="9">
        <f t="shared" si="274"/>
        <v>31257585708.483334</v>
      </c>
      <c r="J1750" s="9">
        <f t="shared" si="275"/>
        <v>13535282</v>
      </c>
      <c r="K1750" s="21">
        <f t="shared" si="276"/>
        <v>2309.3412984290489</v>
      </c>
      <c r="L1750" s="4" t="str">
        <f t="shared" si="272"/>
        <v>SELL</v>
      </c>
      <c r="M1750" s="4" t="str">
        <f t="shared" si="277"/>
        <v>SELL</v>
      </c>
      <c r="N1750" s="4">
        <f t="shared" si="273"/>
        <v>-1</v>
      </c>
      <c r="O1750" s="4">
        <f t="shared" si="278"/>
        <v>2249.3000000000002</v>
      </c>
      <c r="P1750" s="4">
        <f t="shared" si="279"/>
        <v>-4.05442873291103E-2</v>
      </c>
    </row>
    <row r="1751" spans="1:16" x14ac:dyDescent="0.25">
      <c r="A1751" s="1">
        <v>43727</v>
      </c>
      <c r="B1751">
        <v>2250</v>
      </c>
      <c r="C1751">
        <v>2273.9</v>
      </c>
      <c r="D1751">
        <v>2228</v>
      </c>
      <c r="E1751" s="7">
        <v>2258.5500000000002</v>
      </c>
      <c r="F1751">
        <v>1682404</v>
      </c>
      <c r="G1751" s="8">
        <f t="shared" si="270"/>
        <v>2253.4833333333331</v>
      </c>
      <c r="H1751" s="9">
        <f t="shared" si="271"/>
        <v>3791269373.9333329</v>
      </c>
      <c r="I1751" s="9">
        <f t="shared" si="274"/>
        <v>34076345202.716667</v>
      </c>
      <c r="J1751" s="9">
        <f t="shared" si="275"/>
        <v>14806120</v>
      </c>
      <c r="K1751" s="21">
        <f t="shared" si="276"/>
        <v>2301.5040539126162</v>
      </c>
      <c r="L1751" s="4" t="str">
        <f t="shared" si="272"/>
        <v>SELL</v>
      </c>
      <c r="M1751" s="4">
        <f t="shared" si="277"/>
        <v>0</v>
      </c>
      <c r="N1751" s="4">
        <f t="shared" si="273"/>
        <v>-1</v>
      </c>
      <c r="O1751" s="4">
        <f t="shared" si="278"/>
        <v>2249.3000000000002</v>
      </c>
      <c r="P1751" s="4">
        <f t="shared" si="279"/>
        <v>0</v>
      </c>
    </row>
    <row r="1752" spans="1:16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 s="7">
        <v>2278.75</v>
      </c>
      <c r="F1752">
        <v>1504978</v>
      </c>
      <c r="G1752" s="8">
        <f t="shared" si="270"/>
        <v>2273.1166666666668</v>
      </c>
      <c r="H1752" s="9">
        <f t="shared" si="271"/>
        <v>3420990574.7666669</v>
      </c>
      <c r="I1752" s="9">
        <f t="shared" si="274"/>
        <v>35755654323.650002</v>
      </c>
      <c r="J1752" s="9">
        <f t="shared" si="275"/>
        <v>15573436</v>
      </c>
      <c r="K1752" s="21">
        <f t="shared" si="276"/>
        <v>2295.9386948166098</v>
      </c>
      <c r="L1752" s="4" t="str">
        <f t="shared" si="272"/>
        <v>SELL</v>
      </c>
      <c r="M1752" s="4">
        <f t="shared" si="277"/>
        <v>0</v>
      </c>
      <c r="N1752" s="4">
        <f t="shared" si="273"/>
        <v>-1</v>
      </c>
      <c r="O1752" s="4">
        <f t="shared" si="278"/>
        <v>2249.3000000000002</v>
      </c>
      <c r="P1752" s="4">
        <f t="shared" si="279"/>
        <v>0</v>
      </c>
    </row>
    <row r="1753" spans="1:16" x14ac:dyDescent="0.25">
      <c r="A1753" s="1">
        <v>43731</v>
      </c>
      <c r="B1753">
        <v>2278</v>
      </c>
      <c r="C1753">
        <v>2298</v>
      </c>
      <c r="D1753">
        <v>2265.4499999999998</v>
      </c>
      <c r="E1753" s="7">
        <v>2295.1</v>
      </c>
      <c r="F1753">
        <v>1568287</v>
      </c>
      <c r="G1753" s="8">
        <f t="shared" si="270"/>
        <v>2286.1833333333329</v>
      </c>
      <c r="H1753" s="9">
        <f t="shared" si="271"/>
        <v>3585391601.2833328</v>
      </c>
      <c r="I1753" s="9">
        <f t="shared" si="274"/>
        <v>37654327031.783333</v>
      </c>
      <c r="J1753" s="9">
        <f t="shared" si="275"/>
        <v>16431690</v>
      </c>
      <c r="K1753" s="21">
        <f t="shared" si="276"/>
        <v>2291.5675156836169</v>
      </c>
      <c r="L1753" s="4" t="str">
        <f t="shared" si="272"/>
        <v>BUY</v>
      </c>
      <c r="M1753" s="4" t="str">
        <f t="shared" si="277"/>
        <v>BUY</v>
      </c>
      <c r="N1753" s="4">
        <f t="shared" si="273"/>
        <v>1</v>
      </c>
      <c r="O1753" s="4">
        <f t="shared" si="278"/>
        <v>2295.1</v>
      </c>
      <c r="P1753" s="4">
        <f t="shared" si="279"/>
        <v>-2.0361890365891488E-2</v>
      </c>
    </row>
    <row r="1754" spans="1:16" x14ac:dyDescent="0.25">
      <c r="A1754" s="1">
        <v>43732</v>
      </c>
      <c r="B1754">
        <v>2295</v>
      </c>
      <c r="C1754">
        <v>2295.15</v>
      </c>
      <c r="D1754">
        <v>2282.9499999999998</v>
      </c>
      <c r="E1754" s="7">
        <v>2291</v>
      </c>
      <c r="F1754">
        <v>1125838</v>
      </c>
      <c r="G1754" s="8">
        <f t="shared" si="270"/>
        <v>2289.7000000000003</v>
      </c>
      <c r="H1754" s="9">
        <f t="shared" si="271"/>
        <v>2577831268.6000004</v>
      </c>
      <c r="I1754" s="9">
        <f t="shared" si="274"/>
        <v>37629822953.883331</v>
      </c>
      <c r="J1754" s="9">
        <f t="shared" si="275"/>
        <v>16449326</v>
      </c>
      <c r="K1754" s="21">
        <f t="shared" si="276"/>
        <v>2287.6209611192176</v>
      </c>
      <c r="L1754" s="4" t="str">
        <f t="shared" si="272"/>
        <v>BUY</v>
      </c>
      <c r="M1754" s="4">
        <f t="shared" si="277"/>
        <v>0</v>
      </c>
      <c r="N1754" s="4">
        <f t="shared" si="273"/>
        <v>1</v>
      </c>
      <c r="O1754" s="4">
        <f t="shared" si="278"/>
        <v>2295.1</v>
      </c>
      <c r="P1754" s="4">
        <f t="shared" si="279"/>
        <v>0</v>
      </c>
    </row>
    <row r="1755" spans="1:16" x14ac:dyDescent="0.25">
      <c r="A1755" s="1">
        <v>43733</v>
      </c>
      <c r="B1755">
        <v>2287</v>
      </c>
      <c r="C1755">
        <v>2300</v>
      </c>
      <c r="D1755">
        <v>2265</v>
      </c>
      <c r="E1755" s="7">
        <v>2285.35</v>
      </c>
      <c r="F1755">
        <v>1018623</v>
      </c>
      <c r="G1755" s="8">
        <f t="shared" si="270"/>
        <v>2283.4500000000003</v>
      </c>
      <c r="H1755" s="9">
        <f t="shared" si="271"/>
        <v>2325974689.3500004</v>
      </c>
      <c r="I1755" s="9">
        <f t="shared" si="274"/>
        <v>36510545269.300003</v>
      </c>
      <c r="J1755" s="9">
        <f t="shared" si="275"/>
        <v>15963001</v>
      </c>
      <c r="K1755" s="21">
        <f t="shared" si="276"/>
        <v>2287.1980819458699</v>
      </c>
      <c r="L1755" s="4" t="str">
        <f t="shared" si="272"/>
        <v>SELL</v>
      </c>
      <c r="M1755" s="4" t="str">
        <f t="shared" si="277"/>
        <v>SELL</v>
      </c>
      <c r="N1755" s="4">
        <f t="shared" si="273"/>
        <v>-1</v>
      </c>
      <c r="O1755" s="4">
        <f t="shared" si="278"/>
        <v>2285.35</v>
      </c>
      <c r="P1755" s="4">
        <f t="shared" si="279"/>
        <v>-4.2481809071500155E-3</v>
      </c>
    </row>
    <row r="1756" spans="1:16" x14ac:dyDescent="0.25">
      <c r="A1756" s="1">
        <v>43734</v>
      </c>
      <c r="B1756">
        <v>2265</v>
      </c>
      <c r="C1756">
        <v>2313.5</v>
      </c>
      <c r="D1756">
        <v>2259.8000000000002</v>
      </c>
      <c r="E1756" s="7">
        <v>2306.6999999999998</v>
      </c>
      <c r="F1756">
        <v>1159273</v>
      </c>
      <c r="G1756" s="8">
        <f t="shared" si="270"/>
        <v>2293.3333333333335</v>
      </c>
      <c r="H1756" s="9">
        <f t="shared" si="271"/>
        <v>2658599413.3333335</v>
      </c>
      <c r="I1756" s="9">
        <f t="shared" si="274"/>
        <v>37045034679.966667</v>
      </c>
      <c r="J1756" s="9">
        <f t="shared" si="275"/>
        <v>16194985</v>
      </c>
      <c r="K1756" s="21">
        <f t="shared" si="276"/>
        <v>2287.4386533835423</v>
      </c>
      <c r="L1756" s="4" t="str">
        <f t="shared" si="272"/>
        <v>BUY</v>
      </c>
      <c r="M1756" s="4" t="str">
        <f t="shared" si="277"/>
        <v>BUY</v>
      </c>
      <c r="N1756" s="4">
        <f t="shared" si="273"/>
        <v>1</v>
      </c>
      <c r="O1756" s="4">
        <f t="shared" si="278"/>
        <v>2306.6999999999998</v>
      </c>
      <c r="P1756" s="4">
        <f t="shared" si="279"/>
        <v>-9.3421138994026782E-3</v>
      </c>
    </row>
    <row r="1757" spans="1:16" x14ac:dyDescent="0.25">
      <c r="A1757" s="1">
        <v>43735</v>
      </c>
      <c r="B1757">
        <v>2304</v>
      </c>
      <c r="C1757">
        <v>2323</v>
      </c>
      <c r="D1757">
        <v>2290</v>
      </c>
      <c r="E1757" s="7">
        <v>2318.35</v>
      </c>
      <c r="F1757">
        <v>1141319</v>
      </c>
      <c r="G1757" s="8">
        <f t="shared" si="270"/>
        <v>2310.4500000000003</v>
      </c>
      <c r="H1757" s="9">
        <f t="shared" si="271"/>
        <v>2636960483.5500002</v>
      </c>
      <c r="I1757" s="9">
        <f t="shared" si="274"/>
        <v>37908624405.500008</v>
      </c>
      <c r="J1757" s="9">
        <f t="shared" si="275"/>
        <v>16569347</v>
      </c>
      <c r="K1757" s="21">
        <f t="shared" si="276"/>
        <v>2287.8767887171416</v>
      </c>
      <c r="L1757" s="4" t="str">
        <f t="shared" si="272"/>
        <v>BUY</v>
      </c>
      <c r="M1757" s="4">
        <f t="shared" si="277"/>
        <v>0</v>
      </c>
      <c r="N1757" s="4">
        <f t="shared" si="273"/>
        <v>1</v>
      </c>
      <c r="O1757" s="4">
        <f t="shared" si="278"/>
        <v>2306.6999999999998</v>
      </c>
      <c r="P1757" s="4">
        <f t="shared" si="279"/>
        <v>0</v>
      </c>
    </row>
    <row r="1758" spans="1:16" x14ac:dyDescent="0.25">
      <c r="A1758" s="1">
        <v>43738</v>
      </c>
      <c r="B1758">
        <v>2322.6</v>
      </c>
      <c r="C1758">
        <v>2360</v>
      </c>
      <c r="D1758">
        <v>2318.0500000000002</v>
      </c>
      <c r="E1758" s="7">
        <v>2353</v>
      </c>
      <c r="F1758">
        <v>2055824</v>
      </c>
      <c r="G1758" s="8">
        <f t="shared" si="270"/>
        <v>2343.6833333333334</v>
      </c>
      <c r="H1758" s="9">
        <f t="shared" si="271"/>
        <v>4818200445.0666666</v>
      </c>
      <c r="I1758" s="9">
        <f t="shared" si="274"/>
        <v>40494826063.366661</v>
      </c>
      <c r="J1758" s="9">
        <f t="shared" si="275"/>
        <v>17659523</v>
      </c>
      <c r="K1758" s="21">
        <f t="shared" si="276"/>
        <v>2293.0871951279014</v>
      </c>
      <c r="L1758" s="4" t="str">
        <f t="shared" si="272"/>
        <v>BUY</v>
      </c>
      <c r="M1758" s="4">
        <f t="shared" si="277"/>
        <v>0</v>
      </c>
      <c r="N1758" s="4">
        <f t="shared" si="273"/>
        <v>1</v>
      </c>
      <c r="O1758" s="4">
        <f t="shared" si="278"/>
        <v>2306.6999999999998</v>
      </c>
      <c r="P1758" s="4">
        <f t="shared" si="279"/>
        <v>0</v>
      </c>
    </row>
    <row r="1759" spans="1:16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 s="7">
        <v>2357.8000000000002</v>
      </c>
      <c r="F1759">
        <v>1435829</v>
      </c>
      <c r="G1759" s="8">
        <f t="shared" si="270"/>
        <v>2360.5333333333333</v>
      </c>
      <c r="H1759" s="9">
        <f t="shared" si="271"/>
        <v>3389322215.4666667</v>
      </c>
      <c r="I1759" s="9">
        <f t="shared" si="274"/>
        <v>40881801508.349998</v>
      </c>
      <c r="J1759" s="9">
        <f t="shared" si="275"/>
        <v>17810165</v>
      </c>
      <c r="K1759" s="21">
        <f t="shared" si="276"/>
        <v>2295.4195824884273</v>
      </c>
      <c r="L1759" s="4" t="str">
        <f t="shared" si="272"/>
        <v>BUY</v>
      </c>
      <c r="M1759" s="4">
        <f t="shared" si="277"/>
        <v>0</v>
      </c>
      <c r="N1759" s="4">
        <f t="shared" si="273"/>
        <v>1</v>
      </c>
      <c r="O1759" s="4">
        <f t="shared" si="278"/>
        <v>2306.6999999999998</v>
      </c>
      <c r="P1759" s="4">
        <f t="shared" si="279"/>
        <v>0</v>
      </c>
    </row>
    <row r="1760" spans="1:16" x14ac:dyDescent="0.25">
      <c r="A1760" s="1">
        <v>43740</v>
      </c>
      <c r="B1760">
        <v>2341</v>
      </c>
      <c r="C1760">
        <v>2351.9499999999998</v>
      </c>
      <c r="D1760">
        <v>2318.15</v>
      </c>
      <c r="E1760" s="7">
        <v>2332.9</v>
      </c>
      <c r="F1760">
        <v>1288978</v>
      </c>
      <c r="G1760" s="8">
        <f t="shared" si="270"/>
        <v>2334.3333333333335</v>
      </c>
      <c r="H1760" s="9">
        <f t="shared" si="271"/>
        <v>3008904311.3333335</v>
      </c>
      <c r="I1760" s="9">
        <f t="shared" si="274"/>
        <v>32213444376.683331</v>
      </c>
      <c r="J1760" s="9">
        <f t="shared" si="275"/>
        <v>13981353</v>
      </c>
      <c r="K1760" s="21">
        <f t="shared" si="276"/>
        <v>2304.0291148276801</v>
      </c>
      <c r="L1760" s="4" t="str">
        <f t="shared" si="272"/>
        <v>BUY</v>
      </c>
      <c r="M1760" s="4">
        <f t="shared" si="277"/>
        <v>0</v>
      </c>
      <c r="N1760" s="4">
        <f t="shared" si="273"/>
        <v>1</v>
      </c>
      <c r="O1760" s="4">
        <f t="shared" si="278"/>
        <v>2306.6999999999998</v>
      </c>
      <c r="P1760" s="4">
        <f t="shared" si="279"/>
        <v>0</v>
      </c>
    </row>
    <row r="1761" spans="1:16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 s="7">
        <v>2229.8000000000002</v>
      </c>
      <c r="F1761">
        <v>2333402</v>
      </c>
      <c r="G1761" s="8">
        <f t="shared" si="270"/>
        <v>2253.9666666666667</v>
      </c>
      <c r="H1761" s="9">
        <f t="shared" si="271"/>
        <v>5259410327.9333334</v>
      </c>
      <c r="I1761" s="9">
        <f t="shared" si="274"/>
        <v>33681585330.683334</v>
      </c>
      <c r="J1761" s="9">
        <f t="shared" si="275"/>
        <v>14632351</v>
      </c>
      <c r="K1761" s="21">
        <f t="shared" si="276"/>
        <v>2301.8573932981335</v>
      </c>
      <c r="L1761" s="4" t="str">
        <f t="shared" si="272"/>
        <v>SELL</v>
      </c>
      <c r="M1761" s="4" t="str">
        <f t="shared" si="277"/>
        <v>SELL</v>
      </c>
      <c r="N1761" s="4">
        <f t="shared" si="273"/>
        <v>-1</v>
      </c>
      <c r="O1761" s="4">
        <f t="shared" si="278"/>
        <v>2229.8000000000002</v>
      </c>
      <c r="P1761" s="4">
        <f t="shared" si="279"/>
        <v>-3.3337668530801425E-2</v>
      </c>
    </row>
    <row r="1762" spans="1:16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 s="7">
        <v>2167.9</v>
      </c>
      <c r="F1762">
        <v>2432076</v>
      </c>
      <c r="G1762" s="8">
        <f t="shared" si="270"/>
        <v>2187.7999999999997</v>
      </c>
      <c r="H1762" s="9">
        <f t="shared" si="271"/>
        <v>5320895872.7999992</v>
      </c>
      <c r="I1762" s="9">
        <f t="shared" si="274"/>
        <v>35581490628.716667</v>
      </c>
      <c r="J1762" s="9">
        <f t="shared" si="275"/>
        <v>15559449</v>
      </c>
      <c r="K1762" s="21">
        <f t="shared" si="276"/>
        <v>2286.8091684169963</v>
      </c>
      <c r="L1762" s="4" t="str">
        <f t="shared" si="272"/>
        <v>SELL</v>
      </c>
      <c r="M1762" s="4">
        <f t="shared" si="277"/>
        <v>0</v>
      </c>
      <c r="N1762" s="4">
        <f t="shared" si="273"/>
        <v>-1</v>
      </c>
      <c r="O1762" s="4">
        <f t="shared" si="278"/>
        <v>2229.8000000000002</v>
      </c>
      <c r="P1762" s="4">
        <f t="shared" si="279"/>
        <v>0</v>
      </c>
    </row>
    <row r="1763" spans="1:16" x14ac:dyDescent="0.25">
      <c r="A1763" s="1">
        <v>43745</v>
      </c>
      <c r="B1763">
        <v>2170.0500000000002</v>
      </c>
      <c r="C1763">
        <v>2219</v>
      </c>
      <c r="D1763">
        <v>2153</v>
      </c>
      <c r="E1763" s="7">
        <v>2207.65</v>
      </c>
      <c r="F1763">
        <v>3004741</v>
      </c>
      <c r="G1763" s="8">
        <f t="shared" si="270"/>
        <v>2193.2166666666667</v>
      </c>
      <c r="H1763" s="9">
        <f t="shared" si="271"/>
        <v>6590048040.2166672</v>
      </c>
      <c r="I1763" s="9">
        <f t="shared" si="274"/>
        <v>38586147067.650002</v>
      </c>
      <c r="J1763" s="9">
        <f t="shared" si="275"/>
        <v>16995903</v>
      </c>
      <c r="K1763" s="21">
        <f t="shared" si="276"/>
        <v>2270.3205041620913</v>
      </c>
      <c r="L1763" s="4" t="str">
        <f t="shared" si="272"/>
        <v>SELL</v>
      </c>
      <c r="M1763" s="4">
        <f t="shared" si="277"/>
        <v>0</v>
      </c>
      <c r="N1763" s="4">
        <f t="shared" si="273"/>
        <v>-1</v>
      </c>
      <c r="O1763" s="4">
        <f t="shared" si="278"/>
        <v>2229.8000000000002</v>
      </c>
      <c r="P1763" s="4">
        <f t="shared" si="279"/>
        <v>0</v>
      </c>
    </row>
    <row r="1764" spans="1:16" x14ac:dyDescent="0.25">
      <c r="A1764" s="1">
        <v>43746</v>
      </c>
      <c r="B1764">
        <v>2209.6999999999998</v>
      </c>
      <c r="C1764">
        <v>2243</v>
      </c>
      <c r="D1764">
        <v>2191</v>
      </c>
      <c r="E1764" s="7">
        <v>2232.5500000000002</v>
      </c>
      <c r="F1764">
        <v>1076686</v>
      </c>
      <c r="G1764" s="8">
        <f t="shared" si="270"/>
        <v>2222.1833333333334</v>
      </c>
      <c r="H1764" s="9">
        <f t="shared" si="271"/>
        <v>2392593684.4333334</v>
      </c>
      <c r="I1764" s="9">
        <f t="shared" si="274"/>
        <v>38400909483.483337</v>
      </c>
      <c r="J1764" s="9">
        <f t="shared" si="275"/>
        <v>16946751</v>
      </c>
      <c r="K1764" s="21">
        <f t="shared" si="276"/>
        <v>2265.9747277506667</v>
      </c>
      <c r="L1764" s="4" t="str">
        <f t="shared" si="272"/>
        <v>SELL</v>
      </c>
      <c r="M1764" s="4">
        <f t="shared" si="277"/>
        <v>0</v>
      </c>
      <c r="N1764" s="4">
        <f t="shared" si="273"/>
        <v>-1</v>
      </c>
      <c r="O1764" s="4">
        <f t="shared" si="278"/>
        <v>2229.8000000000002</v>
      </c>
      <c r="P1764" s="4">
        <f t="shared" si="279"/>
        <v>0</v>
      </c>
    </row>
    <row r="1765" spans="1:16" x14ac:dyDescent="0.25">
      <c r="A1765" s="1">
        <v>43747</v>
      </c>
      <c r="B1765">
        <v>2258</v>
      </c>
      <c r="C1765">
        <v>2258.5</v>
      </c>
      <c r="D1765">
        <v>2214.9499999999998</v>
      </c>
      <c r="E1765" s="7">
        <v>2240.75</v>
      </c>
      <c r="F1765">
        <v>1204455</v>
      </c>
      <c r="G1765" s="8">
        <f t="shared" si="270"/>
        <v>2238.0666666666666</v>
      </c>
      <c r="H1765" s="9">
        <f t="shared" si="271"/>
        <v>2695650587</v>
      </c>
      <c r="I1765" s="9">
        <f t="shared" si="274"/>
        <v>38770585381.133331</v>
      </c>
      <c r="J1765" s="9">
        <f t="shared" si="275"/>
        <v>17132583</v>
      </c>
      <c r="K1765" s="21">
        <f t="shared" si="276"/>
        <v>2262.973737301219</v>
      </c>
      <c r="L1765" s="4" t="str">
        <f t="shared" si="272"/>
        <v>SELL</v>
      </c>
      <c r="M1765" s="4">
        <f t="shared" si="277"/>
        <v>0</v>
      </c>
      <c r="N1765" s="4">
        <f t="shared" si="273"/>
        <v>-1</v>
      </c>
      <c r="O1765" s="4">
        <f t="shared" si="278"/>
        <v>2229.8000000000002</v>
      </c>
      <c r="P1765" s="4">
        <f t="shared" si="279"/>
        <v>0</v>
      </c>
    </row>
    <row r="1766" spans="1:16" x14ac:dyDescent="0.25">
      <c r="A1766" s="1">
        <v>43748</v>
      </c>
      <c r="B1766">
        <v>2244</v>
      </c>
      <c r="C1766">
        <v>2252.6</v>
      </c>
      <c r="D1766">
        <v>2226</v>
      </c>
      <c r="E1766" s="7">
        <v>2244.6</v>
      </c>
      <c r="F1766">
        <v>907319</v>
      </c>
      <c r="G1766" s="8">
        <f t="shared" si="270"/>
        <v>2241.0666666666671</v>
      </c>
      <c r="H1766" s="9">
        <f t="shared" si="271"/>
        <v>2033362366.9333336</v>
      </c>
      <c r="I1766" s="9">
        <f t="shared" si="274"/>
        <v>38145348334.733337</v>
      </c>
      <c r="J1766" s="9">
        <f t="shared" si="275"/>
        <v>16880629</v>
      </c>
      <c r="K1766" s="21">
        <f t="shared" si="276"/>
        <v>2259.7113137628544</v>
      </c>
      <c r="L1766" s="4" t="str">
        <f t="shared" si="272"/>
        <v>SELL</v>
      </c>
      <c r="M1766" s="4">
        <f t="shared" si="277"/>
        <v>0</v>
      </c>
      <c r="N1766" s="4">
        <f t="shared" si="273"/>
        <v>-1</v>
      </c>
      <c r="O1766" s="4">
        <f t="shared" si="278"/>
        <v>2229.8000000000002</v>
      </c>
      <c r="P1766" s="4">
        <f t="shared" si="279"/>
        <v>0</v>
      </c>
    </row>
    <row r="1767" spans="1:16" x14ac:dyDescent="0.25">
      <c r="A1767" s="1">
        <v>43749</v>
      </c>
      <c r="B1767">
        <v>2244.9</v>
      </c>
      <c r="C1767">
        <v>2282.6</v>
      </c>
      <c r="D1767">
        <v>2244.0500000000002</v>
      </c>
      <c r="E1767" s="7">
        <v>2270.9499999999998</v>
      </c>
      <c r="F1767">
        <v>1106292</v>
      </c>
      <c r="G1767" s="8">
        <f t="shared" si="270"/>
        <v>2265.8666666666663</v>
      </c>
      <c r="H1767" s="9">
        <f t="shared" si="271"/>
        <v>2506710166.3999996</v>
      </c>
      <c r="I1767" s="9">
        <f t="shared" si="274"/>
        <v>38015098017.583336</v>
      </c>
      <c r="J1767" s="9">
        <f t="shared" si="275"/>
        <v>16845602</v>
      </c>
      <c r="K1767" s="21">
        <f t="shared" si="276"/>
        <v>2256.6779161459076</v>
      </c>
      <c r="L1767" s="4" t="str">
        <f t="shared" si="272"/>
        <v>BUY</v>
      </c>
      <c r="M1767" s="4" t="str">
        <f t="shared" si="277"/>
        <v>BUY</v>
      </c>
      <c r="N1767" s="4">
        <f t="shared" si="273"/>
        <v>1</v>
      </c>
      <c r="O1767" s="4">
        <f t="shared" si="278"/>
        <v>2270.9499999999998</v>
      </c>
      <c r="P1767" s="4">
        <f t="shared" si="279"/>
        <v>-1.8454569916584281E-2</v>
      </c>
    </row>
    <row r="1768" spans="1:16" x14ac:dyDescent="0.25">
      <c r="A1768" s="1">
        <v>43752</v>
      </c>
      <c r="B1768">
        <v>2275</v>
      </c>
      <c r="C1768">
        <v>2328</v>
      </c>
      <c r="D1768">
        <v>2270.1999999999998</v>
      </c>
      <c r="E1768" s="7">
        <v>2317.3000000000002</v>
      </c>
      <c r="F1768">
        <v>2016601</v>
      </c>
      <c r="G1768" s="8">
        <f t="shared" si="270"/>
        <v>2305.1666666666665</v>
      </c>
      <c r="H1768" s="9">
        <f t="shared" si="271"/>
        <v>4648601405.166666</v>
      </c>
      <c r="I1768" s="9">
        <f t="shared" si="274"/>
        <v>37845498977.683334</v>
      </c>
      <c r="J1768" s="9">
        <f t="shared" si="275"/>
        <v>16806379</v>
      </c>
      <c r="K1768" s="21">
        <f t="shared" si="276"/>
        <v>2251.8532384449582</v>
      </c>
      <c r="L1768" s="4" t="str">
        <f t="shared" si="272"/>
        <v>BUY</v>
      </c>
      <c r="M1768" s="4">
        <f t="shared" si="277"/>
        <v>0</v>
      </c>
      <c r="N1768" s="4">
        <f t="shared" si="273"/>
        <v>1</v>
      </c>
      <c r="O1768" s="4">
        <f t="shared" si="278"/>
        <v>2270.9499999999998</v>
      </c>
      <c r="P1768" s="4">
        <f t="shared" si="279"/>
        <v>0</v>
      </c>
    </row>
    <row r="1769" spans="1:16" x14ac:dyDescent="0.25">
      <c r="A1769" s="1">
        <v>43753</v>
      </c>
      <c r="B1769">
        <v>2311</v>
      </c>
      <c r="C1769">
        <v>2424.4499999999998</v>
      </c>
      <c r="D1769">
        <v>2311</v>
      </c>
      <c r="E1769" s="7">
        <v>2397.9499999999998</v>
      </c>
      <c r="F1769">
        <v>2891080</v>
      </c>
      <c r="G1769" s="8">
        <f t="shared" si="270"/>
        <v>2377.7999999999997</v>
      </c>
      <c r="H1769" s="9">
        <f t="shared" si="271"/>
        <v>6874410023.999999</v>
      </c>
      <c r="I1769" s="9">
        <f t="shared" si="274"/>
        <v>41330586786.216667</v>
      </c>
      <c r="J1769" s="9">
        <f t="shared" si="275"/>
        <v>18261630</v>
      </c>
      <c r="K1769" s="21">
        <f t="shared" si="276"/>
        <v>2263.2474092518942</v>
      </c>
      <c r="L1769" s="4" t="str">
        <f t="shared" si="272"/>
        <v>BUY</v>
      </c>
      <c r="M1769" s="4">
        <f t="shared" si="277"/>
        <v>0</v>
      </c>
      <c r="N1769" s="4">
        <f t="shared" si="273"/>
        <v>1</v>
      </c>
      <c r="O1769" s="4">
        <f t="shared" si="278"/>
        <v>2270.9499999999998</v>
      </c>
      <c r="P1769" s="4">
        <f t="shared" si="279"/>
        <v>0</v>
      </c>
    </row>
    <row r="1770" spans="1:16" x14ac:dyDescent="0.25">
      <c r="A1770" s="1">
        <v>43754</v>
      </c>
      <c r="B1770">
        <v>2396</v>
      </c>
      <c r="C1770">
        <v>2429</v>
      </c>
      <c r="D1770">
        <v>2382.35</v>
      </c>
      <c r="E1770" s="7">
        <v>2414.25</v>
      </c>
      <c r="F1770">
        <v>1909906</v>
      </c>
      <c r="G1770" s="8">
        <f t="shared" si="270"/>
        <v>2408.5333333333333</v>
      </c>
      <c r="H1770" s="9">
        <f t="shared" si="271"/>
        <v>4600072264.5333328</v>
      </c>
      <c r="I1770" s="9">
        <f t="shared" si="274"/>
        <v>42921754739.416664</v>
      </c>
      <c r="J1770" s="9">
        <f t="shared" si="275"/>
        <v>18882558</v>
      </c>
      <c r="K1770" s="21">
        <f t="shared" si="276"/>
        <v>2273.0900516453685</v>
      </c>
      <c r="L1770" s="4" t="str">
        <f t="shared" si="272"/>
        <v>BUY</v>
      </c>
      <c r="M1770" s="4">
        <f t="shared" si="277"/>
        <v>0</v>
      </c>
      <c r="N1770" s="4">
        <f t="shared" si="273"/>
        <v>1</v>
      </c>
      <c r="O1770" s="4">
        <f t="shared" si="278"/>
        <v>2270.9499999999998</v>
      </c>
      <c r="P1770" s="4">
        <f t="shared" si="279"/>
        <v>0</v>
      </c>
    </row>
    <row r="1771" spans="1:16" x14ac:dyDescent="0.25">
      <c r="A1771" s="1">
        <v>43755</v>
      </c>
      <c r="B1771">
        <v>2419.65</v>
      </c>
      <c r="C1771">
        <v>2419.65</v>
      </c>
      <c r="D1771">
        <v>2398</v>
      </c>
      <c r="E1771" s="7">
        <v>2406.25</v>
      </c>
      <c r="F1771">
        <v>1016664</v>
      </c>
      <c r="G1771" s="8">
        <f t="shared" si="270"/>
        <v>2407.9666666666667</v>
      </c>
      <c r="H1771" s="9">
        <f t="shared" si="271"/>
        <v>2448093023.1999998</v>
      </c>
      <c r="I1771" s="9">
        <f t="shared" si="274"/>
        <v>40110437434.683327</v>
      </c>
      <c r="J1771" s="9">
        <f t="shared" si="275"/>
        <v>17565820</v>
      </c>
      <c r="K1771" s="21">
        <f t="shared" si="276"/>
        <v>2283.436664766195</v>
      </c>
      <c r="L1771" s="4" t="str">
        <f t="shared" si="272"/>
        <v>BUY</v>
      </c>
      <c r="M1771" s="4">
        <f t="shared" si="277"/>
        <v>0</v>
      </c>
      <c r="N1771" s="4">
        <f t="shared" si="273"/>
        <v>1</v>
      </c>
      <c r="O1771" s="4">
        <f t="shared" si="278"/>
        <v>2270.9499999999998</v>
      </c>
      <c r="P1771" s="4">
        <f t="shared" si="279"/>
        <v>0</v>
      </c>
    </row>
    <row r="1772" spans="1:16" x14ac:dyDescent="0.25">
      <c r="A1772" s="1">
        <v>43756</v>
      </c>
      <c r="B1772">
        <v>2397</v>
      </c>
      <c r="C1772">
        <v>2428</v>
      </c>
      <c r="D1772">
        <v>2375.1</v>
      </c>
      <c r="E1772" s="7">
        <v>2413.6999999999998</v>
      </c>
      <c r="F1772">
        <v>962486</v>
      </c>
      <c r="G1772" s="8">
        <f t="shared" si="270"/>
        <v>2405.6</v>
      </c>
      <c r="H1772" s="9">
        <f t="shared" si="271"/>
        <v>2315356321.5999999</v>
      </c>
      <c r="I1772" s="9">
        <f t="shared" si="274"/>
        <v>37104897883.48333</v>
      </c>
      <c r="J1772" s="9">
        <f t="shared" si="275"/>
        <v>16096230</v>
      </c>
      <c r="K1772" s="21">
        <f t="shared" si="276"/>
        <v>2305.1918296075123</v>
      </c>
      <c r="L1772" s="4" t="str">
        <f t="shared" si="272"/>
        <v>BUY</v>
      </c>
      <c r="M1772" s="4">
        <f t="shared" si="277"/>
        <v>0</v>
      </c>
      <c r="N1772" s="4">
        <f t="shared" si="273"/>
        <v>1</v>
      </c>
      <c r="O1772" s="4">
        <f t="shared" si="278"/>
        <v>2270.9499999999998</v>
      </c>
      <c r="P1772" s="4">
        <f t="shared" si="279"/>
        <v>0</v>
      </c>
    </row>
    <row r="1773" spans="1:16" x14ac:dyDescent="0.25">
      <c r="A1773" s="1">
        <v>43759</v>
      </c>
      <c r="B1773">
        <v>2460</v>
      </c>
      <c r="C1773">
        <v>2478</v>
      </c>
      <c r="D1773">
        <v>2435.6</v>
      </c>
      <c r="E1773" s="7">
        <v>2447.75</v>
      </c>
      <c r="F1773">
        <v>2087840</v>
      </c>
      <c r="G1773" s="8">
        <f t="shared" si="270"/>
        <v>2453.7833333333333</v>
      </c>
      <c r="H1773" s="9">
        <f t="shared" si="271"/>
        <v>5123106994.666667</v>
      </c>
      <c r="I1773" s="9">
        <f t="shared" si="274"/>
        <v>35637956837.933327</v>
      </c>
      <c r="J1773" s="9">
        <f t="shared" si="275"/>
        <v>15179329</v>
      </c>
      <c r="K1773" s="21">
        <f t="shared" si="276"/>
        <v>2347.7952706561223</v>
      </c>
      <c r="L1773" s="4" t="str">
        <f t="shared" si="272"/>
        <v>BUY</v>
      </c>
      <c r="M1773" s="4">
        <f t="shared" si="277"/>
        <v>0</v>
      </c>
      <c r="N1773" s="4">
        <f t="shared" si="273"/>
        <v>1</v>
      </c>
      <c r="O1773" s="4">
        <f t="shared" si="278"/>
        <v>2270.9499999999998</v>
      </c>
      <c r="P1773" s="4">
        <f t="shared" si="279"/>
        <v>0</v>
      </c>
    </row>
    <row r="1774" spans="1:16" x14ac:dyDescent="0.25">
      <c r="A1774" s="1">
        <v>43760</v>
      </c>
      <c r="B1774">
        <v>2472</v>
      </c>
      <c r="C1774">
        <v>2475.6</v>
      </c>
      <c r="D1774">
        <v>2402</v>
      </c>
      <c r="E1774" s="7">
        <v>2407.9</v>
      </c>
      <c r="F1774">
        <v>1361662</v>
      </c>
      <c r="G1774" s="8">
        <f t="shared" si="270"/>
        <v>2428.5</v>
      </c>
      <c r="H1774" s="9">
        <f t="shared" si="271"/>
        <v>3306796167</v>
      </c>
      <c r="I1774" s="9">
        <f t="shared" si="274"/>
        <v>36552159320.5</v>
      </c>
      <c r="J1774" s="9">
        <f t="shared" si="275"/>
        <v>15464305</v>
      </c>
      <c r="K1774" s="21">
        <f t="shared" si="276"/>
        <v>2363.6470776087253</v>
      </c>
      <c r="L1774" s="4" t="str">
        <f t="shared" si="272"/>
        <v>BUY</v>
      </c>
      <c r="M1774" s="4">
        <f t="shared" si="277"/>
        <v>0</v>
      </c>
      <c r="N1774" s="4">
        <f t="shared" si="273"/>
        <v>1</v>
      </c>
      <c r="O1774" s="4">
        <f t="shared" si="278"/>
        <v>2270.9499999999998</v>
      </c>
      <c r="P1774" s="4">
        <f t="shared" si="279"/>
        <v>0</v>
      </c>
    </row>
    <row r="1775" spans="1:16" x14ac:dyDescent="0.25">
      <c r="A1775" s="1">
        <v>43761</v>
      </c>
      <c r="B1775">
        <v>2425</v>
      </c>
      <c r="C1775">
        <v>2555</v>
      </c>
      <c r="D1775">
        <v>2408.1</v>
      </c>
      <c r="E1775" s="7">
        <v>2502.1999999999998</v>
      </c>
      <c r="F1775">
        <v>1986974</v>
      </c>
      <c r="G1775" s="8">
        <f t="shared" si="270"/>
        <v>2488.4333333333334</v>
      </c>
      <c r="H1775" s="9">
        <f t="shared" si="271"/>
        <v>4944452334.0666666</v>
      </c>
      <c r="I1775" s="9">
        <f t="shared" si="274"/>
        <v>38800961067.566666</v>
      </c>
      <c r="J1775" s="9">
        <f t="shared" si="275"/>
        <v>16246824</v>
      </c>
      <c r="K1775" s="21">
        <f t="shared" si="276"/>
        <v>2388.218218377122</v>
      </c>
      <c r="L1775" s="4" t="str">
        <f t="shared" si="272"/>
        <v>BUY</v>
      </c>
      <c r="M1775" s="4">
        <f t="shared" si="277"/>
        <v>0</v>
      </c>
      <c r="N1775" s="4">
        <f t="shared" si="273"/>
        <v>1</v>
      </c>
      <c r="O1775" s="4">
        <f t="shared" si="278"/>
        <v>2270.9499999999998</v>
      </c>
      <c r="P1775" s="4">
        <f t="shared" si="279"/>
        <v>0</v>
      </c>
    </row>
    <row r="1776" spans="1:16" x14ac:dyDescent="0.25">
      <c r="A1776" s="1">
        <v>43762</v>
      </c>
      <c r="B1776">
        <v>2514</v>
      </c>
      <c r="C1776">
        <v>2525.9</v>
      </c>
      <c r="D1776">
        <v>2455.15</v>
      </c>
      <c r="E1776" s="7">
        <v>2465.35</v>
      </c>
      <c r="F1776">
        <v>2750556</v>
      </c>
      <c r="G1776" s="8">
        <f t="shared" si="270"/>
        <v>2482.1333333333332</v>
      </c>
      <c r="H1776" s="9">
        <f t="shared" si="271"/>
        <v>6827246732.7999992</v>
      </c>
      <c r="I1776" s="9">
        <f t="shared" si="274"/>
        <v>43594845433.433334</v>
      </c>
      <c r="J1776" s="9">
        <f t="shared" si="275"/>
        <v>18090061</v>
      </c>
      <c r="K1776" s="21">
        <f t="shared" si="276"/>
        <v>2409.8782991076332</v>
      </c>
      <c r="L1776" s="4" t="str">
        <f t="shared" si="272"/>
        <v>BUY</v>
      </c>
      <c r="M1776" s="4">
        <f t="shared" si="277"/>
        <v>0</v>
      </c>
      <c r="N1776" s="4">
        <f t="shared" si="273"/>
        <v>1</v>
      </c>
      <c r="O1776" s="4">
        <f t="shared" si="278"/>
        <v>2270.9499999999998</v>
      </c>
      <c r="P1776" s="4">
        <f t="shared" si="279"/>
        <v>0</v>
      </c>
    </row>
    <row r="1777" spans="1:16" x14ac:dyDescent="0.25">
      <c r="A1777" s="1">
        <v>43763</v>
      </c>
      <c r="B1777">
        <v>2465.9</v>
      </c>
      <c r="C1777">
        <v>2470</v>
      </c>
      <c r="D1777">
        <v>2400.15</v>
      </c>
      <c r="E1777" s="7">
        <v>2411.5</v>
      </c>
      <c r="F1777">
        <v>2252748</v>
      </c>
      <c r="G1777" s="8">
        <f t="shared" si="270"/>
        <v>2427.2166666666667</v>
      </c>
      <c r="H1777" s="9">
        <f t="shared" si="271"/>
        <v>5467907491.3999996</v>
      </c>
      <c r="I1777" s="9">
        <f t="shared" si="274"/>
        <v>46556042758.433327</v>
      </c>
      <c r="J1777" s="9">
        <f t="shared" si="275"/>
        <v>19236517</v>
      </c>
      <c r="K1777" s="21">
        <f t="shared" si="276"/>
        <v>2420.1908671114074</v>
      </c>
      <c r="L1777" s="4" t="str">
        <f t="shared" si="272"/>
        <v>SELL</v>
      </c>
      <c r="M1777" s="4" t="str">
        <f t="shared" si="277"/>
        <v>SELL</v>
      </c>
      <c r="N1777" s="4">
        <f t="shared" si="273"/>
        <v>-1</v>
      </c>
      <c r="O1777" s="4">
        <f t="shared" si="278"/>
        <v>2411.5</v>
      </c>
      <c r="P1777" s="4">
        <f t="shared" si="279"/>
        <v>6.1890398291464012E-2</v>
      </c>
    </row>
    <row r="1778" spans="1:16" x14ac:dyDescent="0.25">
      <c r="A1778" s="1">
        <v>43766</v>
      </c>
      <c r="B1778">
        <v>2415</v>
      </c>
      <c r="C1778">
        <v>2493.25</v>
      </c>
      <c r="D1778">
        <v>2415</v>
      </c>
      <c r="E1778" s="7">
        <v>2481.8000000000002</v>
      </c>
      <c r="F1778">
        <v>2426676</v>
      </c>
      <c r="G1778" s="8">
        <f t="shared" si="270"/>
        <v>2463.35</v>
      </c>
      <c r="H1778" s="9">
        <f t="shared" si="271"/>
        <v>5977752324.5999994</v>
      </c>
      <c r="I1778" s="9">
        <f t="shared" si="274"/>
        <v>47885193677.866669</v>
      </c>
      <c r="J1778" s="9">
        <f t="shared" si="275"/>
        <v>19646592</v>
      </c>
      <c r="K1778" s="21">
        <f t="shared" si="276"/>
        <v>2437.3282489841836</v>
      </c>
      <c r="L1778" s="4" t="str">
        <f t="shared" si="272"/>
        <v>BUY</v>
      </c>
      <c r="M1778" s="4" t="str">
        <f t="shared" si="277"/>
        <v>BUY</v>
      </c>
      <c r="N1778" s="4">
        <f t="shared" si="273"/>
        <v>1</v>
      </c>
      <c r="O1778" s="4">
        <f t="shared" si="278"/>
        <v>2481.8000000000002</v>
      </c>
      <c r="P1778" s="4">
        <f t="shared" si="279"/>
        <v>-2.9151980095376399E-2</v>
      </c>
    </row>
    <row r="1779" spans="1:16" x14ac:dyDescent="0.25">
      <c r="A1779" s="1">
        <v>43767</v>
      </c>
      <c r="B1779">
        <v>2479.1</v>
      </c>
      <c r="C1779">
        <v>2502</v>
      </c>
      <c r="D1779">
        <v>2470.0500000000002</v>
      </c>
      <c r="E1779" s="7">
        <v>2489.85</v>
      </c>
      <c r="F1779">
        <v>1069946</v>
      </c>
      <c r="G1779" s="8">
        <f t="shared" si="270"/>
        <v>2487.2999999999997</v>
      </c>
      <c r="H1779" s="9">
        <f t="shared" si="271"/>
        <v>2661276685.7999997</v>
      </c>
      <c r="I1779" s="9">
        <f t="shared" si="274"/>
        <v>43672060339.666664</v>
      </c>
      <c r="J1779" s="9">
        <f t="shared" si="275"/>
        <v>17825458</v>
      </c>
      <c r="K1779" s="21">
        <f t="shared" si="276"/>
        <v>2449.9825103886064</v>
      </c>
      <c r="L1779" s="4" t="str">
        <f t="shared" si="272"/>
        <v>BUY</v>
      </c>
      <c r="M1779" s="4">
        <f t="shared" si="277"/>
        <v>0</v>
      </c>
      <c r="N1779" s="4">
        <f t="shared" si="273"/>
        <v>1</v>
      </c>
      <c r="O1779" s="4">
        <f t="shared" si="278"/>
        <v>2481.8000000000002</v>
      </c>
      <c r="P1779" s="4">
        <f t="shared" si="279"/>
        <v>0</v>
      </c>
    </row>
    <row r="1780" spans="1:16" x14ac:dyDescent="0.25">
      <c r="A1780" s="1">
        <v>43768</v>
      </c>
      <c r="B1780">
        <v>2489.5</v>
      </c>
      <c r="C1780">
        <v>2490</v>
      </c>
      <c r="D1780">
        <v>2450</v>
      </c>
      <c r="E1780" s="7">
        <v>2466.25</v>
      </c>
      <c r="F1780">
        <v>1177414</v>
      </c>
      <c r="G1780" s="8">
        <f t="shared" si="270"/>
        <v>2468.75</v>
      </c>
      <c r="H1780" s="9">
        <f t="shared" si="271"/>
        <v>2906740812.5</v>
      </c>
      <c r="I1780" s="9">
        <f t="shared" si="274"/>
        <v>41978728887.633331</v>
      </c>
      <c r="J1780" s="9">
        <f t="shared" si="275"/>
        <v>17092966</v>
      </c>
      <c r="K1780" s="21">
        <f t="shared" si="276"/>
        <v>2455.9066511706237</v>
      </c>
      <c r="L1780" s="4" t="str">
        <f t="shared" si="272"/>
        <v>BUY</v>
      </c>
      <c r="M1780" s="4">
        <f t="shared" si="277"/>
        <v>0</v>
      </c>
      <c r="N1780" s="4">
        <f t="shared" si="273"/>
        <v>1</v>
      </c>
      <c r="O1780" s="4">
        <f t="shared" si="278"/>
        <v>2481.8000000000002</v>
      </c>
      <c r="P1780" s="4">
        <f t="shared" si="279"/>
        <v>0</v>
      </c>
    </row>
    <row r="1781" spans="1:16" x14ac:dyDescent="0.25">
      <c r="A1781" s="1">
        <v>43769</v>
      </c>
      <c r="B1781">
        <v>2479.9</v>
      </c>
      <c r="C1781">
        <v>2501.9</v>
      </c>
      <c r="D1781">
        <v>2470</v>
      </c>
      <c r="E1781" s="7">
        <v>2479.5500000000002</v>
      </c>
      <c r="F1781">
        <v>565187</v>
      </c>
      <c r="G1781" s="8">
        <f t="shared" si="270"/>
        <v>2483.8166666666666</v>
      </c>
      <c r="H1781" s="9">
        <f t="shared" si="271"/>
        <v>1403820890.3833332</v>
      </c>
      <c r="I1781" s="9">
        <f t="shared" si="274"/>
        <v>40934456754.816666</v>
      </c>
      <c r="J1781" s="9">
        <f t="shared" si="275"/>
        <v>16641489</v>
      </c>
      <c r="K1781" s="21">
        <f t="shared" si="276"/>
        <v>2459.7833015312913</v>
      </c>
      <c r="L1781" s="4" t="str">
        <f t="shared" si="272"/>
        <v>BUY</v>
      </c>
      <c r="M1781" s="4">
        <f t="shared" si="277"/>
        <v>0</v>
      </c>
      <c r="N1781" s="4">
        <f t="shared" si="273"/>
        <v>1</v>
      </c>
      <c r="O1781" s="4">
        <f t="shared" si="278"/>
        <v>2481.8000000000002</v>
      </c>
      <c r="P1781" s="4">
        <f t="shared" si="279"/>
        <v>0</v>
      </c>
    </row>
    <row r="1782" spans="1:16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 s="7">
        <v>2501.4499999999998</v>
      </c>
      <c r="F1782">
        <v>772471</v>
      </c>
      <c r="G1782" s="8">
        <f t="shared" si="270"/>
        <v>2493.8333333333335</v>
      </c>
      <c r="H1782" s="9">
        <f t="shared" si="271"/>
        <v>1926413928.8333335</v>
      </c>
      <c r="I1782" s="9">
        <f t="shared" si="274"/>
        <v>40545514362.049995</v>
      </c>
      <c r="J1782" s="9">
        <f t="shared" si="275"/>
        <v>16451474</v>
      </c>
      <c r="K1782" s="21">
        <f t="shared" si="276"/>
        <v>2464.5520736956455</v>
      </c>
      <c r="L1782" s="4" t="str">
        <f t="shared" si="272"/>
        <v>BUY</v>
      </c>
      <c r="M1782" s="4">
        <f t="shared" si="277"/>
        <v>0</v>
      </c>
      <c r="N1782" s="4">
        <f t="shared" si="273"/>
        <v>1</v>
      </c>
      <c r="O1782" s="4">
        <f t="shared" si="278"/>
        <v>2481.8000000000002</v>
      </c>
      <c r="P1782" s="4">
        <f t="shared" si="279"/>
        <v>0</v>
      </c>
    </row>
    <row r="1783" spans="1:16" x14ac:dyDescent="0.25">
      <c r="A1783" s="1">
        <v>43773</v>
      </c>
      <c r="B1783">
        <v>2492</v>
      </c>
      <c r="C1783">
        <v>2499.6999999999998</v>
      </c>
      <c r="D1783">
        <v>2475.4</v>
      </c>
      <c r="E1783" s="7">
        <v>2494.0500000000002</v>
      </c>
      <c r="F1783">
        <v>506985</v>
      </c>
      <c r="G1783" s="8">
        <f t="shared" si="270"/>
        <v>2489.7166666666667</v>
      </c>
      <c r="H1783" s="9">
        <f t="shared" si="271"/>
        <v>1262249004.25</v>
      </c>
      <c r="I1783" s="9">
        <f t="shared" si="274"/>
        <v>36684656371.633331</v>
      </c>
      <c r="J1783" s="9">
        <f t="shared" si="275"/>
        <v>14870619</v>
      </c>
      <c r="K1783" s="21">
        <f t="shared" si="276"/>
        <v>2466.9219466676759</v>
      </c>
      <c r="L1783" s="4" t="str">
        <f t="shared" si="272"/>
        <v>BUY</v>
      </c>
      <c r="M1783" s="4">
        <f t="shared" si="277"/>
        <v>0</v>
      </c>
      <c r="N1783" s="4">
        <f t="shared" si="273"/>
        <v>1</v>
      </c>
      <c r="O1783" s="4">
        <f t="shared" si="278"/>
        <v>2481.8000000000002</v>
      </c>
      <c r="P1783" s="4">
        <f t="shared" si="279"/>
        <v>0</v>
      </c>
    </row>
    <row r="1784" spans="1:16" x14ac:dyDescent="0.25">
      <c r="A1784" s="1">
        <v>43774</v>
      </c>
      <c r="B1784">
        <v>2480</v>
      </c>
      <c r="C1784">
        <v>2484</v>
      </c>
      <c r="D1784">
        <v>2454.5500000000002</v>
      </c>
      <c r="E1784" s="7">
        <v>2472.5</v>
      </c>
      <c r="F1784">
        <v>700347</v>
      </c>
      <c r="G1784" s="8">
        <f t="shared" si="270"/>
        <v>2470.35</v>
      </c>
      <c r="H1784" s="9">
        <f t="shared" si="271"/>
        <v>1730102211.45</v>
      </c>
      <c r="I1784" s="9">
        <f t="shared" si="274"/>
        <v>35107962416.083328</v>
      </c>
      <c r="J1784" s="9">
        <f t="shared" si="275"/>
        <v>14209304</v>
      </c>
      <c r="K1784" s="21">
        <f t="shared" si="276"/>
        <v>2470.7728412372153</v>
      </c>
      <c r="L1784" s="4" t="str">
        <f t="shared" si="272"/>
        <v>BUY</v>
      </c>
      <c r="M1784" s="4">
        <f t="shared" si="277"/>
        <v>0</v>
      </c>
      <c r="N1784" s="4">
        <f t="shared" si="273"/>
        <v>1</v>
      </c>
      <c r="O1784" s="4">
        <f t="shared" si="278"/>
        <v>2481.8000000000002</v>
      </c>
      <c r="P1784" s="4">
        <f t="shared" si="279"/>
        <v>0</v>
      </c>
    </row>
    <row r="1785" spans="1:16" x14ac:dyDescent="0.25">
      <c r="A1785" s="1">
        <v>43775</v>
      </c>
      <c r="B1785">
        <v>2482.9</v>
      </c>
      <c r="C1785">
        <v>2505</v>
      </c>
      <c r="D1785">
        <v>2475.0500000000002</v>
      </c>
      <c r="E1785" s="7">
        <v>2499.8000000000002</v>
      </c>
      <c r="F1785">
        <v>755836</v>
      </c>
      <c r="G1785" s="8">
        <f t="shared" si="270"/>
        <v>2493.2833333333333</v>
      </c>
      <c r="H1785" s="9">
        <f t="shared" si="271"/>
        <v>1884513301.5333333</v>
      </c>
      <c r="I1785" s="9">
        <f t="shared" si="274"/>
        <v>32048023383.549995</v>
      </c>
      <c r="J1785" s="9">
        <f t="shared" si="275"/>
        <v>12978166</v>
      </c>
      <c r="K1785" s="21">
        <f t="shared" si="276"/>
        <v>2469.379986629081</v>
      </c>
      <c r="L1785" s="4" t="str">
        <f t="shared" si="272"/>
        <v>BUY</v>
      </c>
      <c r="M1785" s="4">
        <f t="shared" si="277"/>
        <v>0</v>
      </c>
      <c r="N1785" s="4">
        <f t="shared" si="273"/>
        <v>1</v>
      </c>
      <c r="O1785" s="4">
        <f t="shared" si="278"/>
        <v>2481.8000000000002</v>
      </c>
      <c r="P1785" s="4">
        <f t="shared" si="279"/>
        <v>0</v>
      </c>
    </row>
    <row r="1786" spans="1:16" x14ac:dyDescent="0.25">
      <c r="A1786" s="1">
        <v>43776</v>
      </c>
      <c r="B1786">
        <v>2502</v>
      </c>
      <c r="C1786">
        <v>2520</v>
      </c>
      <c r="D1786">
        <v>2492.1999999999998</v>
      </c>
      <c r="E1786" s="7">
        <v>2512.1999999999998</v>
      </c>
      <c r="F1786">
        <v>895755</v>
      </c>
      <c r="G1786" s="8">
        <f t="shared" si="270"/>
        <v>2508.1333333333332</v>
      </c>
      <c r="H1786" s="9">
        <f t="shared" si="271"/>
        <v>2246672974</v>
      </c>
      <c r="I1786" s="9">
        <f t="shared" si="274"/>
        <v>27467449624.75</v>
      </c>
      <c r="J1786" s="9">
        <f t="shared" si="275"/>
        <v>11123365</v>
      </c>
      <c r="K1786" s="21">
        <f t="shared" si="276"/>
        <v>2469.3471467267323</v>
      </c>
      <c r="L1786" s="4" t="str">
        <f t="shared" si="272"/>
        <v>BUY</v>
      </c>
      <c r="M1786" s="4">
        <f t="shared" si="277"/>
        <v>0</v>
      </c>
      <c r="N1786" s="4">
        <f t="shared" si="273"/>
        <v>1</v>
      </c>
      <c r="O1786" s="4">
        <f t="shared" si="278"/>
        <v>2481.8000000000002</v>
      </c>
      <c r="P1786" s="4">
        <f t="shared" si="279"/>
        <v>0</v>
      </c>
    </row>
    <row r="1787" spans="1:16" x14ac:dyDescent="0.25">
      <c r="A1787" s="1">
        <v>43777</v>
      </c>
      <c r="B1787">
        <v>2514.15</v>
      </c>
      <c r="C1787">
        <v>2524</v>
      </c>
      <c r="D1787">
        <v>2504.0500000000002</v>
      </c>
      <c r="E1787" s="7">
        <v>2519.75</v>
      </c>
      <c r="F1787">
        <v>429234</v>
      </c>
      <c r="G1787" s="8">
        <f t="shared" si="270"/>
        <v>2515.9333333333334</v>
      </c>
      <c r="H1787" s="9">
        <f t="shared" si="271"/>
        <v>1079924128.4000001</v>
      </c>
      <c r="I1787" s="9">
        <f t="shared" si="274"/>
        <v>23079466261.75</v>
      </c>
      <c r="J1787" s="9">
        <f t="shared" si="275"/>
        <v>9299851</v>
      </c>
      <c r="K1787" s="21">
        <f t="shared" si="276"/>
        <v>2481.7027995125945</v>
      </c>
      <c r="L1787" s="4" t="str">
        <f t="shared" si="272"/>
        <v>BUY</v>
      </c>
      <c r="M1787" s="4">
        <f t="shared" si="277"/>
        <v>0</v>
      </c>
      <c r="N1787" s="4">
        <f t="shared" si="273"/>
        <v>1</v>
      </c>
      <c r="O1787" s="4">
        <f t="shared" si="278"/>
        <v>2481.8000000000002</v>
      </c>
      <c r="P1787" s="4">
        <f t="shared" si="279"/>
        <v>0</v>
      </c>
    </row>
    <row r="1788" spans="1:16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 s="7">
        <v>2542.25</v>
      </c>
      <c r="F1788">
        <v>585710</v>
      </c>
      <c r="G1788" s="8">
        <f t="shared" si="270"/>
        <v>2535.25</v>
      </c>
      <c r="H1788" s="9">
        <f t="shared" si="271"/>
        <v>1484921277.5</v>
      </c>
      <c r="I1788" s="9">
        <f t="shared" si="274"/>
        <v>18586635214.650002</v>
      </c>
      <c r="J1788" s="9">
        <f t="shared" si="275"/>
        <v>7458885</v>
      </c>
      <c r="K1788" s="21">
        <f t="shared" si="276"/>
        <v>2491.8785065931438</v>
      </c>
      <c r="L1788" s="4" t="str">
        <f t="shared" si="272"/>
        <v>BUY</v>
      </c>
      <c r="M1788" s="4">
        <f t="shared" si="277"/>
        <v>0</v>
      </c>
      <c r="N1788" s="4">
        <f t="shared" si="273"/>
        <v>1</v>
      </c>
      <c r="O1788" s="4">
        <f t="shared" si="278"/>
        <v>2481.8000000000002</v>
      </c>
      <c r="P1788" s="4">
        <f t="shared" si="279"/>
        <v>0</v>
      </c>
    </row>
    <row r="1789" spans="1:16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 s="7">
        <v>2567.5</v>
      </c>
      <c r="F1789">
        <v>1701147</v>
      </c>
      <c r="G1789" s="8">
        <f t="shared" si="270"/>
        <v>2568.5666666666671</v>
      </c>
      <c r="H1789" s="9">
        <f t="shared" si="271"/>
        <v>4369509479.3000011</v>
      </c>
      <c r="I1789" s="9">
        <f t="shared" si="274"/>
        <v>20294868008.150002</v>
      </c>
      <c r="J1789" s="9">
        <f t="shared" si="275"/>
        <v>8090086</v>
      </c>
      <c r="K1789" s="21">
        <f t="shared" si="276"/>
        <v>2508.6096746252142</v>
      </c>
      <c r="L1789" s="4" t="str">
        <f t="shared" si="272"/>
        <v>BUY</v>
      </c>
      <c r="M1789" s="4">
        <f t="shared" si="277"/>
        <v>0</v>
      </c>
      <c r="N1789" s="4">
        <f t="shared" si="273"/>
        <v>1</v>
      </c>
      <c r="O1789" s="4">
        <f t="shared" si="278"/>
        <v>2481.8000000000002</v>
      </c>
      <c r="P1789" s="4">
        <f t="shared" si="279"/>
        <v>0</v>
      </c>
    </row>
    <row r="1790" spans="1:16" x14ac:dyDescent="0.25">
      <c r="A1790" s="1">
        <v>43782</v>
      </c>
      <c r="B1790">
        <v>2572</v>
      </c>
      <c r="C1790">
        <v>2572.15</v>
      </c>
      <c r="D1790">
        <v>2493.85</v>
      </c>
      <c r="E1790" s="7">
        <v>2498.3000000000002</v>
      </c>
      <c r="F1790">
        <v>1511248</v>
      </c>
      <c r="G1790" s="8">
        <f t="shared" si="270"/>
        <v>2521.4333333333334</v>
      </c>
      <c r="H1790" s="9">
        <f t="shared" si="271"/>
        <v>3810511082.1333332</v>
      </c>
      <c r="I1790" s="9">
        <f t="shared" si="274"/>
        <v>21198638277.783333</v>
      </c>
      <c r="J1790" s="9">
        <f t="shared" si="275"/>
        <v>8423920</v>
      </c>
      <c r="K1790" s="21">
        <f t="shared" si="276"/>
        <v>2516.4814335586439</v>
      </c>
      <c r="L1790" s="4" t="str">
        <f t="shared" si="272"/>
        <v>SELL</v>
      </c>
      <c r="M1790" s="4" t="str">
        <f t="shared" si="277"/>
        <v>SELL</v>
      </c>
      <c r="N1790" s="4">
        <f t="shared" si="273"/>
        <v>-1</v>
      </c>
      <c r="O1790" s="4">
        <f t="shared" si="278"/>
        <v>2498.3000000000002</v>
      </c>
      <c r="P1790" s="4">
        <f t="shared" si="279"/>
        <v>6.6484003545813517E-3</v>
      </c>
    </row>
    <row r="1791" spans="1:16" x14ac:dyDescent="0.25">
      <c r="A1791" s="1">
        <v>43783</v>
      </c>
      <c r="B1791">
        <v>2506</v>
      </c>
      <c r="C1791">
        <v>2527</v>
      </c>
      <c r="D1791">
        <v>2506</v>
      </c>
      <c r="E1791" s="7">
        <v>2520.9</v>
      </c>
      <c r="F1791">
        <v>785909</v>
      </c>
      <c r="G1791" s="8">
        <f t="shared" si="270"/>
        <v>2517.9666666666667</v>
      </c>
      <c r="H1791" s="9">
        <f t="shared" si="271"/>
        <v>1978892665.0333333</v>
      </c>
      <c r="I1791" s="9">
        <f t="shared" si="274"/>
        <v>21773710052.433334</v>
      </c>
      <c r="J1791" s="9">
        <f t="shared" si="275"/>
        <v>8644642</v>
      </c>
      <c r="K1791" s="21">
        <f t="shared" si="276"/>
        <v>2518.7520839420922</v>
      </c>
      <c r="L1791" s="4" t="str">
        <f t="shared" si="272"/>
        <v>BUY</v>
      </c>
      <c r="M1791" s="4" t="str">
        <f t="shared" si="277"/>
        <v>BUY</v>
      </c>
      <c r="N1791" s="4">
        <f t="shared" si="273"/>
        <v>1</v>
      </c>
      <c r="O1791" s="4">
        <f t="shared" si="278"/>
        <v>2520.9</v>
      </c>
      <c r="P1791" s="4">
        <f t="shared" si="279"/>
        <v>-9.0461513829403623E-3</v>
      </c>
    </row>
    <row r="1792" spans="1:16" x14ac:dyDescent="0.25">
      <c r="A1792" s="1">
        <v>43784</v>
      </c>
      <c r="B1792">
        <v>2546</v>
      </c>
      <c r="C1792">
        <v>2546</v>
      </c>
      <c r="D1792">
        <v>2509.75</v>
      </c>
      <c r="E1792" s="7">
        <v>2525.75</v>
      </c>
      <c r="F1792">
        <v>1296576</v>
      </c>
      <c r="G1792" s="8">
        <f t="shared" si="270"/>
        <v>2527.1666666666665</v>
      </c>
      <c r="H1792" s="9">
        <f t="shared" si="271"/>
        <v>3276663648</v>
      </c>
      <c r="I1792" s="9">
        <f t="shared" si="274"/>
        <v>23123959771.599998</v>
      </c>
      <c r="J1792" s="9">
        <f t="shared" si="275"/>
        <v>9168747</v>
      </c>
      <c r="K1792" s="21">
        <f t="shared" si="276"/>
        <v>2522.0414274273244</v>
      </c>
      <c r="L1792" s="4" t="str">
        <f t="shared" si="272"/>
        <v>BUY</v>
      </c>
      <c r="M1792" s="4">
        <f t="shared" si="277"/>
        <v>0</v>
      </c>
      <c r="N1792" s="4">
        <f t="shared" si="273"/>
        <v>1</v>
      </c>
      <c r="O1792" s="4">
        <f t="shared" si="278"/>
        <v>2520.9</v>
      </c>
      <c r="P1792" s="4">
        <f t="shared" si="279"/>
        <v>0</v>
      </c>
    </row>
    <row r="1793" spans="1:16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 s="7">
        <v>2480</v>
      </c>
      <c r="F1793">
        <v>1743770</v>
      </c>
      <c r="G1793" s="8">
        <f t="shared" si="270"/>
        <v>2490.65</v>
      </c>
      <c r="H1793" s="9">
        <f t="shared" si="271"/>
        <v>4343120750.5</v>
      </c>
      <c r="I1793" s="9">
        <f t="shared" si="274"/>
        <v>26204831517.850002</v>
      </c>
      <c r="J1793" s="9">
        <f t="shared" si="275"/>
        <v>10405532</v>
      </c>
      <c r="K1793" s="21">
        <f t="shared" si="276"/>
        <v>2518.3557667065943</v>
      </c>
      <c r="L1793" s="4" t="str">
        <f t="shared" si="272"/>
        <v>SELL</v>
      </c>
      <c r="M1793" s="4" t="str">
        <f t="shared" si="277"/>
        <v>SELL</v>
      </c>
      <c r="N1793" s="4">
        <f t="shared" si="273"/>
        <v>-1</v>
      </c>
      <c r="O1793" s="4">
        <f t="shared" si="278"/>
        <v>2480</v>
      </c>
      <c r="P1793" s="4">
        <f t="shared" si="279"/>
        <v>-1.6224364314332218E-2</v>
      </c>
    </row>
    <row r="1794" spans="1:16" x14ac:dyDescent="0.25">
      <c r="A1794" s="1">
        <v>43788</v>
      </c>
      <c r="B1794">
        <v>2482</v>
      </c>
      <c r="C1794">
        <v>2492</v>
      </c>
      <c r="D1794">
        <v>2465</v>
      </c>
      <c r="E1794" s="7">
        <v>2486.6999999999998</v>
      </c>
      <c r="F1794">
        <v>1686850</v>
      </c>
      <c r="G1794" s="8">
        <f t="shared" ref="G1794:G1857" si="280">AVERAGE(C1794:E1794)</f>
        <v>2481.2333333333331</v>
      </c>
      <c r="H1794" s="9">
        <f t="shared" si="271"/>
        <v>4185468448.333333</v>
      </c>
      <c r="I1794" s="9">
        <f t="shared" si="274"/>
        <v>28660197754.733334</v>
      </c>
      <c r="J1794" s="9">
        <f t="shared" si="275"/>
        <v>11392035</v>
      </c>
      <c r="K1794" s="21">
        <f t="shared" si="276"/>
        <v>2515.8101914832014</v>
      </c>
      <c r="L1794" s="4" t="str">
        <f t="shared" si="272"/>
        <v>SELL</v>
      </c>
      <c r="M1794" s="4">
        <f t="shared" si="277"/>
        <v>0</v>
      </c>
      <c r="N1794" s="4">
        <f t="shared" si="273"/>
        <v>-1</v>
      </c>
      <c r="O1794" s="4">
        <f t="shared" si="278"/>
        <v>2480</v>
      </c>
      <c r="P1794" s="4">
        <f t="shared" si="279"/>
        <v>0</v>
      </c>
    </row>
    <row r="1795" spans="1:16" x14ac:dyDescent="0.25">
      <c r="A1795" s="1">
        <v>43789</v>
      </c>
      <c r="B1795">
        <v>2480.15</v>
      </c>
      <c r="C1795">
        <v>2496</v>
      </c>
      <c r="D1795">
        <v>2469.9499999999998</v>
      </c>
      <c r="E1795" s="7">
        <v>2478.9499999999998</v>
      </c>
      <c r="F1795">
        <v>944358</v>
      </c>
      <c r="G1795" s="8">
        <f t="shared" si="280"/>
        <v>2481.6333333333332</v>
      </c>
      <c r="H1795" s="9">
        <f t="shared" ref="H1795:H1858" si="281">G1795*F1795</f>
        <v>2343550291.4000001</v>
      </c>
      <c r="I1795" s="9">
        <f t="shared" si="274"/>
        <v>29119234744.600002</v>
      </c>
      <c r="J1795" s="9">
        <f t="shared" si="275"/>
        <v>11580557</v>
      </c>
      <c r="K1795" s="21">
        <f t="shared" si="276"/>
        <v>2514.493451791654</v>
      </c>
      <c r="L1795" s="4" t="str">
        <f t="shared" si="272"/>
        <v>SELL</v>
      </c>
      <c r="M1795" s="4">
        <f t="shared" si="277"/>
        <v>0</v>
      </c>
      <c r="N1795" s="4">
        <f t="shared" si="273"/>
        <v>-1</v>
      </c>
      <c r="O1795" s="4">
        <f t="shared" si="278"/>
        <v>2480</v>
      </c>
      <c r="P1795" s="4">
        <f t="shared" si="279"/>
        <v>0</v>
      </c>
    </row>
    <row r="1796" spans="1:16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 s="7">
        <v>2460.35</v>
      </c>
      <c r="F1796">
        <v>1310319</v>
      </c>
      <c r="G1796" s="8">
        <f t="shared" si="280"/>
        <v>2464.2000000000003</v>
      </c>
      <c r="H1796" s="9">
        <f t="shared" si="281"/>
        <v>3228888079.8000002</v>
      </c>
      <c r="I1796" s="9">
        <f t="shared" si="274"/>
        <v>30101449850.400002</v>
      </c>
      <c r="J1796" s="9">
        <f t="shared" si="275"/>
        <v>11995121</v>
      </c>
      <c r="K1796" s="21">
        <f t="shared" si="276"/>
        <v>2509.4744646927697</v>
      </c>
      <c r="L1796" s="4" t="str">
        <f t="shared" si="272"/>
        <v>SELL</v>
      </c>
      <c r="M1796" s="4">
        <f t="shared" si="277"/>
        <v>0</v>
      </c>
      <c r="N1796" s="4">
        <f t="shared" si="273"/>
        <v>-1</v>
      </c>
      <c r="O1796" s="4">
        <f t="shared" si="278"/>
        <v>2480</v>
      </c>
      <c r="P1796" s="4">
        <f t="shared" si="279"/>
        <v>0</v>
      </c>
    </row>
    <row r="1797" spans="1:16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 s="7">
        <v>2427.1999999999998</v>
      </c>
      <c r="F1797">
        <v>2549907</v>
      </c>
      <c r="G1797" s="8">
        <f t="shared" si="280"/>
        <v>2440.1</v>
      </c>
      <c r="H1797" s="9">
        <f t="shared" si="281"/>
        <v>6222028070.6999998</v>
      </c>
      <c r="I1797" s="9">
        <f t="shared" si="274"/>
        <v>35243553792.699997</v>
      </c>
      <c r="J1797" s="9">
        <f t="shared" si="275"/>
        <v>14115794</v>
      </c>
      <c r="K1797" s="21">
        <f t="shared" si="276"/>
        <v>2496.7461123830508</v>
      </c>
      <c r="L1797" s="4" t="str">
        <f t="shared" si="272"/>
        <v>SELL</v>
      </c>
      <c r="M1797" s="4">
        <f t="shared" si="277"/>
        <v>0</v>
      </c>
      <c r="N1797" s="4">
        <f t="shared" si="273"/>
        <v>-1</v>
      </c>
      <c r="O1797" s="4">
        <f t="shared" si="278"/>
        <v>2480</v>
      </c>
      <c r="P1797" s="4">
        <f t="shared" si="279"/>
        <v>0</v>
      </c>
    </row>
    <row r="1798" spans="1:16" x14ac:dyDescent="0.25">
      <c r="A1798" s="1">
        <v>43794</v>
      </c>
      <c r="B1798">
        <v>2426.9499999999998</v>
      </c>
      <c r="C1798">
        <v>2440</v>
      </c>
      <c r="D1798">
        <v>2406</v>
      </c>
      <c r="E1798" s="7">
        <v>2412.0500000000002</v>
      </c>
      <c r="F1798">
        <v>1090635</v>
      </c>
      <c r="G1798" s="8">
        <f t="shared" si="280"/>
        <v>2419.35</v>
      </c>
      <c r="H1798" s="9">
        <f t="shared" si="281"/>
        <v>2638627787.25</v>
      </c>
      <c r="I1798" s="9">
        <f t="shared" si="274"/>
        <v>36397260302.449997</v>
      </c>
      <c r="J1798" s="9">
        <f t="shared" si="275"/>
        <v>14620719</v>
      </c>
      <c r="K1798" s="21">
        <f t="shared" si="276"/>
        <v>2489.4302600610818</v>
      </c>
      <c r="L1798" s="4" t="str">
        <f t="shared" si="272"/>
        <v>SELL</v>
      </c>
      <c r="M1798" s="4">
        <f t="shared" si="277"/>
        <v>0</v>
      </c>
      <c r="N1798" s="4">
        <f t="shared" si="273"/>
        <v>-1</v>
      </c>
      <c r="O1798" s="4">
        <f t="shared" si="278"/>
        <v>2480</v>
      </c>
      <c r="P1798" s="4">
        <f t="shared" si="279"/>
        <v>0</v>
      </c>
    </row>
    <row r="1799" spans="1:16" x14ac:dyDescent="0.25">
      <c r="A1799" s="1">
        <v>43795</v>
      </c>
      <c r="B1799">
        <v>2410</v>
      </c>
      <c r="C1799">
        <v>2443.4</v>
      </c>
      <c r="D1799">
        <v>2410</v>
      </c>
      <c r="E1799" s="7">
        <v>2429.9499999999998</v>
      </c>
      <c r="F1799">
        <v>576579</v>
      </c>
      <c r="G1799" s="8">
        <f t="shared" si="280"/>
        <v>2427.7833333333333</v>
      </c>
      <c r="H1799" s="9">
        <f t="shared" si="281"/>
        <v>1399808886.55</v>
      </c>
      <c r="I1799" s="9">
        <f t="shared" si="274"/>
        <v>33427559709.700001</v>
      </c>
      <c r="J1799" s="9">
        <f t="shared" si="275"/>
        <v>13496151</v>
      </c>
      <c r="K1799" s="21">
        <f t="shared" si="276"/>
        <v>2476.8217034397439</v>
      </c>
      <c r="L1799" s="4" t="str">
        <f t="shared" si="272"/>
        <v>SELL</v>
      </c>
      <c r="M1799" s="4">
        <f t="shared" si="277"/>
        <v>0</v>
      </c>
      <c r="N1799" s="4">
        <f t="shared" si="273"/>
        <v>-1</v>
      </c>
      <c r="O1799" s="4">
        <f t="shared" si="278"/>
        <v>2480</v>
      </c>
      <c r="P1799" s="4">
        <f t="shared" si="279"/>
        <v>0</v>
      </c>
    </row>
    <row r="1800" spans="1:16" x14ac:dyDescent="0.25">
      <c r="A1800" s="1">
        <v>43796</v>
      </c>
      <c r="B1800">
        <v>2436</v>
      </c>
      <c r="C1800">
        <v>2450.8000000000002</v>
      </c>
      <c r="D1800">
        <v>2425.6</v>
      </c>
      <c r="E1800" s="7">
        <v>2444.6</v>
      </c>
      <c r="F1800">
        <v>858882</v>
      </c>
      <c r="G1800" s="8">
        <f t="shared" si="280"/>
        <v>2440.3333333333335</v>
      </c>
      <c r="H1800" s="9">
        <f t="shared" si="281"/>
        <v>2095958374.0000002</v>
      </c>
      <c r="I1800" s="9">
        <f t="shared" si="274"/>
        <v>31713007001.566666</v>
      </c>
      <c r="J1800" s="9">
        <f t="shared" si="275"/>
        <v>12843785</v>
      </c>
      <c r="K1800" s="21">
        <f t="shared" si="276"/>
        <v>2469.1325027292705</v>
      </c>
      <c r="L1800" s="4" t="str">
        <f t="shared" si="272"/>
        <v>SELL</v>
      </c>
      <c r="M1800" s="4">
        <f t="shared" si="277"/>
        <v>0</v>
      </c>
      <c r="N1800" s="4">
        <f t="shared" si="273"/>
        <v>-1</v>
      </c>
      <c r="O1800" s="4">
        <f t="shared" si="278"/>
        <v>2480</v>
      </c>
      <c r="P1800" s="4">
        <f t="shared" si="279"/>
        <v>0</v>
      </c>
    </row>
    <row r="1801" spans="1:16" x14ac:dyDescent="0.25">
      <c r="A1801" s="1">
        <v>43797</v>
      </c>
      <c r="B1801">
        <v>2444.9</v>
      </c>
      <c r="C1801">
        <v>2465</v>
      </c>
      <c r="D1801">
        <v>2435</v>
      </c>
      <c r="E1801" s="7">
        <v>2441</v>
      </c>
      <c r="F1801">
        <v>1493043</v>
      </c>
      <c r="G1801" s="8">
        <f t="shared" si="280"/>
        <v>2447</v>
      </c>
      <c r="H1801" s="9">
        <f t="shared" si="281"/>
        <v>3653476221</v>
      </c>
      <c r="I1801" s="9">
        <f t="shared" si="274"/>
        <v>33387590557.533333</v>
      </c>
      <c r="J1801" s="9">
        <f t="shared" si="275"/>
        <v>13550919</v>
      </c>
      <c r="K1801" s="21">
        <f t="shared" si="276"/>
        <v>2463.8617172409731</v>
      </c>
      <c r="L1801" s="4" t="str">
        <f t="shared" si="272"/>
        <v>SELL</v>
      </c>
      <c r="M1801" s="4">
        <f t="shared" si="277"/>
        <v>0</v>
      </c>
      <c r="N1801" s="4">
        <f t="shared" si="273"/>
        <v>-1</v>
      </c>
      <c r="O1801" s="4">
        <f t="shared" si="278"/>
        <v>2480</v>
      </c>
      <c r="P1801" s="4">
        <f t="shared" si="279"/>
        <v>0</v>
      </c>
    </row>
    <row r="1802" spans="1:16" x14ac:dyDescent="0.25">
      <c r="A1802" s="1">
        <v>43798</v>
      </c>
      <c r="B1802">
        <v>2438.4</v>
      </c>
      <c r="C1802">
        <v>2440.85</v>
      </c>
      <c r="D1802">
        <v>2415</v>
      </c>
      <c r="E1802" s="7">
        <v>2431.8000000000002</v>
      </c>
      <c r="F1802">
        <v>933522</v>
      </c>
      <c r="G1802" s="8">
        <f t="shared" si="280"/>
        <v>2429.2166666666667</v>
      </c>
      <c r="H1802" s="9">
        <f t="shared" si="281"/>
        <v>2267727201.0999999</v>
      </c>
      <c r="I1802" s="9">
        <f t="shared" si="274"/>
        <v>32378654110.633331</v>
      </c>
      <c r="J1802" s="9">
        <f t="shared" si="275"/>
        <v>13187865</v>
      </c>
      <c r="K1802" s="21">
        <f t="shared" si="276"/>
        <v>2455.1854383278364</v>
      </c>
      <c r="L1802" s="4" t="str">
        <f t="shared" si="272"/>
        <v>SELL</v>
      </c>
      <c r="M1802" s="4">
        <f t="shared" si="277"/>
        <v>0</v>
      </c>
      <c r="N1802" s="4">
        <f t="shared" si="273"/>
        <v>-1</v>
      </c>
      <c r="O1802" s="4">
        <f t="shared" si="278"/>
        <v>2480</v>
      </c>
      <c r="P1802" s="4">
        <f t="shared" si="279"/>
        <v>0</v>
      </c>
    </row>
    <row r="1803" spans="1:16" x14ac:dyDescent="0.25">
      <c r="A1803" s="1">
        <v>43801</v>
      </c>
      <c r="B1803">
        <v>2435</v>
      </c>
      <c r="C1803">
        <v>2435</v>
      </c>
      <c r="D1803">
        <v>2408.1999999999998</v>
      </c>
      <c r="E1803" s="7">
        <v>2411.6999999999998</v>
      </c>
      <c r="F1803">
        <v>598444</v>
      </c>
      <c r="G1803" s="8">
        <f t="shared" si="280"/>
        <v>2418.2999999999997</v>
      </c>
      <c r="H1803" s="9">
        <f t="shared" si="281"/>
        <v>1447217125.1999998</v>
      </c>
      <c r="I1803" s="9">
        <f t="shared" si="274"/>
        <v>29482750485.333332</v>
      </c>
      <c r="J1803" s="9">
        <f t="shared" si="275"/>
        <v>12042539</v>
      </c>
      <c r="K1803" s="21">
        <f t="shared" si="276"/>
        <v>2448.2171480061916</v>
      </c>
      <c r="L1803" s="4" t="str">
        <f t="shared" ref="L1803:L1866" si="282">IF(E1803&gt;K1803,"BUY",IF(E1803&lt;K1803,"SELL",0))</f>
        <v>SELL</v>
      </c>
      <c r="M1803" s="4">
        <f t="shared" si="277"/>
        <v>0</v>
      </c>
      <c r="N1803" s="4">
        <f t="shared" ref="N1803:N1866" si="283">IF(M1803="BUY",1,IF(M1803="SELL",-1,N1802))</f>
        <v>-1</v>
      </c>
      <c r="O1803" s="4">
        <f t="shared" si="278"/>
        <v>2480</v>
      </c>
      <c r="P1803" s="4">
        <f t="shared" si="279"/>
        <v>0</v>
      </c>
    </row>
    <row r="1804" spans="1:16" x14ac:dyDescent="0.25">
      <c r="A1804" s="1">
        <v>43802</v>
      </c>
      <c r="B1804">
        <v>2419.9</v>
      </c>
      <c r="C1804">
        <v>2419.9</v>
      </c>
      <c r="D1804">
        <v>2395</v>
      </c>
      <c r="E1804" s="7">
        <v>2401.25</v>
      </c>
      <c r="F1804">
        <v>1452784</v>
      </c>
      <c r="G1804" s="8">
        <f t="shared" si="280"/>
        <v>2405.3833333333332</v>
      </c>
      <c r="H1804" s="9">
        <f t="shared" si="281"/>
        <v>3494502420.5333333</v>
      </c>
      <c r="I1804" s="9">
        <f t="shared" ref="I1804:I1867" si="284">SUM(H1795:H1804)</f>
        <v>28791784457.533333</v>
      </c>
      <c r="J1804" s="9">
        <f t="shared" ref="J1804:J1867" si="285">SUM(F1795:F1804)</f>
        <v>11808473</v>
      </c>
      <c r="K1804" s="21">
        <f t="shared" ref="K1804:K1867" si="286">I1804/J1804</f>
        <v>2438.2309598822249</v>
      </c>
      <c r="L1804" s="4" t="str">
        <f t="shared" si="282"/>
        <v>SELL</v>
      </c>
      <c r="M1804" s="4">
        <f t="shared" ref="M1804:M1867" si="287">IF(L1804&lt;&gt;L1803,L1804,0)</f>
        <v>0</v>
      </c>
      <c r="N1804" s="4">
        <f t="shared" si="283"/>
        <v>-1</v>
      </c>
      <c r="O1804" s="4">
        <f t="shared" ref="O1804:O1867" si="288">IF(M1804&lt;&gt;0,E1804,O1803)</f>
        <v>2480</v>
      </c>
      <c r="P1804" s="4">
        <f t="shared" ref="P1804:P1867" si="289">IF(M1804="BUY",(O1803-O1804)/O1803,IF(M1804="SELL",(O1804-O1803)/O1803,0))</f>
        <v>0</v>
      </c>
    </row>
    <row r="1805" spans="1:16" x14ac:dyDescent="0.25">
      <c r="A1805" s="1">
        <v>43803</v>
      </c>
      <c r="B1805">
        <v>2400</v>
      </c>
      <c r="C1805">
        <v>2410</v>
      </c>
      <c r="D1805">
        <v>2392.5500000000002</v>
      </c>
      <c r="E1805" s="7">
        <v>2400.0500000000002</v>
      </c>
      <c r="F1805">
        <v>860352</v>
      </c>
      <c r="G1805" s="8">
        <f t="shared" si="280"/>
        <v>2400.8666666666668</v>
      </c>
      <c r="H1805" s="9">
        <f t="shared" si="281"/>
        <v>2065590438.4000001</v>
      </c>
      <c r="I1805" s="9">
        <f t="shared" si="284"/>
        <v>28513824604.533333</v>
      </c>
      <c r="J1805" s="9">
        <f t="shared" si="285"/>
        <v>11724467</v>
      </c>
      <c r="K1805" s="21">
        <f t="shared" si="286"/>
        <v>2431.9932500584746</v>
      </c>
      <c r="L1805" s="4" t="str">
        <f t="shared" si="282"/>
        <v>SELL</v>
      </c>
      <c r="M1805" s="4">
        <f t="shared" si="287"/>
        <v>0</v>
      </c>
      <c r="N1805" s="4">
        <f t="shared" si="283"/>
        <v>-1</v>
      </c>
      <c r="O1805" s="4">
        <f t="shared" si="288"/>
        <v>2480</v>
      </c>
      <c r="P1805" s="4">
        <f t="shared" si="289"/>
        <v>0</v>
      </c>
    </row>
    <row r="1806" spans="1:16" x14ac:dyDescent="0.25">
      <c r="A1806" s="1">
        <v>43804</v>
      </c>
      <c r="B1806">
        <v>2394.9</v>
      </c>
      <c r="C1806">
        <v>2433.25</v>
      </c>
      <c r="D1806">
        <v>2392.15</v>
      </c>
      <c r="E1806" s="7">
        <v>2429.0500000000002</v>
      </c>
      <c r="F1806">
        <v>1138506</v>
      </c>
      <c r="G1806" s="8">
        <f t="shared" si="280"/>
        <v>2418.15</v>
      </c>
      <c r="H1806" s="9">
        <f t="shared" si="281"/>
        <v>2753078283.9000001</v>
      </c>
      <c r="I1806" s="9">
        <f t="shared" si="284"/>
        <v>28038014808.633335</v>
      </c>
      <c r="J1806" s="9">
        <f t="shared" si="285"/>
        <v>11552654</v>
      </c>
      <c r="K1806" s="21">
        <f t="shared" si="286"/>
        <v>2426.976070488507</v>
      </c>
      <c r="L1806" s="4" t="str">
        <f t="shared" si="282"/>
        <v>BUY</v>
      </c>
      <c r="M1806" s="4" t="str">
        <f t="shared" si="287"/>
        <v>BUY</v>
      </c>
      <c r="N1806" s="4">
        <f t="shared" si="283"/>
        <v>1</v>
      </c>
      <c r="O1806" s="4">
        <f t="shared" si="288"/>
        <v>2429.0500000000002</v>
      </c>
      <c r="P1806" s="4">
        <f t="shared" si="289"/>
        <v>2.0544354838709603E-2</v>
      </c>
    </row>
    <row r="1807" spans="1:16" x14ac:dyDescent="0.25">
      <c r="A1807" s="1">
        <v>43805</v>
      </c>
      <c r="B1807">
        <v>2432</v>
      </c>
      <c r="C1807">
        <v>2449</v>
      </c>
      <c r="D1807">
        <v>2405</v>
      </c>
      <c r="E1807" s="7">
        <v>2422.25</v>
      </c>
      <c r="F1807">
        <v>1271632</v>
      </c>
      <c r="G1807" s="8">
        <f t="shared" si="280"/>
        <v>2425.4166666666665</v>
      </c>
      <c r="H1807" s="9">
        <f t="shared" si="281"/>
        <v>3084237446.6666665</v>
      </c>
      <c r="I1807" s="9">
        <f t="shared" si="284"/>
        <v>24900224184.600002</v>
      </c>
      <c r="J1807" s="9">
        <f t="shared" si="285"/>
        <v>10274379</v>
      </c>
      <c r="K1807" s="21">
        <f t="shared" si="286"/>
        <v>2423.5259556416991</v>
      </c>
      <c r="L1807" s="4" t="str">
        <f t="shared" si="282"/>
        <v>SELL</v>
      </c>
      <c r="M1807" s="4" t="str">
        <f t="shared" si="287"/>
        <v>SELL</v>
      </c>
      <c r="N1807" s="4">
        <f t="shared" si="283"/>
        <v>-1</v>
      </c>
      <c r="O1807" s="4">
        <f t="shared" si="288"/>
        <v>2422.25</v>
      </c>
      <c r="P1807" s="4">
        <f t="shared" si="289"/>
        <v>-2.7994483440028743E-3</v>
      </c>
    </row>
    <row r="1808" spans="1:16" x14ac:dyDescent="0.25">
      <c r="A1808" s="1">
        <v>43808</v>
      </c>
      <c r="B1808">
        <v>2417.3000000000002</v>
      </c>
      <c r="C1808">
        <v>2443.1</v>
      </c>
      <c r="D1808">
        <v>2406</v>
      </c>
      <c r="E1808" s="7">
        <v>2419.3000000000002</v>
      </c>
      <c r="F1808">
        <v>778892</v>
      </c>
      <c r="G1808" s="8">
        <f t="shared" si="280"/>
        <v>2422.8000000000002</v>
      </c>
      <c r="H1808" s="9">
        <f t="shared" si="281"/>
        <v>1887099537.6000001</v>
      </c>
      <c r="I1808" s="9">
        <f t="shared" si="284"/>
        <v>24148695934.949997</v>
      </c>
      <c r="J1808" s="9">
        <f t="shared" si="285"/>
        <v>9962636</v>
      </c>
      <c r="K1808" s="21">
        <f t="shared" si="286"/>
        <v>2423.9263519162996</v>
      </c>
      <c r="L1808" s="4" t="str">
        <f t="shared" si="282"/>
        <v>SELL</v>
      </c>
      <c r="M1808" s="4">
        <f t="shared" si="287"/>
        <v>0</v>
      </c>
      <c r="N1808" s="4">
        <f t="shared" si="283"/>
        <v>-1</v>
      </c>
      <c r="O1808" s="4">
        <f t="shared" si="288"/>
        <v>2422.25</v>
      </c>
      <c r="P1808" s="4">
        <f t="shared" si="289"/>
        <v>0</v>
      </c>
    </row>
    <row r="1809" spans="1:16" x14ac:dyDescent="0.25">
      <c r="A1809" s="1">
        <v>43809</v>
      </c>
      <c r="B1809">
        <v>2422.5</v>
      </c>
      <c r="C1809">
        <v>2428</v>
      </c>
      <c r="D1809">
        <v>2383</v>
      </c>
      <c r="E1809" s="7">
        <v>2393.25</v>
      </c>
      <c r="F1809">
        <v>525269</v>
      </c>
      <c r="G1809" s="8">
        <f t="shared" si="280"/>
        <v>2401.4166666666665</v>
      </c>
      <c r="H1809" s="9">
        <f t="shared" si="281"/>
        <v>1261389731.0833333</v>
      </c>
      <c r="I1809" s="9">
        <f t="shared" si="284"/>
        <v>24010276779.48333</v>
      </c>
      <c r="J1809" s="9">
        <f t="shared" si="285"/>
        <v>9911326</v>
      </c>
      <c r="K1809" s="21">
        <f t="shared" si="286"/>
        <v>2422.5090345614026</v>
      </c>
      <c r="L1809" s="4" t="str">
        <f t="shared" si="282"/>
        <v>SELL</v>
      </c>
      <c r="M1809" s="4">
        <f t="shared" si="287"/>
        <v>0</v>
      </c>
      <c r="N1809" s="4">
        <f t="shared" si="283"/>
        <v>-1</v>
      </c>
      <c r="O1809" s="4">
        <f t="shared" si="288"/>
        <v>2422.25</v>
      </c>
      <c r="P1809" s="4">
        <f t="shared" si="289"/>
        <v>0</v>
      </c>
    </row>
    <row r="1810" spans="1:16" x14ac:dyDescent="0.25">
      <c r="A1810" s="1">
        <v>43810</v>
      </c>
      <c r="B1810">
        <v>2400</v>
      </c>
      <c r="C1810">
        <v>2409</v>
      </c>
      <c r="D1810">
        <v>2321.0500000000002</v>
      </c>
      <c r="E1810" s="7">
        <v>2328.65</v>
      </c>
      <c r="F1810">
        <v>1250236</v>
      </c>
      <c r="G1810" s="8">
        <f t="shared" si="280"/>
        <v>2352.9</v>
      </c>
      <c r="H1810" s="9">
        <f t="shared" si="281"/>
        <v>2941680284.4000001</v>
      </c>
      <c r="I1810" s="9">
        <f t="shared" si="284"/>
        <v>24855998689.883331</v>
      </c>
      <c r="J1810" s="9">
        <f t="shared" si="285"/>
        <v>10302680</v>
      </c>
      <c r="K1810" s="21">
        <f t="shared" si="286"/>
        <v>2412.5760180732909</v>
      </c>
      <c r="L1810" s="4" t="str">
        <f t="shared" si="282"/>
        <v>SELL</v>
      </c>
      <c r="M1810" s="4">
        <f t="shared" si="287"/>
        <v>0</v>
      </c>
      <c r="N1810" s="4">
        <f t="shared" si="283"/>
        <v>-1</v>
      </c>
      <c r="O1810" s="4">
        <f t="shared" si="288"/>
        <v>2422.25</v>
      </c>
      <c r="P1810" s="4">
        <f t="shared" si="289"/>
        <v>0</v>
      </c>
    </row>
    <row r="1811" spans="1:16" x14ac:dyDescent="0.25">
      <c r="A1811" s="1">
        <v>43811</v>
      </c>
      <c r="B1811">
        <v>2330.4</v>
      </c>
      <c r="C1811">
        <v>2332.9</v>
      </c>
      <c r="D1811">
        <v>2295.15</v>
      </c>
      <c r="E1811" s="7">
        <v>2314.85</v>
      </c>
      <c r="F1811">
        <v>1135441</v>
      </c>
      <c r="G1811" s="8">
        <f t="shared" si="280"/>
        <v>2314.2999999999997</v>
      </c>
      <c r="H1811" s="9">
        <f t="shared" si="281"/>
        <v>2627751106.2999997</v>
      </c>
      <c r="I1811" s="9">
        <f t="shared" si="284"/>
        <v>23830273575.183334</v>
      </c>
      <c r="J1811" s="9">
        <f t="shared" si="285"/>
        <v>9945078</v>
      </c>
      <c r="K1811" s="21">
        <f t="shared" si="286"/>
        <v>2396.1876996020878</v>
      </c>
      <c r="L1811" s="4" t="str">
        <f t="shared" si="282"/>
        <v>SELL</v>
      </c>
      <c r="M1811" s="4">
        <f t="shared" si="287"/>
        <v>0</v>
      </c>
      <c r="N1811" s="4">
        <f t="shared" si="283"/>
        <v>-1</v>
      </c>
      <c r="O1811" s="4">
        <f t="shared" si="288"/>
        <v>2422.25</v>
      </c>
      <c r="P1811" s="4">
        <f t="shared" si="289"/>
        <v>0</v>
      </c>
    </row>
    <row r="1812" spans="1:16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 s="7">
        <v>2308.8000000000002</v>
      </c>
      <c r="F1812">
        <v>865310</v>
      </c>
      <c r="G1812" s="8">
        <f t="shared" si="280"/>
        <v>2315.0166666666669</v>
      </c>
      <c r="H1812" s="9">
        <f t="shared" si="281"/>
        <v>2003207071.8333335</v>
      </c>
      <c r="I1812" s="9">
        <f t="shared" si="284"/>
        <v>23565753445.916664</v>
      </c>
      <c r="J1812" s="9">
        <f t="shared" si="285"/>
        <v>9876866</v>
      </c>
      <c r="K1812" s="21">
        <f t="shared" si="286"/>
        <v>2385.9545574392387</v>
      </c>
      <c r="L1812" s="4" t="str">
        <f t="shared" si="282"/>
        <v>SELL</v>
      </c>
      <c r="M1812" s="4">
        <f t="shared" si="287"/>
        <v>0</v>
      </c>
      <c r="N1812" s="4">
        <f t="shared" si="283"/>
        <v>-1</v>
      </c>
      <c r="O1812" s="4">
        <f t="shared" si="288"/>
        <v>2422.25</v>
      </c>
      <c r="P1812" s="4">
        <f t="shared" si="289"/>
        <v>0</v>
      </c>
    </row>
    <row r="1813" spans="1:16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 s="7">
        <v>2299.15</v>
      </c>
      <c r="F1813">
        <v>2813406</v>
      </c>
      <c r="G1813" s="8">
        <f t="shared" si="280"/>
        <v>2300.2166666666667</v>
      </c>
      <c r="H1813" s="9">
        <f t="shared" si="281"/>
        <v>6471443371.3000002</v>
      </c>
      <c r="I1813" s="9">
        <f t="shared" si="284"/>
        <v>28589979692.016666</v>
      </c>
      <c r="J1813" s="9">
        <f t="shared" si="285"/>
        <v>12091828</v>
      </c>
      <c r="K1813" s="21">
        <f t="shared" si="286"/>
        <v>2364.405091770795</v>
      </c>
      <c r="L1813" s="4" t="str">
        <f t="shared" si="282"/>
        <v>SELL</v>
      </c>
      <c r="M1813" s="4">
        <f t="shared" si="287"/>
        <v>0</v>
      </c>
      <c r="N1813" s="4">
        <f t="shared" si="283"/>
        <v>-1</v>
      </c>
      <c r="O1813" s="4">
        <f t="shared" si="288"/>
        <v>2422.25</v>
      </c>
      <c r="P1813" s="4">
        <f t="shared" si="289"/>
        <v>0</v>
      </c>
    </row>
    <row r="1814" spans="1:16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 s="7">
        <v>2325.5</v>
      </c>
      <c r="F1814">
        <v>634421</v>
      </c>
      <c r="G1814" s="8">
        <f t="shared" si="280"/>
        <v>2316.15</v>
      </c>
      <c r="H1814" s="9">
        <f t="shared" si="281"/>
        <v>1469414199.1500001</v>
      </c>
      <c r="I1814" s="9">
        <f t="shared" si="284"/>
        <v>26564891470.633335</v>
      </c>
      <c r="J1814" s="9">
        <f t="shared" si="285"/>
        <v>11273465</v>
      </c>
      <c r="K1814" s="21">
        <f t="shared" si="286"/>
        <v>2356.4087412905733</v>
      </c>
      <c r="L1814" s="4" t="str">
        <f t="shared" si="282"/>
        <v>SELL</v>
      </c>
      <c r="M1814" s="4">
        <f t="shared" si="287"/>
        <v>0</v>
      </c>
      <c r="N1814" s="4">
        <f t="shared" si="283"/>
        <v>-1</v>
      </c>
      <c r="O1814" s="4">
        <f t="shared" si="288"/>
        <v>2422.25</v>
      </c>
      <c r="P1814" s="4">
        <f t="shared" si="289"/>
        <v>0</v>
      </c>
    </row>
    <row r="1815" spans="1:16" x14ac:dyDescent="0.25">
      <c r="A1815" s="1">
        <v>43817</v>
      </c>
      <c r="B1815">
        <v>2329.1</v>
      </c>
      <c r="C1815">
        <v>2335.65</v>
      </c>
      <c r="D1815">
        <v>2301</v>
      </c>
      <c r="E1815" s="7">
        <v>2310.8000000000002</v>
      </c>
      <c r="F1815">
        <v>580577</v>
      </c>
      <c r="G1815" s="8">
        <f t="shared" si="280"/>
        <v>2315.8166666666666</v>
      </c>
      <c r="H1815" s="9">
        <f t="shared" si="281"/>
        <v>1344509892.8833332</v>
      </c>
      <c r="I1815" s="9">
        <f t="shared" si="284"/>
        <v>25843810925.116669</v>
      </c>
      <c r="J1815" s="9">
        <f t="shared" si="285"/>
        <v>10993690</v>
      </c>
      <c r="K1815" s="21">
        <f t="shared" si="286"/>
        <v>2350.7858530772351</v>
      </c>
      <c r="L1815" s="4" t="str">
        <f t="shared" si="282"/>
        <v>SELL</v>
      </c>
      <c r="M1815" s="4">
        <f t="shared" si="287"/>
        <v>0</v>
      </c>
      <c r="N1815" s="4">
        <f t="shared" si="283"/>
        <v>-1</v>
      </c>
      <c r="O1815" s="4">
        <f t="shared" si="288"/>
        <v>2422.25</v>
      </c>
      <c r="P1815" s="4">
        <f t="shared" si="289"/>
        <v>0</v>
      </c>
    </row>
    <row r="1816" spans="1:16" x14ac:dyDescent="0.25">
      <c r="A1816" s="1">
        <v>43818</v>
      </c>
      <c r="B1816">
        <v>2300</v>
      </c>
      <c r="C1816">
        <v>2339.65</v>
      </c>
      <c r="D1816">
        <v>2282.5</v>
      </c>
      <c r="E1816" s="7">
        <v>2328.1</v>
      </c>
      <c r="F1816">
        <v>1000010</v>
      </c>
      <c r="G1816" s="8">
        <f t="shared" si="280"/>
        <v>2316.75</v>
      </c>
      <c r="H1816" s="9">
        <f t="shared" si="281"/>
        <v>2316773167.5</v>
      </c>
      <c r="I1816" s="9">
        <f t="shared" si="284"/>
        <v>25407505808.716667</v>
      </c>
      <c r="J1816" s="9">
        <f t="shared" si="285"/>
        <v>10855194</v>
      </c>
      <c r="K1816" s="21">
        <f t="shared" si="286"/>
        <v>2340.5851437308875</v>
      </c>
      <c r="L1816" s="4" t="str">
        <f t="shared" si="282"/>
        <v>SELL</v>
      </c>
      <c r="M1816" s="4">
        <f t="shared" si="287"/>
        <v>0</v>
      </c>
      <c r="N1816" s="4">
        <f t="shared" si="283"/>
        <v>-1</v>
      </c>
      <c r="O1816" s="4">
        <f t="shared" si="288"/>
        <v>2422.25</v>
      </c>
      <c r="P1816" s="4">
        <f t="shared" si="289"/>
        <v>0</v>
      </c>
    </row>
    <row r="1817" spans="1:16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 s="7">
        <v>2311.5</v>
      </c>
      <c r="F1817">
        <v>1574355</v>
      </c>
      <c r="G1817" s="8">
        <f t="shared" si="280"/>
        <v>2319.5499999999997</v>
      </c>
      <c r="H1817" s="9">
        <f t="shared" si="281"/>
        <v>3651795140.2499995</v>
      </c>
      <c r="I1817" s="9">
        <f t="shared" si="284"/>
        <v>25975063502.300003</v>
      </c>
      <c r="J1817" s="9">
        <f t="shared" si="285"/>
        <v>11157917</v>
      </c>
      <c r="K1817" s="21">
        <f t="shared" si="286"/>
        <v>2327.9491595339887</v>
      </c>
      <c r="L1817" s="4" t="str">
        <f t="shared" si="282"/>
        <v>SELL</v>
      </c>
      <c r="M1817" s="4">
        <f t="shared" si="287"/>
        <v>0</v>
      </c>
      <c r="N1817" s="4">
        <f t="shared" si="283"/>
        <v>-1</v>
      </c>
      <c r="O1817" s="4">
        <f t="shared" si="288"/>
        <v>2422.25</v>
      </c>
      <c r="P1817" s="4">
        <f t="shared" si="289"/>
        <v>0</v>
      </c>
    </row>
    <row r="1818" spans="1:16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 s="7">
        <v>2310.35</v>
      </c>
      <c r="F1818">
        <v>1093719</v>
      </c>
      <c r="G1818" s="8">
        <f t="shared" si="280"/>
        <v>2319.1166666666668</v>
      </c>
      <c r="H1818" s="9">
        <f t="shared" si="281"/>
        <v>2536461961.5500002</v>
      </c>
      <c r="I1818" s="9">
        <f t="shared" si="284"/>
        <v>26624425926.25</v>
      </c>
      <c r="J1818" s="9">
        <f t="shared" si="285"/>
        <v>11472744</v>
      </c>
      <c r="K1818" s="21">
        <f t="shared" si="286"/>
        <v>2320.6676559897091</v>
      </c>
      <c r="L1818" s="4" t="str">
        <f t="shared" si="282"/>
        <v>SELL</v>
      </c>
      <c r="M1818" s="4">
        <f t="shared" si="287"/>
        <v>0</v>
      </c>
      <c r="N1818" s="4">
        <f t="shared" si="283"/>
        <v>-1</v>
      </c>
      <c r="O1818" s="4">
        <f t="shared" si="288"/>
        <v>2422.25</v>
      </c>
      <c r="P1818" s="4">
        <f t="shared" si="289"/>
        <v>0</v>
      </c>
    </row>
    <row r="1819" spans="1:16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 s="7">
        <v>2302.65</v>
      </c>
      <c r="F1819">
        <v>2886593</v>
      </c>
      <c r="G1819" s="8">
        <f t="shared" si="280"/>
        <v>2302.7000000000003</v>
      </c>
      <c r="H1819" s="9">
        <f t="shared" si="281"/>
        <v>6646957701.1000004</v>
      </c>
      <c r="I1819" s="9">
        <f t="shared" si="284"/>
        <v>32009993896.266663</v>
      </c>
      <c r="J1819" s="9">
        <f t="shared" si="285"/>
        <v>13834068</v>
      </c>
      <c r="K1819" s="21">
        <f t="shared" si="286"/>
        <v>2313.852577294449</v>
      </c>
      <c r="L1819" s="4" t="str">
        <f t="shared" si="282"/>
        <v>SELL</v>
      </c>
      <c r="M1819" s="4">
        <f t="shared" si="287"/>
        <v>0</v>
      </c>
      <c r="N1819" s="4">
        <f t="shared" si="283"/>
        <v>-1</v>
      </c>
      <c r="O1819" s="4">
        <f t="shared" si="288"/>
        <v>2422.25</v>
      </c>
      <c r="P1819" s="4">
        <f t="shared" si="289"/>
        <v>0</v>
      </c>
    </row>
    <row r="1820" spans="1:16" x14ac:dyDescent="0.25">
      <c r="A1820" s="1">
        <v>43824</v>
      </c>
      <c r="B1820">
        <v>2294</v>
      </c>
      <c r="C1820">
        <v>2298.75</v>
      </c>
      <c r="D1820">
        <v>2268</v>
      </c>
      <c r="E1820" s="7">
        <v>2273.15</v>
      </c>
      <c r="F1820">
        <v>1270255</v>
      </c>
      <c r="G1820" s="8">
        <f t="shared" si="280"/>
        <v>2279.9666666666667</v>
      </c>
      <c r="H1820" s="9">
        <f t="shared" si="281"/>
        <v>2896139058.1666665</v>
      </c>
      <c r="I1820" s="9">
        <f t="shared" si="284"/>
        <v>31964452670.033337</v>
      </c>
      <c r="J1820" s="9">
        <f t="shared" si="285"/>
        <v>13854087</v>
      </c>
      <c r="K1820" s="21">
        <f t="shared" si="286"/>
        <v>2307.2218811700359</v>
      </c>
      <c r="L1820" s="4" t="str">
        <f t="shared" si="282"/>
        <v>SELL</v>
      </c>
      <c r="M1820" s="4">
        <f t="shared" si="287"/>
        <v>0</v>
      </c>
      <c r="N1820" s="4">
        <f t="shared" si="283"/>
        <v>-1</v>
      </c>
      <c r="O1820" s="4">
        <f t="shared" si="288"/>
        <v>2422.25</v>
      </c>
      <c r="P1820" s="4">
        <f t="shared" si="289"/>
        <v>0</v>
      </c>
    </row>
    <row r="1821" spans="1:16" x14ac:dyDescent="0.25">
      <c r="A1821" s="1">
        <v>43825</v>
      </c>
      <c r="B1821">
        <v>2294</v>
      </c>
      <c r="C1821">
        <v>2302</v>
      </c>
      <c r="D1821">
        <v>2280</v>
      </c>
      <c r="E1821" s="7">
        <v>2289.9</v>
      </c>
      <c r="F1821">
        <v>1191348</v>
      </c>
      <c r="G1821" s="8">
        <f t="shared" si="280"/>
        <v>2290.6333333333332</v>
      </c>
      <c r="H1821" s="9">
        <f t="shared" si="281"/>
        <v>2728941440.3999996</v>
      </c>
      <c r="I1821" s="9">
        <f t="shared" si="284"/>
        <v>32065643004.133331</v>
      </c>
      <c r="J1821" s="9">
        <f t="shared" si="285"/>
        <v>13909994</v>
      </c>
      <c r="K1821" s="21">
        <f t="shared" si="286"/>
        <v>2305.223352658048</v>
      </c>
      <c r="L1821" s="4" t="str">
        <f t="shared" si="282"/>
        <v>SELL</v>
      </c>
      <c r="M1821" s="4">
        <f t="shared" si="287"/>
        <v>0</v>
      </c>
      <c r="N1821" s="4">
        <f t="shared" si="283"/>
        <v>-1</v>
      </c>
      <c r="O1821" s="4">
        <f t="shared" si="288"/>
        <v>2422.25</v>
      </c>
      <c r="P1821" s="4">
        <f t="shared" si="289"/>
        <v>0</v>
      </c>
    </row>
    <row r="1822" spans="1:16" x14ac:dyDescent="0.25">
      <c r="A1822" s="1">
        <v>43826</v>
      </c>
      <c r="B1822">
        <v>2295</v>
      </c>
      <c r="C1822">
        <v>2345</v>
      </c>
      <c r="D1822">
        <v>2268.5</v>
      </c>
      <c r="E1822" s="7">
        <v>2337.3000000000002</v>
      </c>
      <c r="F1822">
        <v>1757203</v>
      </c>
      <c r="G1822" s="8">
        <f t="shared" si="280"/>
        <v>2316.9333333333334</v>
      </c>
      <c r="H1822" s="9">
        <f t="shared" si="281"/>
        <v>4071322204.1333332</v>
      </c>
      <c r="I1822" s="9">
        <f t="shared" si="284"/>
        <v>34133758136.433334</v>
      </c>
      <c r="J1822" s="9">
        <f t="shared" si="285"/>
        <v>14801887</v>
      </c>
      <c r="K1822" s="21">
        <f t="shared" si="286"/>
        <v>2306.0409889923721</v>
      </c>
      <c r="L1822" s="4" t="str">
        <f t="shared" si="282"/>
        <v>BUY</v>
      </c>
      <c r="M1822" s="4" t="str">
        <f t="shared" si="287"/>
        <v>BUY</v>
      </c>
      <c r="N1822" s="4">
        <f t="shared" si="283"/>
        <v>1</v>
      </c>
      <c r="O1822" s="4">
        <f t="shared" si="288"/>
        <v>2337.3000000000002</v>
      </c>
      <c r="P1822" s="4">
        <f t="shared" si="289"/>
        <v>3.5070698730519073E-2</v>
      </c>
    </row>
    <row r="1823" spans="1:16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 s="7">
        <v>2330.1</v>
      </c>
      <c r="F1823">
        <v>1354104</v>
      </c>
      <c r="G1823" s="8">
        <f t="shared" si="280"/>
        <v>2329.6333333333332</v>
      </c>
      <c r="H1823" s="9">
        <f t="shared" si="281"/>
        <v>3154565815.1999998</v>
      </c>
      <c r="I1823" s="9">
        <f t="shared" si="284"/>
        <v>30816880580.333332</v>
      </c>
      <c r="J1823" s="9">
        <f t="shared" si="285"/>
        <v>13342585</v>
      </c>
      <c r="K1823" s="21">
        <f t="shared" si="286"/>
        <v>2309.6634258154122</v>
      </c>
      <c r="L1823" s="4" t="str">
        <f t="shared" si="282"/>
        <v>BUY</v>
      </c>
      <c r="M1823" s="4">
        <f t="shared" si="287"/>
        <v>0</v>
      </c>
      <c r="N1823" s="4">
        <f t="shared" si="283"/>
        <v>1</v>
      </c>
      <c r="O1823" s="4">
        <f t="shared" si="288"/>
        <v>2337.3000000000002</v>
      </c>
      <c r="P1823" s="4">
        <f t="shared" si="289"/>
        <v>0</v>
      </c>
    </row>
    <row r="1824" spans="1:16" x14ac:dyDescent="0.25">
      <c r="A1824" s="1">
        <v>43830</v>
      </c>
      <c r="B1824">
        <v>2308</v>
      </c>
      <c r="C1824">
        <v>2332.5</v>
      </c>
      <c r="D1824">
        <v>2302.5</v>
      </c>
      <c r="E1824" s="7">
        <v>2320.5</v>
      </c>
      <c r="F1824">
        <v>841237</v>
      </c>
      <c r="G1824" s="8">
        <f t="shared" si="280"/>
        <v>2318.5</v>
      </c>
      <c r="H1824" s="9">
        <f t="shared" si="281"/>
        <v>1950407984.5</v>
      </c>
      <c r="I1824" s="9">
        <f t="shared" si="284"/>
        <v>31297874365.683331</v>
      </c>
      <c r="J1824" s="9">
        <f t="shared" si="285"/>
        <v>13549401</v>
      </c>
      <c r="K1824" s="21">
        <f t="shared" si="286"/>
        <v>2309.9083395408647</v>
      </c>
      <c r="L1824" s="4" t="str">
        <f t="shared" si="282"/>
        <v>BUY</v>
      </c>
      <c r="M1824" s="4">
        <f t="shared" si="287"/>
        <v>0</v>
      </c>
      <c r="N1824" s="4">
        <f t="shared" si="283"/>
        <v>1</v>
      </c>
      <c r="O1824" s="4">
        <f t="shared" si="288"/>
        <v>2337.3000000000002</v>
      </c>
      <c r="P1824" s="4">
        <f t="shared" si="289"/>
        <v>0</v>
      </c>
    </row>
    <row r="1825" spans="1:16" x14ac:dyDescent="0.25">
      <c r="A1825" s="1">
        <v>43831</v>
      </c>
      <c r="B1825">
        <v>2321</v>
      </c>
      <c r="C1825">
        <v>2347.4</v>
      </c>
      <c r="D1825">
        <v>2317.6999999999998</v>
      </c>
      <c r="E1825" s="7">
        <v>2342.4499999999998</v>
      </c>
      <c r="F1825">
        <v>535891</v>
      </c>
      <c r="G1825" s="8">
        <f t="shared" si="280"/>
        <v>2335.85</v>
      </c>
      <c r="H1825" s="9">
        <f t="shared" si="281"/>
        <v>1251760992.3499999</v>
      </c>
      <c r="I1825" s="9">
        <f t="shared" si="284"/>
        <v>31205125465.149998</v>
      </c>
      <c r="J1825" s="9">
        <f t="shared" si="285"/>
        <v>13504715</v>
      </c>
      <c r="K1825" s="21">
        <f t="shared" si="286"/>
        <v>2310.6837475022612</v>
      </c>
      <c r="L1825" s="4" t="str">
        <f t="shared" si="282"/>
        <v>BUY</v>
      </c>
      <c r="M1825" s="4">
        <f t="shared" si="287"/>
        <v>0</v>
      </c>
      <c r="N1825" s="4">
        <f t="shared" si="283"/>
        <v>1</v>
      </c>
      <c r="O1825" s="4">
        <f t="shared" si="288"/>
        <v>2337.3000000000002</v>
      </c>
      <c r="P1825" s="4">
        <f t="shared" si="289"/>
        <v>0</v>
      </c>
    </row>
    <row r="1826" spans="1:16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 s="7">
        <v>2352.5500000000002</v>
      </c>
      <c r="F1826">
        <v>895135</v>
      </c>
      <c r="G1826" s="8">
        <f t="shared" si="280"/>
        <v>2348.7000000000003</v>
      </c>
      <c r="H1826" s="9">
        <f t="shared" si="281"/>
        <v>2102403574.5000002</v>
      </c>
      <c r="I1826" s="9">
        <f t="shared" si="284"/>
        <v>30990755872.149998</v>
      </c>
      <c r="J1826" s="9">
        <f t="shared" si="285"/>
        <v>13399840</v>
      </c>
      <c r="K1826" s="21">
        <f t="shared" si="286"/>
        <v>2312.7705907048144</v>
      </c>
      <c r="L1826" s="4" t="str">
        <f t="shared" si="282"/>
        <v>BUY</v>
      </c>
      <c r="M1826" s="4">
        <f t="shared" si="287"/>
        <v>0</v>
      </c>
      <c r="N1826" s="4">
        <f t="shared" si="283"/>
        <v>1</v>
      </c>
      <c r="O1826" s="4">
        <f t="shared" si="288"/>
        <v>2337.3000000000002</v>
      </c>
      <c r="P1826" s="4">
        <f t="shared" si="289"/>
        <v>0</v>
      </c>
    </row>
    <row r="1827" spans="1:16" x14ac:dyDescent="0.25">
      <c r="A1827" s="1">
        <v>43833</v>
      </c>
      <c r="B1827">
        <v>2355</v>
      </c>
      <c r="C1827">
        <v>2356.15</v>
      </c>
      <c r="D1827">
        <v>2316</v>
      </c>
      <c r="E1827" s="7">
        <v>2332.4499999999998</v>
      </c>
      <c r="F1827">
        <v>603194</v>
      </c>
      <c r="G1827" s="8">
        <f t="shared" si="280"/>
        <v>2334.8666666666663</v>
      </c>
      <c r="H1827" s="9">
        <f t="shared" si="281"/>
        <v>1408377564.1333332</v>
      </c>
      <c r="I1827" s="9">
        <f t="shared" si="284"/>
        <v>28747338296.033333</v>
      </c>
      <c r="J1827" s="9">
        <f t="shared" si="285"/>
        <v>12428679</v>
      </c>
      <c r="K1827" s="21">
        <f t="shared" si="286"/>
        <v>2312.9842114381854</v>
      </c>
      <c r="L1827" s="4" t="str">
        <f t="shared" si="282"/>
        <v>BUY</v>
      </c>
      <c r="M1827" s="4">
        <f t="shared" si="287"/>
        <v>0</v>
      </c>
      <c r="N1827" s="4">
        <f t="shared" si="283"/>
        <v>1</v>
      </c>
      <c r="O1827" s="4">
        <f t="shared" si="288"/>
        <v>2337.3000000000002</v>
      </c>
      <c r="P1827" s="4">
        <f t="shared" si="289"/>
        <v>0</v>
      </c>
    </row>
    <row r="1828" spans="1:16" x14ac:dyDescent="0.25">
      <c r="A1828" s="1">
        <v>43836</v>
      </c>
      <c r="B1828">
        <v>2347.3000000000002</v>
      </c>
      <c r="C1828">
        <v>2360</v>
      </c>
      <c r="D1828">
        <v>2322.75</v>
      </c>
      <c r="E1828" s="7">
        <v>2349.4499999999998</v>
      </c>
      <c r="F1828">
        <v>1035651</v>
      </c>
      <c r="G1828" s="8">
        <f t="shared" si="280"/>
        <v>2344.0666666666666</v>
      </c>
      <c r="H1828" s="9">
        <f t="shared" si="281"/>
        <v>2427634987.4000001</v>
      </c>
      <c r="I1828" s="9">
        <f t="shared" si="284"/>
        <v>28638511321.883331</v>
      </c>
      <c r="J1828" s="9">
        <f t="shared" si="285"/>
        <v>12370611</v>
      </c>
      <c r="K1828" s="21">
        <f t="shared" si="286"/>
        <v>2315.0442061336607</v>
      </c>
      <c r="L1828" s="4" t="str">
        <f t="shared" si="282"/>
        <v>BUY</v>
      </c>
      <c r="M1828" s="4">
        <f t="shared" si="287"/>
        <v>0</v>
      </c>
      <c r="N1828" s="4">
        <f t="shared" si="283"/>
        <v>1</v>
      </c>
      <c r="O1828" s="4">
        <f t="shared" si="288"/>
        <v>2337.3000000000002</v>
      </c>
      <c r="P1828" s="4">
        <f t="shared" si="289"/>
        <v>0</v>
      </c>
    </row>
    <row r="1829" spans="1:16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 s="7">
        <v>2360.65</v>
      </c>
      <c r="F1829">
        <v>1157223</v>
      </c>
      <c r="G1829" s="8">
        <f t="shared" si="280"/>
        <v>2350.2000000000003</v>
      </c>
      <c r="H1829" s="9">
        <f t="shared" si="281"/>
        <v>2719705494.6000004</v>
      </c>
      <c r="I1829" s="9">
        <f t="shared" si="284"/>
        <v>24711259115.383331</v>
      </c>
      <c r="J1829" s="9">
        <f t="shared" si="285"/>
        <v>10641241</v>
      </c>
      <c r="K1829" s="21">
        <f t="shared" si="286"/>
        <v>2322.2159065266287</v>
      </c>
      <c r="L1829" s="4" t="str">
        <f t="shared" si="282"/>
        <v>BUY</v>
      </c>
      <c r="M1829" s="4">
        <f t="shared" si="287"/>
        <v>0</v>
      </c>
      <c r="N1829" s="4">
        <f t="shared" si="283"/>
        <v>1</v>
      </c>
      <c r="O1829" s="4">
        <f t="shared" si="288"/>
        <v>2337.3000000000002</v>
      </c>
      <c r="P1829" s="4">
        <f t="shared" si="289"/>
        <v>0</v>
      </c>
    </row>
    <row r="1830" spans="1:16" x14ac:dyDescent="0.25">
      <c r="A1830" s="1">
        <v>43838</v>
      </c>
      <c r="B1830">
        <v>2375.1</v>
      </c>
      <c r="C1830">
        <v>2377.9499999999998</v>
      </c>
      <c r="D1830">
        <v>2341.6</v>
      </c>
      <c r="E1830" s="7">
        <v>2365.1</v>
      </c>
      <c r="F1830">
        <v>908802</v>
      </c>
      <c r="G1830" s="8">
        <f t="shared" si="280"/>
        <v>2361.5499999999997</v>
      </c>
      <c r="H1830" s="9">
        <f t="shared" si="281"/>
        <v>2146181363.0999997</v>
      </c>
      <c r="I1830" s="9">
        <f t="shared" si="284"/>
        <v>23961301420.316666</v>
      </c>
      <c r="J1830" s="9">
        <f t="shared" si="285"/>
        <v>10279788</v>
      </c>
      <c r="K1830" s="21">
        <f t="shared" si="286"/>
        <v>2330.9139663499545</v>
      </c>
      <c r="L1830" s="4" t="str">
        <f t="shared" si="282"/>
        <v>BUY</v>
      </c>
      <c r="M1830" s="4">
        <f t="shared" si="287"/>
        <v>0</v>
      </c>
      <c r="N1830" s="4">
        <f t="shared" si="283"/>
        <v>1</v>
      </c>
      <c r="O1830" s="4">
        <f t="shared" si="288"/>
        <v>2337.3000000000002</v>
      </c>
      <c r="P1830" s="4">
        <f t="shared" si="289"/>
        <v>0</v>
      </c>
    </row>
    <row r="1831" spans="1:16" x14ac:dyDescent="0.25">
      <c r="A1831" s="1">
        <v>43839</v>
      </c>
      <c r="B1831">
        <v>2380</v>
      </c>
      <c r="C1831">
        <v>2435</v>
      </c>
      <c r="D1831">
        <v>2373.4499999999998</v>
      </c>
      <c r="E1831" s="7">
        <v>2429.15</v>
      </c>
      <c r="F1831">
        <v>1800513</v>
      </c>
      <c r="G1831" s="8">
        <f t="shared" si="280"/>
        <v>2412.5333333333333</v>
      </c>
      <c r="H1831" s="9">
        <f t="shared" si="281"/>
        <v>4343797629.6000004</v>
      </c>
      <c r="I1831" s="9">
        <f t="shared" si="284"/>
        <v>25576157609.516663</v>
      </c>
      <c r="J1831" s="9">
        <f t="shared" si="285"/>
        <v>10888953</v>
      </c>
      <c r="K1831" s="21">
        <f t="shared" si="286"/>
        <v>2348.8169716148709</v>
      </c>
      <c r="L1831" s="4" t="str">
        <f t="shared" si="282"/>
        <v>BUY</v>
      </c>
      <c r="M1831" s="4">
        <f t="shared" si="287"/>
        <v>0</v>
      </c>
      <c r="N1831" s="4">
        <f t="shared" si="283"/>
        <v>1</v>
      </c>
      <c r="O1831" s="4">
        <f t="shared" si="288"/>
        <v>2337.3000000000002</v>
      </c>
      <c r="P1831" s="4">
        <f t="shared" si="289"/>
        <v>0</v>
      </c>
    </row>
    <row r="1832" spans="1:16" x14ac:dyDescent="0.25">
      <c r="A1832" s="1">
        <v>43840</v>
      </c>
      <c r="B1832">
        <v>2433.5</v>
      </c>
      <c r="C1832">
        <v>2460.75</v>
      </c>
      <c r="D1832">
        <v>2423</v>
      </c>
      <c r="E1832" s="7">
        <v>2455.35</v>
      </c>
      <c r="F1832">
        <v>1438099</v>
      </c>
      <c r="G1832" s="8">
        <f t="shared" si="280"/>
        <v>2446.3666666666668</v>
      </c>
      <c r="H1832" s="9">
        <f t="shared" si="281"/>
        <v>3518117456.9666667</v>
      </c>
      <c r="I1832" s="9">
        <f t="shared" si="284"/>
        <v>25022952862.349998</v>
      </c>
      <c r="J1832" s="9">
        <f t="shared" si="285"/>
        <v>10569849</v>
      </c>
      <c r="K1832" s="21">
        <f t="shared" si="286"/>
        <v>2367.3898144003761</v>
      </c>
      <c r="L1832" s="4" t="str">
        <f t="shared" si="282"/>
        <v>BUY</v>
      </c>
      <c r="M1832" s="4">
        <f t="shared" si="287"/>
        <v>0</v>
      </c>
      <c r="N1832" s="4">
        <f t="shared" si="283"/>
        <v>1</v>
      </c>
      <c r="O1832" s="4">
        <f t="shared" si="288"/>
        <v>2337.3000000000002</v>
      </c>
      <c r="P1832" s="4">
        <f t="shared" si="289"/>
        <v>0</v>
      </c>
    </row>
    <row r="1833" spans="1:16" x14ac:dyDescent="0.25">
      <c r="A1833" s="1">
        <v>43843</v>
      </c>
      <c r="B1833">
        <v>2450</v>
      </c>
      <c r="C1833">
        <v>2572</v>
      </c>
      <c r="D1833">
        <v>2442.25</v>
      </c>
      <c r="E1833" s="7">
        <v>2536.1999999999998</v>
      </c>
      <c r="F1833">
        <v>2569297</v>
      </c>
      <c r="G1833" s="8">
        <f t="shared" si="280"/>
        <v>2516.8166666666666</v>
      </c>
      <c r="H1833" s="9">
        <f t="shared" si="281"/>
        <v>6466449511.2166662</v>
      </c>
      <c r="I1833" s="9">
        <f t="shared" si="284"/>
        <v>28334836558.366669</v>
      </c>
      <c r="J1833" s="9">
        <f t="shared" si="285"/>
        <v>11785042</v>
      </c>
      <c r="K1833" s="21">
        <f t="shared" si="286"/>
        <v>2404.3050977982657</v>
      </c>
      <c r="L1833" s="4" t="str">
        <f t="shared" si="282"/>
        <v>BUY</v>
      </c>
      <c r="M1833" s="4">
        <f t="shared" si="287"/>
        <v>0</v>
      </c>
      <c r="N1833" s="4">
        <f t="shared" si="283"/>
        <v>1</v>
      </c>
      <c r="O1833" s="4">
        <f t="shared" si="288"/>
        <v>2337.3000000000002</v>
      </c>
      <c r="P1833" s="4">
        <f t="shared" si="289"/>
        <v>0</v>
      </c>
    </row>
    <row r="1834" spans="1:16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 s="7">
        <v>2507.15</v>
      </c>
      <c r="F1834">
        <v>893022</v>
      </c>
      <c r="G1834" s="8">
        <f t="shared" si="280"/>
        <v>2511.2333333333336</v>
      </c>
      <c r="H1834" s="9">
        <f t="shared" si="281"/>
        <v>2242586613.8000002</v>
      </c>
      <c r="I1834" s="9">
        <f t="shared" si="284"/>
        <v>28627015187.666668</v>
      </c>
      <c r="J1834" s="9">
        <f t="shared" si="285"/>
        <v>11836827</v>
      </c>
      <c r="K1834" s="21">
        <f t="shared" si="286"/>
        <v>2418.4703542314733</v>
      </c>
      <c r="L1834" s="4" t="str">
        <f t="shared" si="282"/>
        <v>BUY</v>
      </c>
      <c r="M1834" s="4">
        <f t="shared" si="287"/>
        <v>0</v>
      </c>
      <c r="N1834" s="4">
        <f t="shared" si="283"/>
        <v>1</v>
      </c>
      <c r="O1834" s="4">
        <f t="shared" si="288"/>
        <v>2337.3000000000002</v>
      </c>
      <c r="P1834" s="4">
        <f t="shared" si="289"/>
        <v>0</v>
      </c>
    </row>
    <row r="1835" spans="1:16" x14ac:dyDescent="0.25">
      <c r="A1835" s="1">
        <v>43845</v>
      </c>
      <c r="B1835">
        <v>2510</v>
      </c>
      <c r="C1835">
        <v>2553.75</v>
      </c>
      <c r="D1835">
        <v>2510</v>
      </c>
      <c r="E1835" s="7">
        <v>2531.35</v>
      </c>
      <c r="F1835">
        <v>831970</v>
      </c>
      <c r="G1835" s="8">
        <f t="shared" si="280"/>
        <v>2531.7000000000003</v>
      </c>
      <c r="H1835" s="9">
        <f t="shared" si="281"/>
        <v>2106298449.0000002</v>
      </c>
      <c r="I1835" s="9">
        <f t="shared" si="284"/>
        <v>29481552644.316666</v>
      </c>
      <c r="J1835" s="9">
        <f t="shared" si="285"/>
        <v>12132906</v>
      </c>
      <c r="K1835" s="21">
        <f t="shared" si="286"/>
        <v>2429.883874837295</v>
      </c>
      <c r="L1835" s="4" t="str">
        <f t="shared" si="282"/>
        <v>BUY</v>
      </c>
      <c r="M1835" s="4">
        <f t="shared" si="287"/>
        <v>0</v>
      </c>
      <c r="N1835" s="4">
        <f t="shared" si="283"/>
        <v>1</v>
      </c>
      <c r="O1835" s="4">
        <f t="shared" si="288"/>
        <v>2337.3000000000002</v>
      </c>
      <c r="P1835" s="4">
        <f t="shared" si="289"/>
        <v>0</v>
      </c>
    </row>
    <row r="1836" spans="1:16" x14ac:dyDescent="0.25">
      <c r="A1836" s="1">
        <v>43846</v>
      </c>
      <c r="B1836">
        <v>2533.1999999999998</v>
      </c>
      <c r="C1836">
        <v>2564.15</v>
      </c>
      <c r="D1836">
        <v>2514</v>
      </c>
      <c r="E1836" s="7">
        <v>2521.6999999999998</v>
      </c>
      <c r="F1836">
        <v>1374298</v>
      </c>
      <c r="G1836" s="8">
        <f t="shared" si="280"/>
        <v>2533.2833333333333</v>
      </c>
      <c r="H1836" s="9">
        <f t="shared" si="281"/>
        <v>3481486218.4333334</v>
      </c>
      <c r="I1836" s="9">
        <f t="shared" si="284"/>
        <v>30860635288.25</v>
      </c>
      <c r="J1836" s="9">
        <f t="shared" si="285"/>
        <v>12612069</v>
      </c>
      <c r="K1836" s="21">
        <f t="shared" si="286"/>
        <v>2446.9129758368749</v>
      </c>
      <c r="L1836" s="4" t="str">
        <f t="shared" si="282"/>
        <v>BUY</v>
      </c>
      <c r="M1836" s="4">
        <f t="shared" si="287"/>
        <v>0</v>
      </c>
      <c r="N1836" s="4">
        <f t="shared" si="283"/>
        <v>1</v>
      </c>
      <c r="O1836" s="4">
        <f t="shared" si="288"/>
        <v>2337.3000000000002</v>
      </c>
      <c r="P1836" s="4">
        <f t="shared" si="289"/>
        <v>0</v>
      </c>
    </row>
    <row r="1837" spans="1:16" x14ac:dyDescent="0.25">
      <c r="A1837" s="1">
        <v>43847</v>
      </c>
      <c r="B1837">
        <v>2534.8000000000002</v>
      </c>
      <c r="C1837">
        <v>2570</v>
      </c>
      <c r="D1837">
        <v>2529.65</v>
      </c>
      <c r="E1837" s="7">
        <v>2559.15</v>
      </c>
      <c r="F1837">
        <v>1267274</v>
      </c>
      <c r="G1837" s="8">
        <f t="shared" si="280"/>
        <v>2552.9333333333329</v>
      </c>
      <c r="H1837" s="9">
        <f t="shared" si="281"/>
        <v>3235266037.0666661</v>
      </c>
      <c r="I1837" s="9">
        <f t="shared" si="284"/>
        <v>32687523761.183334</v>
      </c>
      <c r="J1837" s="9">
        <f t="shared" si="285"/>
        <v>13276149</v>
      </c>
      <c r="K1837" s="21">
        <f t="shared" si="286"/>
        <v>2462.1239006268561</v>
      </c>
      <c r="L1837" s="4" t="str">
        <f t="shared" si="282"/>
        <v>BUY</v>
      </c>
      <c r="M1837" s="4">
        <f t="shared" si="287"/>
        <v>0</v>
      </c>
      <c r="N1837" s="4">
        <f t="shared" si="283"/>
        <v>1</v>
      </c>
      <c r="O1837" s="4">
        <f t="shared" si="288"/>
        <v>2337.3000000000002</v>
      </c>
      <c r="P1837" s="4">
        <f t="shared" si="289"/>
        <v>0</v>
      </c>
    </row>
    <row r="1838" spans="1:16" x14ac:dyDescent="0.25">
      <c r="A1838" s="1">
        <v>43850</v>
      </c>
      <c r="B1838">
        <v>2577</v>
      </c>
      <c r="C1838">
        <v>2637.55</v>
      </c>
      <c r="D1838">
        <v>2568</v>
      </c>
      <c r="E1838" s="7">
        <v>2624.6</v>
      </c>
      <c r="F1838">
        <v>2047047</v>
      </c>
      <c r="G1838" s="8">
        <f t="shared" si="280"/>
        <v>2610.0499999999997</v>
      </c>
      <c r="H1838" s="9">
        <f t="shared" si="281"/>
        <v>5342895022.3499994</v>
      </c>
      <c r="I1838" s="9">
        <f t="shared" si="284"/>
        <v>35602783796.133331</v>
      </c>
      <c r="J1838" s="9">
        <f t="shared" si="285"/>
        <v>14287545</v>
      </c>
      <c r="K1838" s="21">
        <f t="shared" si="286"/>
        <v>2491.8755318799226</v>
      </c>
      <c r="L1838" s="4" t="str">
        <f t="shared" si="282"/>
        <v>BUY</v>
      </c>
      <c r="M1838" s="4">
        <f t="shared" si="287"/>
        <v>0</v>
      </c>
      <c r="N1838" s="4">
        <f t="shared" si="283"/>
        <v>1</v>
      </c>
      <c r="O1838" s="4">
        <f t="shared" si="288"/>
        <v>2337.3000000000002</v>
      </c>
      <c r="P1838" s="4">
        <f t="shared" si="289"/>
        <v>0</v>
      </c>
    </row>
    <row r="1839" spans="1:16" x14ac:dyDescent="0.25">
      <c r="A1839" s="1">
        <v>43851</v>
      </c>
      <c r="B1839">
        <v>2625</v>
      </c>
      <c r="C1839">
        <v>2626.85</v>
      </c>
      <c r="D1839">
        <v>2564.65</v>
      </c>
      <c r="E1839" s="7">
        <v>2578.25</v>
      </c>
      <c r="F1839">
        <v>681275</v>
      </c>
      <c r="G1839" s="8">
        <f t="shared" si="280"/>
        <v>2589.9166666666665</v>
      </c>
      <c r="H1839" s="9">
        <f t="shared" si="281"/>
        <v>1764445477.0833333</v>
      </c>
      <c r="I1839" s="9">
        <f t="shared" si="284"/>
        <v>34647523778.616661</v>
      </c>
      <c r="J1839" s="9">
        <f t="shared" si="285"/>
        <v>13811597</v>
      </c>
      <c r="K1839" s="21">
        <f t="shared" si="286"/>
        <v>2508.5820110894242</v>
      </c>
      <c r="L1839" s="4" t="str">
        <f t="shared" si="282"/>
        <v>BUY</v>
      </c>
      <c r="M1839" s="4">
        <f t="shared" si="287"/>
        <v>0</v>
      </c>
      <c r="N1839" s="4">
        <f t="shared" si="283"/>
        <v>1</v>
      </c>
      <c r="O1839" s="4">
        <f t="shared" si="288"/>
        <v>2337.3000000000002</v>
      </c>
      <c r="P1839" s="4">
        <f t="shared" si="289"/>
        <v>0</v>
      </c>
    </row>
    <row r="1840" spans="1:16" x14ac:dyDescent="0.25">
      <c r="A1840" s="1">
        <v>43852</v>
      </c>
      <c r="B1840">
        <v>2579</v>
      </c>
      <c r="C1840">
        <v>2596.5</v>
      </c>
      <c r="D1840">
        <v>2564</v>
      </c>
      <c r="E1840" s="7">
        <v>2572.85</v>
      </c>
      <c r="F1840">
        <v>874645</v>
      </c>
      <c r="G1840" s="8">
        <f t="shared" si="280"/>
        <v>2577.7833333333333</v>
      </c>
      <c r="H1840" s="9">
        <f t="shared" si="281"/>
        <v>2254645303.5833335</v>
      </c>
      <c r="I1840" s="9">
        <f t="shared" si="284"/>
        <v>34755987719.099998</v>
      </c>
      <c r="J1840" s="9">
        <f t="shared" si="285"/>
        <v>13777440</v>
      </c>
      <c r="K1840" s="21">
        <f t="shared" si="286"/>
        <v>2522.6738580679721</v>
      </c>
      <c r="L1840" s="4" t="str">
        <f t="shared" si="282"/>
        <v>BUY</v>
      </c>
      <c r="M1840" s="4">
        <f t="shared" si="287"/>
        <v>0</v>
      </c>
      <c r="N1840" s="4">
        <f t="shared" si="283"/>
        <v>1</v>
      </c>
      <c r="O1840" s="4">
        <f t="shared" si="288"/>
        <v>2337.3000000000002</v>
      </c>
      <c r="P1840" s="4">
        <f t="shared" si="289"/>
        <v>0</v>
      </c>
    </row>
    <row r="1841" spans="1:16" x14ac:dyDescent="0.25">
      <c r="A1841" s="1">
        <v>43853</v>
      </c>
      <c r="B1841">
        <v>2560</v>
      </c>
      <c r="C1841">
        <v>2575.9499999999998</v>
      </c>
      <c r="D1841">
        <v>2525</v>
      </c>
      <c r="E1841" s="7">
        <v>2551.1</v>
      </c>
      <c r="F1841">
        <v>463817</v>
      </c>
      <c r="G1841" s="8">
        <f t="shared" si="280"/>
        <v>2550.6833333333329</v>
      </c>
      <c r="H1841" s="9">
        <f t="shared" si="281"/>
        <v>1183050291.6166666</v>
      </c>
      <c r="I1841" s="9">
        <f t="shared" si="284"/>
        <v>31595240381.116661</v>
      </c>
      <c r="J1841" s="9">
        <f t="shared" si="285"/>
        <v>12440744</v>
      </c>
      <c r="K1841" s="21">
        <f t="shared" si="286"/>
        <v>2539.6584304858825</v>
      </c>
      <c r="L1841" s="4" t="str">
        <f t="shared" si="282"/>
        <v>BUY</v>
      </c>
      <c r="M1841" s="4">
        <f t="shared" si="287"/>
        <v>0</v>
      </c>
      <c r="N1841" s="4">
        <f t="shared" si="283"/>
        <v>1</v>
      </c>
      <c r="O1841" s="4">
        <f t="shared" si="288"/>
        <v>2337.3000000000002</v>
      </c>
      <c r="P1841" s="4">
        <f t="shared" si="289"/>
        <v>0</v>
      </c>
    </row>
    <row r="1842" spans="1:16" x14ac:dyDescent="0.25">
      <c r="A1842" s="1">
        <v>43854</v>
      </c>
      <c r="B1842">
        <v>2533</v>
      </c>
      <c r="C1842">
        <v>2572.5</v>
      </c>
      <c r="D1842">
        <v>2528</v>
      </c>
      <c r="E1842" s="7">
        <v>2546.6</v>
      </c>
      <c r="F1842">
        <v>1251365</v>
      </c>
      <c r="G1842" s="8">
        <f t="shared" si="280"/>
        <v>2549.0333333333333</v>
      </c>
      <c r="H1842" s="9">
        <f t="shared" si="281"/>
        <v>3189771097.1666665</v>
      </c>
      <c r="I1842" s="9">
        <f t="shared" si="284"/>
        <v>31266894021.316662</v>
      </c>
      <c r="J1842" s="9">
        <f t="shared" si="285"/>
        <v>12254010</v>
      </c>
      <c r="K1842" s="21">
        <f t="shared" si="286"/>
        <v>2551.5642651929174</v>
      </c>
      <c r="L1842" s="4" t="str">
        <f t="shared" si="282"/>
        <v>SELL</v>
      </c>
      <c r="M1842" s="4" t="str">
        <f t="shared" si="287"/>
        <v>SELL</v>
      </c>
      <c r="N1842" s="4">
        <f t="shared" si="283"/>
        <v>-1</v>
      </c>
      <c r="O1842" s="4">
        <f t="shared" si="288"/>
        <v>2546.6</v>
      </c>
      <c r="P1842" s="4">
        <f t="shared" si="289"/>
        <v>8.9547768793051694E-2</v>
      </c>
    </row>
    <row r="1843" spans="1:16" x14ac:dyDescent="0.25">
      <c r="A1843" s="1">
        <v>43857</v>
      </c>
      <c r="B1843">
        <v>2530</v>
      </c>
      <c r="C1843">
        <v>2564</v>
      </c>
      <c r="D1843">
        <v>2530</v>
      </c>
      <c r="E1843" s="7">
        <v>2553.6</v>
      </c>
      <c r="F1843">
        <v>540032</v>
      </c>
      <c r="G1843" s="8">
        <f t="shared" si="280"/>
        <v>2549.2000000000003</v>
      </c>
      <c r="H1843" s="9">
        <f t="shared" si="281"/>
        <v>1376649574.4000001</v>
      </c>
      <c r="I1843" s="9">
        <f t="shared" si="284"/>
        <v>26177094084.499996</v>
      </c>
      <c r="J1843" s="9">
        <f t="shared" si="285"/>
        <v>10224745</v>
      </c>
      <c r="K1843" s="21">
        <f t="shared" si="286"/>
        <v>2560.1708487106521</v>
      </c>
      <c r="L1843" s="4" t="str">
        <f t="shared" si="282"/>
        <v>SELL</v>
      </c>
      <c r="M1843" s="4">
        <f t="shared" si="287"/>
        <v>0</v>
      </c>
      <c r="N1843" s="4">
        <f t="shared" si="283"/>
        <v>-1</v>
      </c>
      <c r="O1843" s="4">
        <f t="shared" si="288"/>
        <v>2546.6</v>
      </c>
      <c r="P1843" s="4">
        <f t="shared" si="289"/>
        <v>0</v>
      </c>
    </row>
    <row r="1844" spans="1:16" x14ac:dyDescent="0.25">
      <c r="A1844" s="1">
        <v>43858</v>
      </c>
      <c r="B1844">
        <v>2556.25</v>
      </c>
      <c r="C1844">
        <v>2591.85</v>
      </c>
      <c r="D1844">
        <v>2552.5</v>
      </c>
      <c r="E1844" s="7">
        <v>2564.9</v>
      </c>
      <c r="F1844">
        <v>677824</v>
      </c>
      <c r="G1844" s="8">
        <f t="shared" si="280"/>
        <v>2569.75</v>
      </c>
      <c r="H1844" s="9">
        <f t="shared" si="281"/>
        <v>1741838224</v>
      </c>
      <c r="I1844" s="9">
        <f t="shared" si="284"/>
        <v>25676345694.700001</v>
      </c>
      <c r="J1844" s="9">
        <f t="shared" si="285"/>
        <v>10009547</v>
      </c>
      <c r="K1844" s="21">
        <f t="shared" si="286"/>
        <v>2565.1855867902914</v>
      </c>
      <c r="L1844" s="4" t="str">
        <f t="shared" si="282"/>
        <v>SELL</v>
      </c>
      <c r="M1844" s="4">
        <f t="shared" si="287"/>
        <v>0</v>
      </c>
      <c r="N1844" s="4">
        <f t="shared" si="283"/>
        <v>-1</v>
      </c>
      <c r="O1844" s="4">
        <f t="shared" si="288"/>
        <v>2546.6</v>
      </c>
      <c r="P1844" s="4">
        <f t="shared" si="289"/>
        <v>0</v>
      </c>
    </row>
    <row r="1845" spans="1:16" x14ac:dyDescent="0.25">
      <c r="A1845" s="1">
        <v>43859</v>
      </c>
      <c r="B1845">
        <v>2565</v>
      </c>
      <c r="C1845">
        <v>2619.9</v>
      </c>
      <c r="D1845">
        <v>2560.15</v>
      </c>
      <c r="E1845" s="7">
        <v>2603.9499999999998</v>
      </c>
      <c r="F1845">
        <v>750094</v>
      </c>
      <c r="G1845" s="8">
        <f t="shared" si="280"/>
        <v>2594.6666666666665</v>
      </c>
      <c r="H1845" s="9">
        <f t="shared" si="281"/>
        <v>1946243898.6666665</v>
      </c>
      <c r="I1845" s="9">
        <f t="shared" si="284"/>
        <v>25516291144.366669</v>
      </c>
      <c r="J1845" s="9">
        <f t="shared" si="285"/>
        <v>9927671</v>
      </c>
      <c r="K1845" s="21">
        <f t="shared" si="286"/>
        <v>2570.2192532736699</v>
      </c>
      <c r="L1845" s="4" t="str">
        <f t="shared" si="282"/>
        <v>BUY</v>
      </c>
      <c r="M1845" s="4" t="str">
        <f t="shared" si="287"/>
        <v>BUY</v>
      </c>
      <c r="N1845" s="4">
        <f t="shared" si="283"/>
        <v>1</v>
      </c>
      <c r="O1845" s="4">
        <f t="shared" si="288"/>
        <v>2603.9499999999998</v>
      </c>
      <c r="P1845" s="4">
        <f t="shared" si="289"/>
        <v>-2.2520223042487988E-2</v>
      </c>
    </row>
    <row r="1846" spans="1:16" x14ac:dyDescent="0.25">
      <c r="A1846" s="1">
        <v>43860</v>
      </c>
      <c r="B1846">
        <v>2631</v>
      </c>
      <c r="C1846">
        <v>2708.95</v>
      </c>
      <c r="D1846">
        <v>2630</v>
      </c>
      <c r="E1846" s="7">
        <v>2696</v>
      </c>
      <c r="F1846">
        <v>2973360</v>
      </c>
      <c r="G1846" s="8">
        <f t="shared" si="280"/>
        <v>2678.3166666666666</v>
      </c>
      <c r="H1846" s="9">
        <f t="shared" si="281"/>
        <v>7963599644</v>
      </c>
      <c r="I1846" s="9">
        <f t="shared" si="284"/>
        <v>29998404569.933334</v>
      </c>
      <c r="J1846" s="9">
        <f t="shared" si="285"/>
        <v>11526733</v>
      </c>
      <c r="K1846" s="21">
        <f t="shared" si="286"/>
        <v>2602.5071084697925</v>
      </c>
      <c r="L1846" s="4" t="str">
        <f t="shared" si="282"/>
        <v>BUY</v>
      </c>
      <c r="M1846" s="4">
        <f t="shared" si="287"/>
        <v>0</v>
      </c>
      <c r="N1846" s="4">
        <f t="shared" si="283"/>
        <v>1</v>
      </c>
      <c r="O1846" s="4">
        <f t="shared" si="288"/>
        <v>2603.9499999999998</v>
      </c>
      <c r="P1846" s="4">
        <f t="shared" si="289"/>
        <v>0</v>
      </c>
    </row>
    <row r="1847" spans="1:16" x14ac:dyDescent="0.25">
      <c r="A1847" s="1">
        <v>43861</v>
      </c>
      <c r="B1847">
        <v>2697</v>
      </c>
      <c r="C1847">
        <v>2700</v>
      </c>
      <c r="D1847">
        <v>2576.5500000000002</v>
      </c>
      <c r="E1847" s="7">
        <v>2615.25</v>
      </c>
      <c r="F1847">
        <v>2463888</v>
      </c>
      <c r="G1847" s="8">
        <f t="shared" si="280"/>
        <v>2630.6</v>
      </c>
      <c r="H1847" s="9">
        <f t="shared" si="281"/>
        <v>6481503772.8000002</v>
      </c>
      <c r="I1847" s="9">
        <f t="shared" si="284"/>
        <v>33244642305.666664</v>
      </c>
      <c r="J1847" s="9">
        <f t="shared" si="285"/>
        <v>12723347</v>
      </c>
      <c r="K1847" s="21">
        <f t="shared" si="286"/>
        <v>2612.8849826752871</v>
      </c>
      <c r="L1847" s="4" t="str">
        <f t="shared" si="282"/>
        <v>BUY</v>
      </c>
      <c r="M1847" s="4">
        <f t="shared" si="287"/>
        <v>0</v>
      </c>
      <c r="N1847" s="4">
        <f t="shared" si="283"/>
        <v>1</v>
      </c>
      <c r="O1847" s="4">
        <f t="shared" si="288"/>
        <v>2603.9499999999998</v>
      </c>
      <c r="P1847" s="4">
        <f t="shared" si="289"/>
        <v>0</v>
      </c>
    </row>
    <row r="1848" spans="1:16" x14ac:dyDescent="0.25">
      <c r="A1848" s="1">
        <v>43864</v>
      </c>
      <c r="B1848">
        <v>2598</v>
      </c>
      <c r="C1848">
        <v>2604.9499999999998</v>
      </c>
      <c r="D1848">
        <v>2515.5</v>
      </c>
      <c r="E1848" s="7">
        <v>2521.6</v>
      </c>
      <c r="F1848">
        <v>1665357</v>
      </c>
      <c r="G1848" s="8">
        <f t="shared" si="280"/>
        <v>2547.35</v>
      </c>
      <c r="H1848" s="9">
        <f t="shared" si="281"/>
        <v>4242247153.9499998</v>
      </c>
      <c r="I1848" s="9">
        <f t="shared" si="284"/>
        <v>32143994437.266666</v>
      </c>
      <c r="J1848" s="9">
        <f t="shared" si="285"/>
        <v>12341657</v>
      </c>
      <c r="K1848" s="21">
        <f t="shared" si="286"/>
        <v>2604.5120551694695</v>
      </c>
      <c r="L1848" s="4" t="str">
        <f t="shared" si="282"/>
        <v>SELL</v>
      </c>
      <c r="M1848" s="4" t="str">
        <f t="shared" si="287"/>
        <v>SELL</v>
      </c>
      <c r="N1848" s="4">
        <f t="shared" si="283"/>
        <v>-1</v>
      </c>
      <c r="O1848" s="4">
        <f t="shared" si="288"/>
        <v>2521.6</v>
      </c>
      <c r="P1848" s="4">
        <f t="shared" si="289"/>
        <v>-3.1625031202596021E-2</v>
      </c>
    </row>
    <row r="1849" spans="1:16" x14ac:dyDescent="0.25">
      <c r="A1849" s="1">
        <v>43865</v>
      </c>
      <c r="B1849">
        <v>2520</v>
      </c>
      <c r="C1849">
        <v>2547.4</v>
      </c>
      <c r="D1849">
        <v>2486</v>
      </c>
      <c r="E1849" s="7">
        <v>2507</v>
      </c>
      <c r="F1849">
        <v>1574017</v>
      </c>
      <c r="G1849" s="8">
        <f t="shared" si="280"/>
        <v>2513.4666666666667</v>
      </c>
      <c r="H1849" s="9">
        <f t="shared" si="281"/>
        <v>3956239262.2666669</v>
      </c>
      <c r="I1849" s="9">
        <f t="shared" si="284"/>
        <v>34335788222.450001</v>
      </c>
      <c r="J1849" s="9">
        <f t="shared" si="285"/>
        <v>13234399</v>
      </c>
      <c r="K1849" s="21">
        <f t="shared" si="286"/>
        <v>2594.4350191081589</v>
      </c>
      <c r="L1849" s="4" t="str">
        <f t="shared" si="282"/>
        <v>SELL</v>
      </c>
      <c r="M1849" s="4">
        <f t="shared" si="287"/>
        <v>0</v>
      </c>
      <c r="N1849" s="4">
        <f t="shared" si="283"/>
        <v>-1</v>
      </c>
      <c r="O1849" s="4">
        <f t="shared" si="288"/>
        <v>2521.6</v>
      </c>
      <c r="P1849" s="4">
        <f t="shared" si="289"/>
        <v>0</v>
      </c>
    </row>
    <row r="1850" spans="1:16" x14ac:dyDescent="0.25">
      <c r="A1850" s="1">
        <v>43866</v>
      </c>
      <c r="B1850">
        <v>2497</v>
      </c>
      <c r="C1850">
        <v>2512.9</v>
      </c>
      <c r="D1850">
        <v>2470.4</v>
      </c>
      <c r="E1850" s="7">
        <v>2487.1999999999998</v>
      </c>
      <c r="F1850">
        <v>813253</v>
      </c>
      <c r="G1850" s="8">
        <f t="shared" si="280"/>
        <v>2490.1666666666665</v>
      </c>
      <c r="H1850" s="9">
        <f t="shared" si="281"/>
        <v>2025135512.1666665</v>
      </c>
      <c r="I1850" s="9">
        <f t="shared" si="284"/>
        <v>34106278431.033333</v>
      </c>
      <c r="J1850" s="9">
        <f t="shared" si="285"/>
        <v>13173007</v>
      </c>
      <c r="K1850" s="21">
        <f t="shared" si="286"/>
        <v>2589.1034925460326</v>
      </c>
      <c r="L1850" s="4" t="str">
        <f t="shared" si="282"/>
        <v>SELL</v>
      </c>
      <c r="M1850" s="4">
        <f t="shared" si="287"/>
        <v>0</v>
      </c>
      <c r="N1850" s="4">
        <f t="shared" si="283"/>
        <v>-1</v>
      </c>
      <c r="O1850" s="4">
        <f t="shared" si="288"/>
        <v>2521.6</v>
      </c>
      <c r="P1850" s="4">
        <f t="shared" si="289"/>
        <v>0</v>
      </c>
    </row>
    <row r="1851" spans="1:16" x14ac:dyDescent="0.25">
      <c r="A1851" s="1">
        <v>43867</v>
      </c>
      <c r="B1851">
        <v>2465</v>
      </c>
      <c r="C1851">
        <v>2481.1</v>
      </c>
      <c r="D1851">
        <v>2447</v>
      </c>
      <c r="E1851" s="7">
        <v>2451.5500000000002</v>
      </c>
      <c r="F1851">
        <v>587707</v>
      </c>
      <c r="G1851" s="8">
        <f t="shared" si="280"/>
        <v>2459.8833333333337</v>
      </c>
      <c r="H1851" s="9">
        <f t="shared" si="281"/>
        <v>1445690654.1833336</v>
      </c>
      <c r="I1851" s="9">
        <f t="shared" si="284"/>
        <v>34368918793.599998</v>
      </c>
      <c r="J1851" s="9">
        <f t="shared" si="285"/>
        <v>13296897</v>
      </c>
      <c r="K1851" s="21">
        <f t="shared" si="286"/>
        <v>2584.7322720180505</v>
      </c>
      <c r="L1851" s="4" t="str">
        <f t="shared" si="282"/>
        <v>SELL</v>
      </c>
      <c r="M1851" s="4">
        <f t="shared" si="287"/>
        <v>0</v>
      </c>
      <c r="N1851" s="4">
        <f t="shared" si="283"/>
        <v>-1</v>
      </c>
      <c r="O1851" s="4">
        <f t="shared" si="288"/>
        <v>2521.6</v>
      </c>
      <c r="P1851" s="4">
        <f t="shared" si="289"/>
        <v>0</v>
      </c>
    </row>
    <row r="1852" spans="1:16" x14ac:dyDescent="0.25">
      <c r="A1852" s="1">
        <v>43868</v>
      </c>
      <c r="B1852">
        <v>2455</v>
      </c>
      <c r="C1852">
        <v>2476</v>
      </c>
      <c r="D1852">
        <v>2455</v>
      </c>
      <c r="E1852" s="7">
        <v>2470.1999999999998</v>
      </c>
      <c r="F1852">
        <v>744571</v>
      </c>
      <c r="G1852" s="8">
        <f t="shared" si="280"/>
        <v>2467.0666666666666</v>
      </c>
      <c r="H1852" s="9">
        <f t="shared" si="281"/>
        <v>1836906295.0666666</v>
      </c>
      <c r="I1852" s="9">
        <f t="shared" si="284"/>
        <v>33016053991.5</v>
      </c>
      <c r="J1852" s="9">
        <f t="shared" si="285"/>
        <v>12790103</v>
      </c>
      <c r="K1852" s="21">
        <f t="shared" si="286"/>
        <v>2581.3751454151698</v>
      </c>
      <c r="L1852" s="4" t="str">
        <f t="shared" si="282"/>
        <v>SELL</v>
      </c>
      <c r="M1852" s="4">
        <f t="shared" si="287"/>
        <v>0</v>
      </c>
      <c r="N1852" s="4">
        <f t="shared" si="283"/>
        <v>-1</v>
      </c>
      <c r="O1852" s="4">
        <f t="shared" si="288"/>
        <v>2521.6</v>
      </c>
      <c r="P1852" s="4">
        <f t="shared" si="289"/>
        <v>0</v>
      </c>
    </row>
    <row r="1853" spans="1:16" x14ac:dyDescent="0.25">
      <c r="A1853" s="1">
        <v>43871</v>
      </c>
      <c r="B1853">
        <v>2469</v>
      </c>
      <c r="C1853">
        <v>2469.6999999999998</v>
      </c>
      <c r="D1853">
        <v>2405</v>
      </c>
      <c r="E1853" s="7">
        <v>2411.1999999999998</v>
      </c>
      <c r="F1853">
        <v>1498599</v>
      </c>
      <c r="G1853" s="8">
        <f t="shared" si="280"/>
        <v>2428.6333333333332</v>
      </c>
      <c r="H1853" s="9">
        <f t="shared" si="281"/>
        <v>3639547484.6999998</v>
      </c>
      <c r="I1853" s="9">
        <f t="shared" si="284"/>
        <v>35278951901.800003</v>
      </c>
      <c r="J1853" s="9">
        <f t="shared" si="285"/>
        <v>13748670</v>
      </c>
      <c r="K1853" s="21">
        <f t="shared" si="286"/>
        <v>2565.9901577243472</v>
      </c>
      <c r="L1853" s="4" t="str">
        <f t="shared" si="282"/>
        <v>SELL</v>
      </c>
      <c r="M1853" s="4">
        <f t="shared" si="287"/>
        <v>0</v>
      </c>
      <c r="N1853" s="4">
        <f t="shared" si="283"/>
        <v>-1</v>
      </c>
      <c r="O1853" s="4">
        <f t="shared" si="288"/>
        <v>2521.6</v>
      </c>
      <c r="P1853" s="4">
        <f t="shared" si="289"/>
        <v>0</v>
      </c>
    </row>
    <row r="1854" spans="1:16" x14ac:dyDescent="0.25">
      <c r="A1854" s="1">
        <v>43872</v>
      </c>
      <c r="B1854">
        <v>2414.9499999999998</v>
      </c>
      <c r="C1854">
        <v>2435</v>
      </c>
      <c r="D1854">
        <v>2386.5</v>
      </c>
      <c r="E1854" s="7">
        <v>2399.6999999999998</v>
      </c>
      <c r="F1854">
        <v>1225213</v>
      </c>
      <c r="G1854" s="8">
        <f t="shared" si="280"/>
        <v>2407.0666666666666</v>
      </c>
      <c r="H1854" s="9">
        <f t="shared" si="281"/>
        <v>2949169371.8666668</v>
      </c>
      <c r="I1854" s="9">
        <f t="shared" si="284"/>
        <v>36486283049.666672</v>
      </c>
      <c r="J1854" s="9">
        <f t="shared" si="285"/>
        <v>14296059</v>
      </c>
      <c r="K1854" s="21">
        <f t="shared" si="286"/>
        <v>2552.1916949046358</v>
      </c>
      <c r="L1854" s="4" t="str">
        <f t="shared" si="282"/>
        <v>SELL</v>
      </c>
      <c r="M1854" s="4">
        <f t="shared" si="287"/>
        <v>0</v>
      </c>
      <c r="N1854" s="4">
        <f t="shared" si="283"/>
        <v>-1</v>
      </c>
      <c r="O1854" s="4">
        <f t="shared" si="288"/>
        <v>2521.6</v>
      </c>
      <c r="P1854" s="4">
        <f t="shared" si="289"/>
        <v>0</v>
      </c>
    </row>
    <row r="1855" spans="1:16" x14ac:dyDescent="0.25">
      <c r="A1855" s="1">
        <v>43873</v>
      </c>
      <c r="B1855">
        <v>2416.9</v>
      </c>
      <c r="C1855">
        <v>2446.35</v>
      </c>
      <c r="D1855">
        <v>2405.15</v>
      </c>
      <c r="E1855" s="7">
        <v>2431.6999999999998</v>
      </c>
      <c r="F1855">
        <v>822371</v>
      </c>
      <c r="G1855" s="8">
        <f t="shared" si="280"/>
        <v>2427.7333333333331</v>
      </c>
      <c r="H1855" s="9">
        <f t="shared" si="281"/>
        <v>1996497489.0666666</v>
      </c>
      <c r="I1855" s="9">
        <f t="shared" si="284"/>
        <v>36536536640.066666</v>
      </c>
      <c r="J1855" s="9">
        <f t="shared" si="285"/>
        <v>14368336</v>
      </c>
      <c r="K1855" s="21">
        <f t="shared" si="286"/>
        <v>2542.8509355618262</v>
      </c>
      <c r="L1855" s="4" t="str">
        <f t="shared" si="282"/>
        <v>SELL</v>
      </c>
      <c r="M1855" s="4">
        <f t="shared" si="287"/>
        <v>0</v>
      </c>
      <c r="N1855" s="4">
        <f t="shared" si="283"/>
        <v>-1</v>
      </c>
      <c r="O1855" s="4">
        <f t="shared" si="288"/>
        <v>2521.6</v>
      </c>
      <c r="P1855" s="4">
        <f t="shared" si="289"/>
        <v>0</v>
      </c>
    </row>
    <row r="1856" spans="1:16" x14ac:dyDescent="0.25">
      <c r="A1856" s="1">
        <v>43874</v>
      </c>
      <c r="B1856">
        <v>2431</v>
      </c>
      <c r="C1856">
        <v>2449</v>
      </c>
      <c r="D1856">
        <v>2380.3000000000002</v>
      </c>
      <c r="E1856" s="7">
        <v>2445</v>
      </c>
      <c r="F1856">
        <v>835479</v>
      </c>
      <c r="G1856" s="8">
        <f t="shared" si="280"/>
        <v>2424.7666666666669</v>
      </c>
      <c r="H1856" s="9">
        <f t="shared" si="281"/>
        <v>2025841629.9000001</v>
      </c>
      <c r="I1856" s="9">
        <f t="shared" si="284"/>
        <v>30598778625.966667</v>
      </c>
      <c r="J1856" s="9">
        <f t="shared" si="285"/>
        <v>12230455</v>
      </c>
      <c r="K1856" s="21">
        <f t="shared" si="286"/>
        <v>2501.8512088034881</v>
      </c>
      <c r="L1856" s="4" t="str">
        <f t="shared" si="282"/>
        <v>SELL</v>
      </c>
      <c r="M1856" s="4">
        <f t="shared" si="287"/>
        <v>0</v>
      </c>
      <c r="N1856" s="4">
        <f t="shared" si="283"/>
        <v>-1</v>
      </c>
      <c r="O1856" s="4">
        <f t="shared" si="288"/>
        <v>2521.6</v>
      </c>
      <c r="P1856" s="4">
        <f t="shared" si="289"/>
        <v>0</v>
      </c>
    </row>
    <row r="1857" spans="1:16" x14ac:dyDescent="0.25">
      <c r="A1857" s="1">
        <v>43875</v>
      </c>
      <c r="B1857">
        <v>2440</v>
      </c>
      <c r="C1857">
        <v>2442.15</v>
      </c>
      <c r="D1857">
        <v>2397.1999999999998</v>
      </c>
      <c r="E1857" s="7">
        <v>2406.3000000000002</v>
      </c>
      <c r="F1857">
        <v>828909</v>
      </c>
      <c r="G1857" s="8">
        <f t="shared" si="280"/>
        <v>2415.2166666666667</v>
      </c>
      <c r="H1857" s="9">
        <f t="shared" si="281"/>
        <v>2001994831.95</v>
      </c>
      <c r="I1857" s="9">
        <f t="shared" si="284"/>
        <v>26119269685.116673</v>
      </c>
      <c r="J1857" s="9">
        <f t="shared" si="285"/>
        <v>10595476</v>
      </c>
      <c r="K1857" s="21">
        <f t="shared" si="286"/>
        <v>2465.1341464146276</v>
      </c>
      <c r="L1857" s="4" t="str">
        <f t="shared" si="282"/>
        <v>SELL</v>
      </c>
      <c r="M1857" s="4">
        <f t="shared" si="287"/>
        <v>0</v>
      </c>
      <c r="N1857" s="4">
        <f t="shared" si="283"/>
        <v>-1</v>
      </c>
      <c r="O1857" s="4">
        <f t="shared" si="288"/>
        <v>2521.6</v>
      </c>
      <c r="P1857" s="4">
        <f t="shared" si="289"/>
        <v>0</v>
      </c>
    </row>
    <row r="1858" spans="1:16" x14ac:dyDescent="0.25">
      <c r="A1858" s="1">
        <v>43878</v>
      </c>
      <c r="B1858">
        <v>2409</v>
      </c>
      <c r="C1858">
        <v>2431</v>
      </c>
      <c r="D1858">
        <v>2385</v>
      </c>
      <c r="E1858" s="7">
        <v>2394.85</v>
      </c>
      <c r="F1858">
        <v>2887941</v>
      </c>
      <c r="G1858" s="8">
        <f t="shared" ref="G1858:G1921" si="290">AVERAGE(C1858:E1858)</f>
        <v>2403.6166666666668</v>
      </c>
      <c r="H1858" s="9">
        <f t="shared" si="281"/>
        <v>6941503119.9500008</v>
      </c>
      <c r="I1858" s="9">
        <f t="shared" si="284"/>
        <v>28818525651.116673</v>
      </c>
      <c r="J1858" s="9">
        <f t="shared" si="285"/>
        <v>11818060</v>
      </c>
      <c r="K1858" s="21">
        <f t="shared" si="286"/>
        <v>2438.5157674877833</v>
      </c>
      <c r="L1858" s="4" t="str">
        <f t="shared" si="282"/>
        <v>SELL</v>
      </c>
      <c r="M1858" s="4">
        <f t="shared" si="287"/>
        <v>0</v>
      </c>
      <c r="N1858" s="4">
        <f t="shared" si="283"/>
        <v>-1</v>
      </c>
      <c r="O1858" s="4">
        <f t="shared" si="288"/>
        <v>2521.6</v>
      </c>
      <c r="P1858" s="4">
        <f t="shared" si="289"/>
        <v>0</v>
      </c>
    </row>
    <row r="1859" spans="1:16" x14ac:dyDescent="0.25">
      <c r="A1859" s="1">
        <v>43879</v>
      </c>
      <c r="B1859">
        <v>2399.4</v>
      </c>
      <c r="C1859">
        <v>2413.9499999999998</v>
      </c>
      <c r="D1859">
        <v>2354</v>
      </c>
      <c r="E1859" s="7">
        <v>2361.6999999999998</v>
      </c>
      <c r="F1859">
        <v>712378</v>
      </c>
      <c r="G1859" s="8">
        <f t="shared" si="290"/>
        <v>2376.5499999999997</v>
      </c>
      <c r="H1859" s="9">
        <f t="shared" ref="H1859:H1922" si="291">G1859*F1859</f>
        <v>1693001935.8999999</v>
      </c>
      <c r="I1859" s="9">
        <f t="shared" si="284"/>
        <v>26555288324.75</v>
      </c>
      <c r="J1859" s="9">
        <f t="shared" si="285"/>
        <v>10956421</v>
      </c>
      <c r="K1859" s="21">
        <f t="shared" si="286"/>
        <v>2423.7192350266569</v>
      </c>
      <c r="L1859" s="4" t="str">
        <f t="shared" si="282"/>
        <v>SELL</v>
      </c>
      <c r="M1859" s="4">
        <f t="shared" si="287"/>
        <v>0</v>
      </c>
      <c r="N1859" s="4">
        <f t="shared" si="283"/>
        <v>-1</v>
      </c>
      <c r="O1859" s="4">
        <f t="shared" si="288"/>
        <v>2521.6</v>
      </c>
      <c r="P1859" s="4">
        <f t="shared" si="289"/>
        <v>0</v>
      </c>
    </row>
    <row r="1860" spans="1:16" x14ac:dyDescent="0.25">
      <c r="A1860" s="1">
        <v>43880</v>
      </c>
      <c r="B1860">
        <v>2350.6</v>
      </c>
      <c r="C1860">
        <v>2384.6999999999998</v>
      </c>
      <c r="D1860">
        <v>2331.6</v>
      </c>
      <c r="E1860" s="7">
        <v>2342.85</v>
      </c>
      <c r="F1860">
        <v>987165</v>
      </c>
      <c r="G1860" s="8">
        <f t="shared" si="290"/>
        <v>2353.0499999999997</v>
      </c>
      <c r="H1860" s="9">
        <f t="shared" si="291"/>
        <v>2322848603.2499995</v>
      </c>
      <c r="I1860" s="9">
        <f t="shared" si="284"/>
        <v>26853001415.833336</v>
      </c>
      <c r="J1860" s="9">
        <f t="shared" si="285"/>
        <v>11130333</v>
      </c>
      <c r="K1860" s="21">
        <f t="shared" si="286"/>
        <v>2412.5964080170229</v>
      </c>
      <c r="L1860" s="4" t="str">
        <f t="shared" si="282"/>
        <v>SELL</v>
      </c>
      <c r="M1860" s="4">
        <f t="shared" si="287"/>
        <v>0</v>
      </c>
      <c r="N1860" s="4">
        <f t="shared" si="283"/>
        <v>-1</v>
      </c>
      <c r="O1860" s="4">
        <f t="shared" si="288"/>
        <v>2521.6</v>
      </c>
      <c r="P1860" s="4">
        <f t="shared" si="289"/>
        <v>0</v>
      </c>
    </row>
    <row r="1861" spans="1:16" x14ac:dyDescent="0.25">
      <c r="A1861" s="1">
        <v>43881</v>
      </c>
      <c r="B1861">
        <v>2349.9</v>
      </c>
      <c r="C1861">
        <v>2358</v>
      </c>
      <c r="D1861">
        <v>2335</v>
      </c>
      <c r="E1861" s="7">
        <v>2350.0500000000002</v>
      </c>
      <c r="F1861">
        <v>894863</v>
      </c>
      <c r="G1861" s="8">
        <f t="shared" si="290"/>
        <v>2347.6833333333334</v>
      </c>
      <c r="H1861" s="9">
        <f t="shared" si="291"/>
        <v>2100854950.7166667</v>
      </c>
      <c r="I1861" s="9">
        <f t="shared" si="284"/>
        <v>27508165712.366669</v>
      </c>
      <c r="J1861" s="9">
        <f t="shared" si="285"/>
        <v>11437489</v>
      </c>
      <c r="K1861" s="21">
        <f t="shared" si="286"/>
        <v>2405.0878398542432</v>
      </c>
      <c r="L1861" s="4" t="str">
        <f t="shared" si="282"/>
        <v>SELL</v>
      </c>
      <c r="M1861" s="4">
        <f t="shared" si="287"/>
        <v>0</v>
      </c>
      <c r="N1861" s="4">
        <f t="shared" si="283"/>
        <v>-1</v>
      </c>
      <c r="O1861" s="4">
        <f t="shared" si="288"/>
        <v>2521.6</v>
      </c>
      <c r="P1861" s="4">
        <f t="shared" si="289"/>
        <v>0</v>
      </c>
    </row>
    <row r="1862" spans="1:16" x14ac:dyDescent="0.25">
      <c r="A1862" s="1">
        <v>43882</v>
      </c>
      <c r="B1862">
        <v>2359</v>
      </c>
      <c r="C1862">
        <v>2372.0500000000002</v>
      </c>
      <c r="D1862">
        <v>2323.1</v>
      </c>
      <c r="E1862" s="7">
        <v>2333.25</v>
      </c>
      <c r="F1862">
        <v>1235913</v>
      </c>
      <c r="G1862" s="8">
        <f t="shared" si="290"/>
        <v>2342.7999999999997</v>
      </c>
      <c r="H1862" s="9">
        <f t="shared" si="291"/>
        <v>2895496976.3999996</v>
      </c>
      <c r="I1862" s="9">
        <f t="shared" si="284"/>
        <v>28566756393.700005</v>
      </c>
      <c r="J1862" s="9">
        <f t="shared" si="285"/>
        <v>11928831</v>
      </c>
      <c r="K1862" s="21">
        <f t="shared" si="286"/>
        <v>2394.76579001748</v>
      </c>
      <c r="L1862" s="4" t="str">
        <f t="shared" si="282"/>
        <v>SELL</v>
      </c>
      <c r="M1862" s="4">
        <f t="shared" si="287"/>
        <v>0</v>
      </c>
      <c r="N1862" s="4">
        <f t="shared" si="283"/>
        <v>-1</v>
      </c>
      <c r="O1862" s="4">
        <f t="shared" si="288"/>
        <v>2521.6</v>
      </c>
      <c r="P1862" s="4">
        <f t="shared" si="289"/>
        <v>0</v>
      </c>
    </row>
    <row r="1863" spans="1:16" x14ac:dyDescent="0.25">
      <c r="A1863" s="1">
        <v>43885</v>
      </c>
      <c r="B1863">
        <v>2324.4</v>
      </c>
      <c r="C1863">
        <v>2377</v>
      </c>
      <c r="D1863">
        <v>2323.1</v>
      </c>
      <c r="E1863" s="7">
        <v>2362.35</v>
      </c>
      <c r="F1863">
        <v>876924</v>
      </c>
      <c r="G1863" s="8">
        <f t="shared" si="290"/>
        <v>2354.15</v>
      </c>
      <c r="H1863" s="9">
        <f t="shared" si="291"/>
        <v>2064410634.6000001</v>
      </c>
      <c r="I1863" s="9">
        <f t="shared" si="284"/>
        <v>26991619543.599998</v>
      </c>
      <c r="J1863" s="9">
        <f t="shared" si="285"/>
        <v>11307156</v>
      </c>
      <c r="K1863" s="21">
        <f t="shared" si="286"/>
        <v>2387.1271912760376</v>
      </c>
      <c r="L1863" s="4" t="str">
        <f t="shared" si="282"/>
        <v>SELL</v>
      </c>
      <c r="M1863" s="4">
        <f t="shared" si="287"/>
        <v>0</v>
      </c>
      <c r="N1863" s="4">
        <f t="shared" si="283"/>
        <v>-1</v>
      </c>
      <c r="O1863" s="4">
        <f t="shared" si="288"/>
        <v>2521.6</v>
      </c>
      <c r="P1863" s="4">
        <f t="shared" si="289"/>
        <v>0</v>
      </c>
    </row>
    <row r="1864" spans="1:16" x14ac:dyDescent="0.25">
      <c r="A1864" s="1">
        <v>43886</v>
      </c>
      <c r="B1864">
        <v>2357.4</v>
      </c>
      <c r="C1864">
        <v>2383.0500000000002</v>
      </c>
      <c r="D1864">
        <v>2343.1</v>
      </c>
      <c r="E1864" s="7">
        <v>2373.6</v>
      </c>
      <c r="F1864">
        <v>737978</v>
      </c>
      <c r="G1864" s="8">
        <f t="shared" si="290"/>
        <v>2366.5833333333335</v>
      </c>
      <c r="H1864" s="9">
        <f t="shared" si="291"/>
        <v>1746486435.1666667</v>
      </c>
      <c r="I1864" s="9">
        <f t="shared" si="284"/>
        <v>25788936606.899998</v>
      </c>
      <c r="J1864" s="9">
        <f t="shared" si="285"/>
        <v>10819921</v>
      </c>
      <c r="K1864" s="21">
        <f t="shared" si="286"/>
        <v>2383.4681054418047</v>
      </c>
      <c r="L1864" s="4" t="str">
        <f t="shared" si="282"/>
        <v>SELL</v>
      </c>
      <c r="M1864" s="4">
        <f t="shared" si="287"/>
        <v>0</v>
      </c>
      <c r="N1864" s="4">
        <f t="shared" si="283"/>
        <v>-1</v>
      </c>
      <c r="O1864" s="4">
        <f t="shared" si="288"/>
        <v>2521.6</v>
      </c>
      <c r="P1864" s="4">
        <f t="shared" si="289"/>
        <v>0</v>
      </c>
    </row>
    <row r="1865" spans="1:16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 s="7">
        <v>2366.85</v>
      </c>
      <c r="F1865">
        <v>607567</v>
      </c>
      <c r="G1865" s="8">
        <f t="shared" si="290"/>
        <v>2365.7833333333333</v>
      </c>
      <c r="H1865" s="9">
        <f t="shared" si="291"/>
        <v>1437371882.4833333</v>
      </c>
      <c r="I1865" s="9">
        <f t="shared" si="284"/>
        <v>25229811000.316666</v>
      </c>
      <c r="J1865" s="9">
        <f t="shared" si="285"/>
        <v>10605117</v>
      </c>
      <c r="K1865" s="21">
        <f t="shared" si="286"/>
        <v>2379.0224096836146</v>
      </c>
      <c r="L1865" s="4" t="str">
        <f t="shared" si="282"/>
        <v>SELL</v>
      </c>
      <c r="M1865" s="4">
        <f t="shared" si="287"/>
        <v>0</v>
      </c>
      <c r="N1865" s="4">
        <f t="shared" si="283"/>
        <v>-1</v>
      </c>
      <c r="O1865" s="4">
        <f t="shared" si="288"/>
        <v>2521.6</v>
      </c>
      <c r="P1865" s="4">
        <f t="shared" si="289"/>
        <v>0</v>
      </c>
    </row>
    <row r="1866" spans="1:16" x14ac:dyDescent="0.25">
      <c r="A1866" s="1">
        <v>43888</v>
      </c>
      <c r="B1866">
        <v>2360.8000000000002</v>
      </c>
      <c r="C1866">
        <v>2365</v>
      </c>
      <c r="D1866">
        <v>2345</v>
      </c>
      <c r="E1866" s="7">
        <v>2356</v>
      </c>
      <c r="F1866">
        <v>407928</v>
      </c>
      <c r="G1866" s="8">
        <f t="shared" si="290"/>
        <v>2355.3333333333335</v>
      </c>
      <c r="H1866" s="9">
        <f t="shared" si="291"/>
        <v>960806416.00000012</v>
      </c>
      <c r="I1866" s="9">
        <f t="shared" si="284"/>
        <v>24164775786.416668</v>
      </c>
      <c r="J1866" s="9">
        <f t="shared" si="285"/>
        <v>10177566</v>
      </c>
      <c r="K1866" s="21">
        <f t="shared" si="286"/>
        <v>2374.3177677665435</v>
      </c>
      <c r="L1866" s="4" t="str">
        <f t="shared" si="282"/>
        <v>SELL</v>
      </c>
      <c r="M1866" s="4">
        <f t="shared" si="287"/>
        <v>0</v>
      </c>
      <c r="N1866" s="4">
        <f t="shared" si="283"/>
        <v>-1</v>
      </c>
      <c r="O1866" s="4">
        <f t="shared" si="288"/>
        <v>2521.6</v>
      </c>
      <c r="P1866" s="4">
        <f t="shared" si="289"/>
        <v>0</v>
      </c>
    </row>
    <row r="1867" spans="1:16" x14ac:dyDescent="0.25">
      <c r="A1867" s="1">
        <v>43889</v>
      </c>
      <c r="B1867">
        <v>2359</v>
      </c>
      <c r="C1867">
        <v>2361.9</v>
      </c>
      <c r="D1867">
        <v>2340.1</v>
      </c>
      <c r="E1867" s="7">
        <v>2347.5500000000002</v>
      </c>
      <c r="F1867">
        <v>513394</v>
      </c>
      <c r="G1867" s="8">
        <f t="shared" si="290"/>
        <v>2349.85</v>
      </c>
      <c r="H1867" s="9">
        <f t="shared" si="291"/>
        <v>1206398890.8999999</v>
      </c>
      <c r="I1867" s="9">
        <f t="shared" si="284"/>
        <v>23369179845.366669</v>
      </c>
      <c r="J1867" s="9">
        <f t="shared" si="285"/>
        <v>9862051</v>
      </c>
      <c r="K1867" s="21">
        <f t="shared" si="286"/>
        <v>2369.6064688132997</v>
      </c>
      <c r="L1867" s="4" t="str">
        <f t="shared" ref="L1867:L1930" si="292">IF(E1867&gt;K1867,"BUY",IF(E1867&lt;K1867,"SELL",0))</f>
        <v>SELL</v>
      </c>
      <c r="M1867" s="4">
        <f t="shared" si="287"/>
        <v>0</v>
      </c>
      <c r="N1867" s="4">
        <f t="shared" ref="N1867:N1930" si="293">IF(M1867="BUY",1,IF(M1867="SELL",-1,N1866))</f>
        <v>-1</v>
      </c>
      <c r="O1867" s="4">
        <f t="shared" si="288"/>
        <v>2521.6</v>
      </c>
      <c r="P1867" s="4">
        <f t="shared" si="289"/>
        <v>0</v>
      </c>
    </row>
    <row r="1868" spans="1:16" x14ac:dyDescent="0.25">
      <c r="A1868" s="1">
        <v>43892</v>
      </c>
      <c r="B1868">
        <v>2350</v>
      </c>
      <c r="C1868">
        <v>2356.4499999999998</v>
      </c>
      <c r="D1868">
        <v>2325.5</v>
      </c>
      <c r="E1868" s="7">
        <v>2331.9499999999998</v>
      </c>
      <c r="F1868">
        <v>616045</v>
      </c>
      <c r="G1868" s="8">
        <f t="shared" si="290"/>
        <v>2337.9666666666667</v>
      </c>
      <c r="H1868" s="9">
        <f t="shared" si="291"/>
        <v>1440292675.1666667</v>
      </c>
      <c r="I1868" s="9">
        <f t="shared" ref="I1868:I1931" si="294">SUM(H1859:H1868)</f>
        <v>17867969400.583332</v>
      </c>
      <c r="J1868" s="9">
        <f t="shared" ref="J1868:J1931" si="295">SUM(F1859:F1868)</f>
        <v>7590155</v>
      </c>
      <c r="K1868" s="21">
        <f t="shared" ref="K1868:K1931" si="296">I1868/J1868</f>
        <v>2354.0980916178037</v>
      </c>
      <c r="L1868" s="4" t="str">
        <f t="shared" si="292"/>
        <v>SELL</v>
      </c>
      <c r="M1868" s="4">
        <f t="shared" ref="M1868:M1931" si="297">IF(L1868&lt;&gt;L1867,L1868,0)</f>
        <v>0</v>
      </c>
      <c r="N1868" s="4">
        <f t="shared" si="293"/>
        <v>-1</v>
      </c>
      <c r="O1868" s="4">
        <f t="shared" ref="O1868:O1931" si="298">IF(M1868&lt;&gt;0,E1868,O1867)</f>
        <v>2521.6</v>
      </c>
      <c r="P1868" s="4">
        <f t="shared" ref="P1868:P1931" si="299">IF(M1868="BUY",(O1867-O1868)/O1867,IF(M1868="SELL",(O1868-O1867)/O1867,0))</f>
        <v>0</v>
      </c>
    </row>
    <row r="1869" spans="1:16" x14ac:dyDescent="0.25">
      <c r="A1869" s="1">
        <v>43893</v>
      </c>
      <c r="B1869">
        <v>2341</v>
      </c>
      <c r="C1869">
        <v>2444.9</v>
      </c>
      <c r="D1869">
        <v>2341</v>
      </c>
      <c r="E1869" s="7">
        <v>2434.9499999999998</v>
      </c>
      <c r="F1869">
        <v>398392</v>
      </c>
      <c r="G1869" s="8">
        <f t="shared" si="290"/>
        <v>2406.9499999999998</v>
      </c>
      <c r="H1869" s="9">
        <f t="shared" si="291"/>
        <v>958909624.39999998</v>
      </c>
      <c r="I1869" s="9">
        <f t="shared" si="294"/>
        <v>17133877089.08333</v>
      </c>
      <c r="J1869" s="9">
        <f t="shared" si="295"/>
        <v>7276169</v>
      </c>
      <c r="K1869" s="21">
        <f t="shared" si="296"/>
        <v>2354.7937230544439</v>
      </c>
      <c r="L1869" s="4" t="str">
        <f t="shared" si="292"/>
        <v>BUY</v>
      </c>
      <c r="M1869" s="4" t="str">
        <f t="shared" si="297"/>
        <v>BUY</v>
      </c>
      <c r="N1869" s="4">
        <f t="shared" si="293"/>
        <v>1</v>
      </c>
      <c r="O1869" s="4">
        <f t="shared" si="298"/>
        <v>2434.9499999999998</v>
      </c>
      <c r="P1869" s="4">
        <f t="shared" si="299"/>
        <v>3.4363102791878208E-2</v>
      </c>
    </row>
    <row r="1870" spans="1:16" x14ac:dyDescent="0.25">
      <c r="A1870" s="1">
        <v>43894</v>
      </c>
      <c r="B1870">
        <v>2426</v>
      </c>
      <c r="C1870">
        <v>2514.8000000000002</v>
      </c>
      <c r="D1870">
        <v>2426</v>
      </c>
      <c r="E1870" s="7">
        <v>2475.8000000000002</v>
      </c>
      <c r="F1870">
        <v>1768752</v>
      </c>
      <c r="G1870" s="8">
        <f t="shared" si="290"/>
        <v>2472.2000000000003</v>
      </c>
      <c r="H1870" s="9">
        <f t="shared" si="291"/>
        <v>4372708694.4000006</v>
      </c>
      <c r="I1870" s="9">
        <f t="shared" si="294"/>
        <v>19183737180.233334</v>
      </c>
      <c r="J1870" s="9">
        <f t="shared" si="295"/>
        <v>8057756</v>
      </c>
      <c r="K1870" s="21">
        <f t="shared" si="296"/>
        <v>2380.7791127248497</v>
      </c>
      <c r="L1870" s="4" t="str">
        <f t="shared" si="292"/>
        <v>BUY</v>
      </c>
      <c r="M1870" s="4">
        <f t="shared" si="297"/>
        <v>0</v>
      </c>
      <c r="N1870" s="4">
        <f t="shared" si="293"/>
        <v>1</v>
      </c>
      <c r="O1870" s="4">
        <f t="shared" si="298"/>
        <v>2434.9499999999998</v>
      </c>
      <c r="P1870" s="4">
        <f t="shared" si="299"/>
        <v>0</v>
      </c>
    </row>
    <row r="1871" spans="1:16" x14ac:dyDescent="0.25">
      <c r="A1871" s="1">
        <v>43895</v>
      </c>
      <c r="B1871">
        <v>2482.5</v>
      </c>
      <c r="C1871">
        <v>2483.3000000000002</v>
      </c>
      <c r="D1871">
        <v>2430.1</v>
      </c>
      <c r="E1871" s="7">
        <v>2439.4499999999998</v>
      </c>
      <c r="F1871">
        <v>1323225</v>
      </c>
      <c r="G1871" s="8">
        <f t="shared" si="290"/>
        <v>2450.9499999999998</v>
      </c>
      <c r="H1871" s="9">
        <f t="shared" si="291"/>
        <v>3243158313.7499995</v>
      </c>
      <c r="I1871" s="9">
        <f t="shared" si="294"/>
        <v>20326040543.266666</v>
      </c>
      <c r="J1871" s="9">
        <f t="shared" si="295"/>
        <v>8486118</v>
      </c>
      <c r="K1871" s="21">
        <f t="shared" si="296"/>
        <v>2395.2106891828121</v>
      </c>
      <c r="L1871" s="4" t="str">
        <f t="shared" si="292"/>
        <v>BUY</v>
      </c>
      <c r="M1871" s="4">
        <f t="shared" si="297"/>
        <v>0</v>
      </c>
      <c r="N1871" s="4">
        <f t="shared" si="293"/>
        <v>1</v>
      </c>
      <c r="O1871" s="4">
        <f t="shared" si="298"/>
        <v>2434.9499999999998</v>
      </c>
      <c r="P1871" s="4">
        <f t="shared" si="299"/>
        <v>0</v>
      </c>
    </row>
    <row r="1872" spans="1:16" x14ac:dyDescent="0.25">
      <c r="A1872" s="1">
        <v>43896</v>
      </c>
      <c r="B1872">
        <v>2445</v>
      </c>
      <c r="C1872">
        <v>2472</v>
      </c>
      <c r="D1872">
        <v>2426.6</v>
      </c>
      <c r="E1872" s="7">
        <v>2446.4</v>
      </c>
      <c r="F1872">
        <v>1565980</v>
      </c>
      <c r="G1872" s="8">
        <f t="shared" si="290"/>
        <v>2448.3333333333335</v>
      </c>
      <c r="H1872" s="9">
        <f t="shared" si="291"/>
        <v>3834041033.3333335</v>
      </c>
      <c r="I1872" s="9">
        <f t="shared" si="294"/>
        <v>21264584600.199997</v>
      </c>
      <c r="J1872" s="9">
        <f t="shared" si="295"/>
        <v>8816185</v>
      </c>
      <c r="K1872" s="21">
        <f t="shared" si="296"/>
        <v>2411.9939180269012</v>
      </c>
      <c r="L1872" s="4" t="str">
        <f t="shared" si="292"/>
        <v>BUY</v>
      </c>
      <c r="M1872" s="4">
        <f t="shared" si="297"/>
        <v>0</v>
      </c>
      <c r="N1872" s="4">
        <f t="shared" si="293"/>
        <v>1</v>
      </c>
      <c r="O1872" s="4">
        <f t="shared" si="298"/>
        <v>2434.9499999999998</v>
      </c>
      <c r="P1872" s="4">
        <f t="shared" si="299"/>
        <v>0</v>
      </c>
    </row>
    <row r="1873" spans="1:16" x14ac:dyDescent="0.25">
      <c r="A1873" s="1">
        <v>43899</v>
      </c>
      <c r="B1873">
        <v>2383</v>
      </c>
      <c r="C1873">
        <v>2425</v>
      </c>
      <c r="D1873">
        <v>2375</v>
      </c>
      <c r="E1873" s="7">
        <v>2397.4499999999998</v>
      </c>
      <c r="F1873">
        <v>2254216</v>
      </c>
      <c r="G1873" s="8">
        <f t="shared" si="290"/>
        <v>2399.15</v>
      </c>
      <c r="H1873" s="9">
        <f t="shared" si="291"/>
        <v>5408202316.4000006</v>
      </c>
      <c r="I1873" s="9">
        <f t="shared" si="294"/>
        <v>24608376282</v>
      </c>
      <c r="J1873" s="9">
        <f t="shared" si="295"/>
        <v>10193477</v>
      </c>
      <c r="K1873" s="21">
        <f t="shared" si="296"/>
        <v>2414.1297696556335</v>
      </c>
      <c r="L1873" s="4" t="str">
        <f t="shared" si="292"/>
        <v>SELL</v>
      </c>
      <c r="M1873" s="4" t="str">
        <f t="shared" si="297"/>
        <v>SELL</v>
      </c>
      <c r="N1873" s="4">
        <f t="shared" si="293"/>
        <v>-1</v>
      </c>
      <c r="O1873" s="4">
        <f t="shared" si="298"/>
        <v>2397.4499999999998</v>
      </c>
      <c r="P1873" s="4">
        <f t="shared" si="299"/>
        <v>-1.5400726914310357E-2</v>
      </c>
    </row>
    <row r="1874" spans="1:16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 s="7">
        <v>2395.4499999999998</v>
      </c>
      <c r="F1874">
        <v>1105911</v>
      </c>
      <c r="G1874" s="8">
        <f t="shared" si="290"/>
        <v>2399.9166666666665</v>
      </c>
      <c r="H1874" s="9">
        <f t="shared" si="291"/>
        <v>2654094240.75</v>
      </c>
      <c r="I1874" s="9">
        <f t="shared" si="294"/>
        <v>25515984087.583336</v>
      </c>
      <c r="J1874" s="9">
        <f t="shared" si="295"/>
        <v>10561410</v>
      </c>
      <c r="K1874" s="21">
        <f t="shared" si="296"/>
        <v>2415.9637858565602</v>
      </c>
      <c r="L1874" s="4" t="str">
        <f t="shared" si="292"/>
        <v>SELL</v>
      </c>
      <c r="M1874" s="4">
        <f t="shared" si="297"/>
        <v>0</v>
      </c>
      <c r="N1874" s="4">
        <f t="shared" si="293"/>
        <v>-1</v>
      </c>
      <c r="O1874" s="4">
        <f t="shared" si="298"/>
        <v>2397.4499999999998</v>
      </c>
      <c r="P1874" s="4">
        <f t="shared" si="299"/>
        <v>0</v>
      </c>
    </row>
    <row r="1875" spans="1:16" x14ac:dyDescent="0.25">
      <c r="A1875" s="1">
        <v>43901</v>
      </c>
      <c r="B1875">
        <v>2396.15</v>
      </c>
      <c r="C1875">
        <v>2443</v>
      </c>
      <c r="D1875">
        <v>2396.15</v>
      </c>
      <c r="E1875" s="7">
        <v>2408.35</v>
      </c>
      <c r="F1875">
        <v>954001</v>
      </c>
      <c r="G1875" s="8">
        <f t="shared" si="290"/>
        <v>2415.8333333333335</v>
      </c>
      <c r="H1875" s="9">
        <f t="shared" si="291"/>
        <v>2304707415.8333335</v>
      </c>
      <c r="I1875" s="9">
        <f t="shared" si="294"/>
        <v>26383319620.933334</v>
      </c>
      <c r="J1875" s="9">
        <f t="shared" si="295"/>
        <v>10907844</v>
      </c>
      <c r="K1875" s="21">
        <f t="shared" si="296"/>
        <v>2418.7474280832521</v>
      </c>
      <c r="L1875" s="4" t="str">
        <f t="shared" si="292"/>
        <v>SELL</v>
      </c>
      <c r="M1875" s="4">
        <f t="shared" si="297"/>
        <v>0</v>
      </c>
      <c r="N1875" s="4">
        <f t="shared" si="293"/>
        <v>-1</v>
      </c>
      <c r="O1875" s="4">
        <f t="shared" si="298"/>
        <v>2397.4499999999998</v>
      </c>
      <c r="P1875" s="4">
        <f t="shared" si="299"/>
        <v>0</v>
      </c>
    </row>
    <row r="1876" spans="1:16" x14ac:dyDescent="0.25">
      <c r="A1876" s="1">
        <v>43902</v>
      </c>
      <c r="B1876">
        <v>2415.5</v>
      </c>
      <c r="C1876">
        <v>2460</v>
      </c>
      <c r="D1876">
        <v>2415.1</v>
      </c>
      <c r="E1876" s="7">
        <v>2449.6</v>
      </c>
      <c r="F1876">
        <v>1957788</v>
      </c>
      <c r="G1876" s="8">
        <f t="shared" si="290"/>
        <v>2441.5666666666671</v>
      </c>
      <c r="H1876" s="9">
        <f t="shared" si="291"/>
        <v>4780069921.2000008</v>
      </c>
      <c r="I1876" s="9">
        <f t="shared" si="294"/>
        <v>30202583126.133335</v>
      </c>
      <c r="J1876" s="9">
        <f t="shared" si="295"/>
        <v>12457704</v>
      </c>
      <c r="K1876" s="21">
        <f t="shared" si="296"/>
        <v>2424.4100779833375</v>
      </c>
      <c r="L1876" s="4" t="str">
        <f t="shared" si="292"/>
        <v>BUY</v>
      </c>
      <c r="M1876" s="4" t="str">
        <f t="shared" si="297"/>
        <v>BUY</v>
      </c>
      <c r="N1876" s="4">
        <f t="shared" si="293"/>
        <v>1</v>
      </c>
      <c r="O1876" s="4">
        <f t="shared" si="298"/>
        <v>2449.6</v>
      </c>
      <c r="P1876" s="4">
        <f t="shared" si="299"/>
        <v>-2.1752278462533147E-2</v>
      </c>
    </row>
    <row r="1877" spans="1:16" x14ac:dyDescent="0.25">
      <c r="A1877" s="1">
        <v>43903</v>
      </c>
      <c r="B1877">
        <v>2449.25</v>
      </c>
      <c r="C1877">
        <v>2456.9</v>
      </c>
      <c r="D1877">
        <v>2430.5</v>
      </c>
      <c r="E1877" s="7">
        <v>2444.6999999999998</v>
      </c>
      <c r="F1877">
        <v>591252</v>
      </c>
      <c r="G1877" s="8">
        <f t="shared" si="290"/>
        <v>2444.0333333333333</v>
      </c>
      <c r="H1877" s="9">
        <f t="shared" si="291"/>
        <v>1445039596.4000001</v>
      </c>
      <c r="I1877" s="9">
        <f t="shared" si="294"/>
        <v>30441223831.633335</v>
      </c>
      <c r="J1877" s="9">
        <f t="shared" si="295"/>
        <v>12535562</v>
      </c>
      <c r="K1877" s="21">
        <f t="shared" si="296"/>
        <v>2428.3892362889942</v>
      </c>
      <c r="L1877" s="4" t="str">
        <f t="shared" si="292"/>
        <v>BUY</v>
      </c>
      <c r="M1877" s="4">
        <f t="shared" si="297"/>
        <v>0</v>
      </c>
      <c r="N1877" s="4">
        <f t="shared" si="293"/>
        <v>1</v>
      </c>
      <c r="O1877" s="4">
        <f t="shared" si="298"/>
        <v>2449.6</v>
      </c>
      <c r="P1877" s="4">
        <f t="shared" si="299"/>
        <v>0</v>
      </c>
    </row>
    <row r="1878" spans="1:16" x14ac:dyDescent="0.25">
      <c r="A1878" s="1">
        <v>43906</v>
      </c>
      <c r="B1878">
        <v>2434.9</v>
      </c>
      <c r="C1878">
        <v>2500</v>
      </c>
      <c r="D1878">
        <v>2434.5500000000002</v>
      </c>
      <c r="E1878" s="7">
        <v>2491.1999999999998</v>
      </c>
      <c r="F1878">
        <v>1074208</v>
      </c>
      <c r="G1878" s="8">
        <f t="shared" si="290"/>
        <v>2475.25</v>
      </c>
      <c r="H1878" s="9">
        <f t="shared" si="291"/>
        <v>2658933352</v>
      </c>
      <c r="I1878" s="9">
        <f t="shared" si="294"/>
        <v>31659864508.466667</v>
      </c>
      <c r="J1878" s="9">
        <f t="shared" si="295"/>
        <v>12993725</v>
      </c>
      <c r="K1878" s="21">
        <f t="shared" si="296"/>
        <v>2436.5502970446632</v>
      </c>
      <c r="L1878" s="4" t="str">
        <f t="shared" si="292"/>
        <v>BUY</v>
      </c>
      <c r="M1878" s="4">
        <f t="shared" si="297"/>
        <v>0</v>
      </c>
      <c r="N1878" s="4">
        <f t="shared" si="293"/>
        <v>1</v>
      </c>
      <c r="O1878" s="4">
        <f t="shared" si="298"/>
        <v>2449.6</v>
      </c>
      <c r="P1878" s="4">
        <f t="shared" si="299"/>
        <v>0</v>
      </c>
    </row>
    <row r="1879" spans="1:16" x14ac:dyDescent="0.25">
      <c r="A1879" s="1">
        <v>43907</v>
      </c>
      <c r="B1879">
        <v>2482</v>
      </c>
      <c r="C1879">
        <v>2540</v>
      </c>
      <c r="D1879">
        <v>2482</v>
      </c>
      <c r="E1879" s="7">
        <v>2530.6999999999998</v>
      </c>
      <c r="F1879">
        <v>1135701</v>
      </c>
      <c r="G1879" s="8">
        <f t="shared" si="290"/>
        <v>2517.5666666666666</v>
      </c>
      <c r="H1879" s="9">
        <f t="shared" si="291"/>
        <v>2859202980.9000001</v>
      </c>
      <c r="I1879" s="9">
        <f t="shared" si="294"/>
        <v>33560157864.966671</v>
      </c>
      <c r="J1879" s="9">
        <f t="shared" si="295"/>
        <v>13731034</v>
      </c>
      <c r="K1879" s="21">
        <f t="shared" si="296"/>
        <v>2444.1100258703509</v>
      </c>
      <c r="L1879" s="4" t="str">
        <f t="shared" si="292"/>
        <v>BUY</v>
      </c>
      <c r="M1879" s="4">
        <f t="shared" si="297"/>
        <v>0</v>
      </c>
      <c r="N1879" s="4">
        <f t="shared" si="293"/>
        <v>1</v>
      </c>
      <c r="O1879" s="4">
        <f t="shared" si="298"/>
        <v>2449.6</v>
      </c>
      <c r="P1879" s="4">
        <f t="shared" si="299"/>
        <v>0</v>
      </c>
    </row>
    <row r="1880" spans="1:16" x14ac:dyDescent="0.25">
      <c r="A1880" s="1">
        <v>43908</v>
      </c>
      <c r="B1880">
        <v>2525.75</v>
      </c>
      <c r="C1880">
        <v>2580</v>
      </c>
      <c r="D1880">
        <v>2518.4</v>
      </c>
      <c r="E1880" s="7">
        <v>2571.5</v>
      </c>
      <c r="F1880">
        <v>1339416</v>
      </c>
      <c r="G1880" s="8">
        <f t="shared" si="290"/>
        <v>2556.6333333333332</v>
      </c>
      <c r="H1880" s="9">
        <f t="shared" si="291"/>
        <v>3424395592.7999997</v>
      </c>
      <c r="I1880" s="9">
        <f t="shared" si="294"/>
        <v>32611844763.366669</v>
      </c>
      <c r="J1880" s="9">
        <f t="shared" si="295"/>
        <v>13301698</v>
      </c>
      <c r="K1880" s="21">
        <f t="shared" si="296"/>
        <v>2451.705396060463</v>
      </c>
      <c r="L1880" s="4" t="str">
        <f t="shared" si="292"/>
        <v>BUY</v>
      </c>
      <c r="M1880" s="4">
        <f t="shared" si="297"/>
        <v>0</v>
      </c>
      <c r="N1880" s="4">
        <f t="shared" si="293"/>
        <v>1</v>
      </c>
      <c r="O1880" s="4">
        <f t="shared" si="298"/>
        <v>2449.6</v>
      </c>
      <c r="P1880" s="4">
        <f t="shared" si="299"/>
        <v>0</v>
      </c>
    </row>
    <row r="1881" spans="1:16" x14ac:dyDescent="0.25">
      <c r="A1881" s="1">
        <v>43909</v>
      </c>
      <c r="B1881">
        <v>2560</v>
      </c>
      <c r="C1881">
        <v>2575</v>
      </c>
      <c r="D1881">
        <v>2547</v>
      </c>
      <c r="E1881" s="7">
        <v>2556</v>
      </c>
      <c r="F1881">
        <v>729913</v>
      </c>
      <c r="G1881" s="8">
        <f t="shared" si="290"/>
        <v>2559.3333333333335</v>
      </c>
      <c r="H1881" s="9">
        <f t="shared" si="291"/>
        <v>1868090671.3333335</v>
      </c>
      <c r="I1881" s="9">
        <f t="shared" si="294"/>
        <v>31236777120.950005</v>
      </c>
      <c r="J1881" s="9">
        <f t="shared" si="295"/>
        <v>12708386</v>
      </c>
      <c r="K1881" s="21">
        <f t="shared" si="296"/>
        <v>2457.9657181446964</v>
      </c>
      <c r="L1881" s="4" t="str">
        <f t="shared" si="292"/>
        <v>BUY</v>
      </c>
      <c r="M1881" s="4">
        <f t="shared" si="297"/>
        <v>0</v>
      </c>
      <c r="N1881" s="4">
        <f t="shared" si="293"/>
        <v>1</v>
      </c>
      <c r="O1881" s="4">
        <f t="shared" si="298"/>
        <v>2449.6</v>
      </c>
      <c r="P1881" s="4">
        <f t="shared" si="299"/>
        <v>0</v>
      </c>
    </row>
    <row r="1882" spans="1:16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 s="7">
        <v>2481.6999999999998</v>
      </c>
      <c r="F1882">
        <v>2127652</v>
      </c>
      <c r="G1882" s="8">
        <f t="shared" si="290"/>
        <v>2511</v>
      </c>
      <c r="H1882" s="9">
        <f t="shared" si="291"/>
        <v>5342534172</v>
      </c>
      <c r="I1882" s="9">
        <f t="shared" si="294"/>
        <v>32745270259.616669</v>
      </c>
      <c r="J1882" s="9">
        <f t="shared" si="295"/>
        <v>13270058</v>
      </c>
      <c r="K1882" s="21">
        <f t="shared" si="296"/>
        <v>2467.6056622824608</v>
      </c>
      <c r="L1882" s="4" t="str">
        <f t="shared" si="292"/>
        <v>BUY</v>
      </c>
      <c r="M1882" s="4">
        <f t="shared" si="297"/>
        <v>0</v>
      </c>
      <c r="N1882" s="4">
        <f t="shared" si="293"/>
        <v>1</v>
      </c>
      <c r="O1882" s="4">
        <f t="shared" si="298"/>
        <v>2449.6</v>
      </c>
      <c r="P1882" s="4">
        <f t="shared" si="299"/>
        <v>0</v>
      </c>
    </row>
    <row r="1883" spans="1:16" x14ac:dyDescent="0.25">
      <c r="A1883" s="1">
        <v>43913</v>
      </c>
      <c r="B1883">
        <v>2481</v>
      </c>
      <c r="C1883">
        <v>2493.0500000000002</v>
      </c>
      <c r="D1883">
        <v>2442</v>
      </c>
      <c r="E1883" s="7">
        <v>2484.3000000000002</v>
      </c>
      <c r="F1883">
        <v>691376</v>
      </c>
      <c r="G1883" s="8">
        <f t="shared" si="290"/>
        <v>2473.1166666666668</v>
      </c>
      <c r="H1883" s="9">
        <f t="shared" si="291"/>
        <v>1709853508.5333333</v>
      </c>
      <c r="I1883" s="9">
        <f t="shared" si="294"/>
        <v>29046921451.75</v>
      </c>
      <c r="J1883" s="9">
        <f t="shared" si="295"/>
        <v>11707218</v>
      </c>
      <c r="K1883" s="21">
        <f t="shared" si="296"/>
        <v>2481.1122037490036</v>
      </c>
      <c r="L1883" s="4" t="str">
        <f t="shared" si="292"/>
        <v>BUY</v>
      </c>
      <c r="M1883" s="4">
        <f t="shared" si="297"/>
        <v>0</v>
      </c>
      <c r="N1883" s="4">
        <f t="shared" si="293"/>
        <v>1</v>
      </c>
      <c r="O1883" s="4">
        <f t="shared" si="298"/>
        <v>2449.6</v>
      </c>
      <c r="P1883" s="4">
        <f t="shared" si="299"/>
        <v>0</v>
      </c>
    </row>
    <row r="1884" spans="1:16" x14ac:dyDescent="0.25">
      <c r="A1884" s="1">
        <v>43914</v>
      </c>
      <c r="B1884">
        <v>2471</v>
      </c>
      <c r="C1884">
        <v>2519</v>
      </c>
      <c r="D1884">
        <v>2463</v>
      </c>
      <c r="E1884" s="7">
        <v>2491.8000000000002</v>
      </c>
      <c r="F1884">
        <v>1009831</v>
      </c>
      <c r="G1884" s="8">
        <f t="shared" si="290"/>
        <v>2491.2666666666669</v>
      </c>
      <c r="H1884" s="9">
        <f t="shared" si="291"/>
        <v>2515758309.2666669</v>
      </c>
      <c r="I1884" s="9">
        <f t="shared" si="294"/>
        <v>28908585520.266666</v>
      </c>
      <c r="J1884" s="9">
        <f t="shared" si="295"/>
        <v>11611138</v>
      </c>
      <c r="K1884" s="21">
        <f t="shared" si="296"/>
        <v>2489.7288724211758</v>
      </c>
      <c r="L1884" s="4" t="str">
        <f t="shared" si="292"/>
        <v>BUY</v>
      </c>
      <c r="M1884" s="4">
        <f t="shared" si="297"/>
        <v>0</v>
      </c>
      <c r="N1884" s="4">
        <f t="shared" si="293"/>
        <v>1</v>
      </c>
      <c r="O1884" s="4">
        <f t="shared" si="298"/>
        <v>2449.6</v>
      </c>
      <c r="P1884" s="4">
        <f t="shared" si="299"/>
        <v>0</v>
      </c>
    </row>
    <row r="1885" spans="1:16" x14ac:dyDescent="0.25">
      <c r="A1885" s="1">
        <v>43915</v>
      </c>
      <c r="B1885">
        <v>2500</v>
      </c>
      <c r="C1885">
        <v>2520.75</v>
      </c>
      <c r="D1885">
        <v>2491</v>
      </c>
      <c r="E1885" s="7">
        <v>2501.65</v>
      </c>
      <c r="F1885">
        <v>873730</v>
      </c>
      <c r="G1885" s="8">
        <f t="shared" si="290"/>
        <v>2504.4666666666667</v>
      </c>
      <c r="H1885" s="9">
        <f t="shared" si="291"/>
        <v>2188227660.6666665</v>
      </c>
      <c r="I1885" s="9">
        <f t="shared" si="294"/>
        <v>28792105765.099998</v>
      </c>
      <c r="J1885" s="9">
        <f t="shared" si="295"/>
        <v>11530867</v>
      </c>
      <c r="K1885" s="21">
        <f t="shared" si="296"/>
        <v>2496.9593149500379</v>
      </c>
      <c r="L1885" s="4" t="str">
        <f t="shared" si="292"/>
        <v>BUY</v>
      </c>
      <c r="M1885" s="4">
        <f t="shared" si="297"/>
        <v>0</v>
      </c>
      <c r="N1885" s="4">
        <f t="shared" si="293"/>
        <v>1</v>
      </c>
      <c r="O1885" s="4">
        <f t="shared" si="298"/>
        <v>2449.6</v>
      </c>
      <c r="P1885" s="4">
        <f t="shared" si="299"/>
        <v>0</v>
      </c>
    </row>
    <row r="1886" spans="1:16" x14ac:dyDescent="0.25">
      <c r="A1886" s="1">
        <v>43916</v>
      </c>
      <c r="B1886">
        <v>2500</v>
      </c>
      <c r="C1886">
        <v>2508</v>
      </c>
      <c r="D1886">
        <v>2462</v>
      </c>
      <c r="E1886" s="7">
        <v>2473.8000000000002</v>
      </c>
      <c r="F1886">
        <v>625512</v>
      </c>
      <c r="G1886" s="8">
        <f t="shared" si="290"/>
        <v>2481.2666666666669</v>
      </c>
      <c r="H1886" s="9">
        <f t="shared" si="291"/>
        <v>1552062075.2</v>
      </c>
      <c r="I1886" s="9">
        <f t="shared" si="294"/>
        <v>25564097919.100002</v>
      </c>
      <c r="J1886" s="9">
        <f t="shared" si="295"/>
        <v>10198591</v>
      </c>
      <c r="K1886" s="21">
        <f t="shared" si="296"/>
        <v>2506.6303687538802</v>
      </c>
      <c r="L1886" s="4" t="str">
        <f t="shared" si="292"/>
        <v>SELL</v>
      </c>
      <c r="M1886" s="4" t="str">
        <f t="shared" si="297"/>
        <v>SELL</v>
      </c>
      <c r="N1886" s="4">
        <f t="shared" si="293"/>
        <v>-1</v>
      </c>
      <c r="O1886" s="4">
        <f t="shared" si="298"/>
        <v>2473.8000000000002</v>
      </c>
      <c r="P1886" s="4">
        <f t="shared" si="299"/>
        <v>9.8791639451340108E-3</v>
      </c>
    </row>
    <row r="1887" spans="1:16" x14ac:dyDescent="0.25">
      <c r="A1887" s="1">
        <v>43917</v>
      </c>
      <c r="B1887">
        <v>2480</v>
      </c>
      <c r="C1887">
        <v>2502</v>
      </c>
      <c r="D1887">
        <v>2466.4499999999998</v>
      </c>
      <c r="E1887" s="7">
        <v>2489.4499999999998</v>
      </c>
      <c r="F1887">
        <v>941274</v>
      </c>
      <c r="G1887" s="8">
        <f t="shared" si="290"/>
        <v>2485.9666666666667</v>
      </c>
      <c r="H1887" s="9">
        <f t="shared" si="291"/>
        <v>2339975788.1999998</v>
      </c>
      <c r="I1887" s="9">
        <f t="shared" si="294"/>
        <v>26459034110.900002</v>
      </c>
      <c r="J1887" s="9">
        <f t="shared" si="295"/>
        <v>10548613</v>
      </c>
      <c r="K1887" s="21">
        <f t="shared" si="296"/>
        <v>2508.2950821022632</v>
      </c>
      <c r="L1887" s="4" t="str">
        <f t="shared" si="292"/>
        <v>SELL</v>
      </c>
      <c r="M1887" s="4">
        <f t="shared" si="297"/>
        <v>0</v>
      </c>
      <c r="N1887" s="4">
        <f t="shared" si="293"/>
        <v>-1</v>
      </c>
      <c r="O1887" s="4">
        <f t="shared" si="298"/>
        <v>2473.8000000000002</v>
      </c>
      <c r="P1887" s="4">
        <f t="shared" si="299"/>
        <v>0</v>
      </c>
    </row>
    <row r="1888" spans="1:16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 s="7">
        <v>2522.8000000000002</v>
      </c>
      <c r="F1888">
        <v>693945</v>
      </c>
      <c r="G1888" s="8">
        <f t="shared" si="290"/>
        <v>2513.0333333333333</v>
      </c>
      <c r="H1888" s="9">
        <f t="shared" si="291"/>
        <v>1743906916.5</v>
      </c>
      <c r="I1888" s="9">
        <f t="shared" si="294"/>
        <v>25544007675.400002</v>
      </c>
      <c r="J1888" s="9">
        <f t="shared" si="295"/>
        <v>10168350</v>
      </c>
      <c r="K1888" s="21">
        <f t="shared" si="296"/>
        <v>2512.1094056951229</v>
      </c>
      <c r="L1888" s="4" t="str">
        <f t="shared" si="292"/>
        <v>BUY</v>
      </c>
      <c r="M1888" s="4" t="str">
        <f t="shared" si="297"/>
        <v>BUY</v>
      </c>
      <c r="N1888" s="4">
        <f t="shared" si="293"/>
        <v>1</v>
      </c>
      <c r="O1888" s="4">
        <f t="shared" si="298"/>
        <v>2522.8000000000002</v>
      </c>
      <c r="P1888" s="4">
        <f t="shared" si="299"/>
        <v>-1.9807583474816072E-2</v>
      </c>
    </row>
    <row r="1889" spans="1:16" x14ac:dyDescent="0.25">
      <c r="A1889" s="1">
        <v>43921</v>
      </c>
      <c r="B1889">
        <v>2516.5</v>
      </c>
      <c r="C1889">
        <v>2520</v>
      </c>
      <c r="D1889">
        <v>2481.1999999999998</v>
      </c>
      <c r="E1889" s="7">
        <v>2503.4499999999998</v>
      </c>
      <c r="F1889">
        <v>942760</v>
      </c>
      <c r="G1889" s="8">
        <f t="shared" si="290"/>
        <v>2501.5499999999997</v>
      </c>
      <c r="H1889" s="9">
        <f t="shared" si="291"/>
        <v>2358361277.9999995</v>
      </c>
      <c r="I1889" s="9">
        <f t="shared" si="294"/>
        <v>25043165972.5</v>
      </c>
      <c r="J1889" s="9">
        <f t="shared" si="295"/>
        <v>9975409</v>
      </c>
      <c r="K1889" s="21">
        <f t="shared" si="296"/>
        <v>2510.4901435620336</v>
      </c>
      <c r="L1889" s="4" t="str">
        <f t="shared" si="292"/>
        <v>SELL</v>
      </c>
      <c r="M1889" s="4" t="str">
        <f t="shared" si="297"/>
        <v>SELL</v>
      </c>
      <c r="N1889" s="4">
        <f t="shared" si="293"/>
        <v>-1</v>
      </c>
      <c r="O1889" s="4">
        <f t="shared" si="298"/>
        <v>2503.4499999999998</v>
      </c>
      <c r="P1889" s="4">
        <f t="shared" si="299"/>
        <v>-7.6700491517363101E-3</v>
      </c>
    </row>
    <row r="1890" spans="1:16" x14ac:dyDescent="0.25">
      <c r="A1890" s="1">
        <v>43922</v>
      </c>
      <c r="B1890">
        <v>2512</v>
      </c>
      <c r="C1890">
        <v>2528.6</v>
      </c>
      <c r="D1890">
        <v>2496.3000000000002</v>
      </c>
      <c r="E1890" s="7">
        <v>2503.0500000000002</v>
      </c>
      <c r="F1890">
        <v>536979</v>
      </c>
      <c r="G1890" s="8">
        <f t="shared" si="290"/>
        <v>2509.3166666666666</v>
      </c>
      <c r="H1890" s="9">
        <f t="shared" si="291"/>
        <v>1347450354.3499999</v>
      </c>
      <c r="I1890" s="9">
        <f t="shared" si="294"/>
        <v>22966220734.049999</v>
      </c>
      <c r="J1890" s="9">
        <f t="shared" si="295"/>
        <v>9172972</v>
      </c>
      <c r="K1890" s="21">
        <f t="shared" si="296"/>
        <v>2503.6837280272957</v>
      </c>
      <c r="L1890" s="4" t="str">
        <f t="shared" si="292"/>
        <v>SELL</v>
      </c>
      <c r="M1890" s="4">
        <f t="shared" si="297"/>
        <v>0</v>
      </c>
      <c r="N1890" s="4">
        <f t="shared" si="293"/>
        <v>-1</v>
      </c>
      <c r="O1890" s="4">
        <f t="shared" si="298"/>
        <v>2503.4499999999998</v>
      </c>
      <c r="P1890" s="4">
        <f t="shared" si="299"/>
        <v>0</v>
      </c>
    </row>
    <row r="1891" spans="1:16" x14ac:dyDescent="0.25">
      <c r="A1891" s="1">
        <v>43923</v>
      </c>
      <c r="B1891">
        <v>2500</v>
      </c>
      <c r="C1891">
        <v>2522.85</v>
      </c>
      <c r="D1891">
        <v>2493.3000000000002</v>
      </c>
      <c r="E1891" s="7">
        <v>2512</v>
      </c>
      <c r="F1891">
        <v>496473</v>
      </c>
      <c r="G1891" s="8">
        <f t="shared" si="290"/>
        <v>2509.3833333333332</v>
      </c>
      <c r="H1891" s="9">
        <f t="shared" si="291"/>
        <v>1245841071.6499999</v>
      </c>
      <c r="I1891" s="9">
        <f t="shared" si="294"/>
        <v>22343971134.366665</v>
      </c>
      <c r="J1891" s="9">
        <f t="shared" si="295"/>
        <v>8939532</v>
      </c>
      <c r="K1891" s="21">
        <f t="shared" si="296"/>
        <v>2499.4564742725529</v>
      </c>
      <c r="L1891" s="4" t="str">
        <f t="shared" si="292"/>
        <v>BUY</v>
      </c>
      <c r="M1891" s="4" t="str">
        <f t="shared" si="297"/>
        <v>BUY</v>
      </c>
      <c r="N1891" s="4">
        <f t="shared" si="293"/>
        <v>1</v>
      </c>
      <c r="O1891" s="4">
        <f t="shared" si="298"/>
        <v>2512</v>
      </c>
      <c r="P1891" s="4">
        <f t="shared" si="299"/>
        <v>-3.4152869040724532E-3</v>
      </c>
    </row>
    <row r="1892" spans="1:16" x14ac:dyDescent="0.25">
      <c r="A1892" s="1">
        <v>43924</v>
      </c>
      <c r="B1892">
        <v>2509</v>
      </c>
      <c r="C1892">
        <v>2520.6</v>
      </c>
      <c r="D1892">
        <v>2486.35</v>
      </c>
      <c r="E1892" s="7">
        <v>2511.4499999999998</v>
      </c>
      <c r="F1892">
        <v>763086</v>
      </c>
      <c r="G1892" s="8">
        <f t="shared" si="290"/>
        <v>2506.1333333333332</v>
      </c>
      <c r="H1892" s="9">
        <f t="shared" si="291"/>
        <v>1912395260.8</v>
      </c>
      <c r="I1892" s="9">
        <f t="shared" si="294"/>
        <v>18913832223.166668</v>
      </c>
      <c r="J1892" s="9">
        <f t="shared" si="295"/>
        <v>7574966</v>
      </c>
      <c r="K1892" s="21">
        <f t="shared" si="296"/>
        <v>2496.8867481605421</v>
      </c>
      <c r="L1892" s="4" t="str">
        <f t="shared" si="292"/>
        <v>BUY</v>
      </c>
      <c r="M1892" s="4">
        <f t="shared" si="297"/>
        <v>0</v>
      </c>
      <c r="N1892" s="4">
        <f t="shared" si="293"/>
        <v>1</v>
      </c>
      <c r="O1892" s="4">
        <f t="shared" si="298"/>
        <v>2512</v>
      </c>
      <c r="P1892" s="4">
        <f t="shared" si="299"/>
        <v>0</v>
      </c>
    </row>
    <row r="1893" spans="1:16" x14ac:dyDescent="0.25">
      <c r="A1893" s="1">
        <v>43927</v>
      </c>
      <c r="B1893">
        <v>2499.9</v>
      </c>
      <c r="C1893">
        <v>2535</v>
      </c>
      <c r="D1893">
        <v>2483</v>
      </c>
      <c r="E1893" s="7">
        <v>2496.0500000000002</v>
      </c>
      <c r="F1893">
        <v>697368</v>
      </c>
      <c r="G1893" s="8">
        <f t="shared" si="290"/>
        <v>2504.6833333333334</v>
      </c>
      <c r="H1893" s="9">
        <f t="shared" si="291"/>
        <v>1746686006.8</v>
      </c>
      <c r="I1893" s="9">
        <f t="shared" si="294"/>
        <v>18950664721.433331</v>
      </c>
      <c r="J1893" s="9">
        <f t="shared" si="295"/>
        <v>7580958</v>
      </c>
      <c r="K1893" s="21">
        <f t="shared" si="296"/>
        <v>2499.7717599059815</v>
      </c>
      <c r="L1893" s="4" t="str">
        <f t="shared" si="292"/>
        <v>SELL</v>
      </c>
      <c r="M1893" s="4" t="str">
        <f t="shared" si="297"/>
        <v>SELL</v>
      </c>
      <c r="N1893" s="4">
        <f t="shared" si="293"/>
        <v>-1</v>
      </c>
      <c r="O1893" s="4">
        <f t="shared" si="298"/>
        <v>2496.0500000000002</v>
      </c>
      <c r="P1893" s="4">
        <f t="shared" si="299"/>
        <v>-6.349522292993558E-3</v>
      </c>
    </row>
    <row r="1894" spans="1:16" x14ac:dyDescent="0.25">
      <c r="A1894" s="1">
        <v>43928</v>
      </c>
      <c r="B1894">
        <v>2503</v>
      </c>
      <c r="C1894">
        <v>2509.9</v>
      </c>
      <c r="D1894">
        <v>2463</v>
      </c>
      <c r="E1894" s="7">
        <v>2469.4</v>
      </c>
      <c r="F1894">
        <v>393252</v>
      </c>
      <c r="G1894" s="8">
        <f t="shared" si="290"/>
        <v>2480.7666666666664</v>
      </c>
      <c r="H1894" s="9">
        <f t="shared" si="291"/>
        <v>975566453.19999993</v>
      </c>
      <c r="I1894" s="9">
        <f t="shared" si="294"/>
        <v>17410472865.366665</v>
      </c>
      <c r="J1894" s="9">
        <f t="shared" si="295"/>
        <v>6964379</v>
      </c>
      <c r="K1894" s="21">
        <f t="shared" si="296"/>
        <v>2499.9318482475846</v>
      </c>
      <c r="L1894" s="4" t="str">
        <f t="shared" si="292"/>
        <v>SELL</v>
      </c>
      <c r="M1894" s="4">
        <f t="shared" si="297"/>
        <v>0</v>
      </c>
      <c r="N1894" s="4">
        <f t="shared" si="293"/>
        <v>-1</v>
      </c>
      <c r="O1894" s="4">
        <f t="shared" si="298"/>
        <v>2496.0500000000002</v>
      </c>
      <c r="P1894" s="4">
        <f t="shared" si="299"/>
        <v>0</v>
      </c>
    </row>
    <row r="1895" spans="1:16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 s="7">
        <v>2492.35</v>
      </c>
      <c r="F1895">
        <v>686670</v>
      </c>
      <c r="G1895" s="8">
        <f t="shared" si="290"/>
        <v>2500.4500000000003</v>
      </c>
      <c r="H1895" s="9">
        <f t="shared" si="291"/>
        <v>1716984001.5000002</v>
      </c>
      <c r="I1895" s="9">
        <f t="shared" si="294"/>
        <v>16939229206.199999</v>
      </c>
      <c r="J1895" s="9">
        <f t="shared" si="295"/>
        <v>6777319</v>
      </c>
      <c r="K1895" s="21">
        <f t="shared" si="296"/>
        <v>2499.3997192990323</v>
      </c>
      <c r="L1895" s="4" t="str">
        <f t="shared" si="292"/>
        <v>SELL</v>
      </c>
      <c r="M1895" s="4">
        <f t="shared" si="297"/>
        <v>0</v>
      </c>
      <c r="N1895" s="4">
        <f t="shared" si="293"/>
        <v>-1</v>
      </c>
      <c r="O1895" s="4">
        <f t="shared" si="298"/>
        <v>2496.0500000000002</v>
      </c>
      <c r="P1895" s="4">
        <f t="shared" si="299"/>
        <v>0</v>
      </c>
    </row>
    <row r="1896" spans="1:16" x14ac:dyDescent="0.25">
      <c r="A1896" s="1">
        <v>43930</v>
      </c>
      <c r="B1896">
        <v>2500.6999999999998</v>
      </c>
      <c r="C1896">
        <v>2505</v>
      </c>
      <c r="D1896">
        <v>2462.1</v>
      </c>
      <c r="E1896" s="7">
        <v>2485.65</v>
      </c>
      <c r="F1896">
        <v>876187</v>
      </c>
      <c r="G1896" s="8">
        <f t="shared" si="290"/>
        <v>2484.25</v>
      </c>
      <c r="H1896" s="9">
        <f t="shared" si="291"/>
        <v>2176667554.75</v>
      </c>
      <c r="I1896" s="9">
        <f t="shared" si="294"/>
        <v>17563834685.75</v>
      </c>
      <c r="J1896" s="9">
        <f t="shared" si="295"/>
        <v>7027994</v>
      </c>
      <c r="K1896" s="21">
        <f t="shared" si="296"/>
        <v>2499.1248833948921</v>
      </c>
      <c r="L1896" s="4" t="str">
        <f t="shared" si="292"/>
        <v>SELL</v>
      </c>
      <c r="M1896" s="4">
        <f t="shared" si="297"/>
        <v>0</v>
      </c>
      <c r="N1896" s="4">
        <f t="shared" si="293"/>
        <v>-1</v>
      </c>
      <c r="O1896" s="4">
        <f t="shared" si="298"/>
        <v>2496.0500000000002</v>
      </c>
      <c r="P1896" s="4">
        <f t="shared" si="299"/>
        <v>0</v>
      </c>
    </row>
    <row r="1897" spans="1:16" x14ac:dyDescent="0.25">
      <c r="A1897" s="1">
        <v>43931</v>
      </c>
      <c r="B1897">
        <v>2474</v>
      </c>
      <c r="C1897">
        <v>2549.9</v>
      </c>
      <c r="D1897">
        <v>2471.4</v>
      </c>
      <c r="E1897" s="7">
        <v>2513.8000000000002</v>
      </c>
      <c r="F1897">
        <v>1418678</v>
      </c>
      <c r="G1897" s="8">
        <f t="shared" si="290"/>
        <v>2511.7000000000003</v>
      </c>
      <c r="H1897" s="9">
        <f t="shared" si="291"/>
        <v>3563293532.6000004</v>
      </c>
      <c r="I1897" s="9">
        <f t="shared" si="294"/>
        <v>18787152430.150002</v>
      </c>
      <c r="J1897" s="9">
        <f t="shared" si="295"/>
        <v>7505398</v>
      </c>
      <c r="K1897" s="21">
        <f t="shared" si="296"/>
        <v>2503.152055380674</v>
      </c>
      <c r="L1897" s="4" t="str">
        <f t="shared" si="292"/>
        <v>BUY</v>
      </c>
      <c r="M1897" s="4" t="str">
        <f t="shared" si="297"/>
        <v>BUY</v>
      </c>
      <c r="N1897" s="4">
        <f t="shared" si="293"/>
        <v>1</v>
      </c>
      <c r="O1897" s="4">
        <f t="shared" si="298"/>
        <v>2513.8000000000002</v>
      </c>
      <c r="P1897" s="4">
        <f t="shared" si="299"/>
        <v>-7.1112357524889319E-3</v>
      </c>
    </row>
    <row r="1898" spans="1:16" x14ac:dyDescent="0.25">
      <c r="A1898" s="1">
        <v>43934</v>
      </c>
      <c r="B1898">
        <v>2505.5</v>
      </c>
      <c r="C1898">
        <v>2549</v>
      </c>
      <c r="D1898">
        <v>2494.3000000000002</v>
      </c>
      <c r="E1898" s="7">
        <v>2528.8000000000002</v>
      </c>
      <c r="F1898">
        <v>1152417</v>
      </c>
      <c r="G1898" s="8">
        <f t="shared" si="290"/>
        <v>2524.0333333333333</v>
      </c>
      <c r="H1898" s="9">
        <f t="shared" si="291"/>
        <v>2908738921.9000001</v>
      </c>
      <c r="I1898" s="9">
        <f t="shared" si="294"/>
        <v>19951984435.549999</v>
      </c>
      <c r="J1898" s="9">
        <f t="shared" si="295"/>
        <v>7963870</v>
      </c>
      <c r="K1898" s="21">
        <f t="shared" si="296"/>
        <v>2505.312672802293</v>
      </c>
      <c r="L1898" s="4" t="str">
        <f t="shared" si="292"/>
        <v>BUY</v>
      </c>
      <c r="M1898" s="4">
        <f t="shared" si="297"/>
        <v>0</v>
      </c>
      <c r="N1898" s="4">
        <f t="shared" si="293"/>
        <v>1</v>
      </c>
      <c r="O1898" s="4">
        <f t="shared" si="298"/>
        <v>2513.8000000000002</v>
      </c>
      <c r="P1898" s="4">
        <f t="shared" si="299"/>
        <v>0</v>
      </c>
    </row>
    <row r="1899" spans="1:16" x14ac:dyDescent="0.25">
      <c r="A1899" s="1">
        <v>43935</v>
      </c>
      <c r="B1899">
        <v>2523</v>
      </c>
      <c r="C1899">
        <v>2539.5</v>
      </c>
      <c r="D1899">
        <v>2492</v>
      </c>
      <c r="E1899" s="7">
        <v>2497.5500000000002</v>
      </c>
      <c r="F1899">
        <v>565663</v>
      </c>
      <c r="G1899" s="8">
        <f t="shared" si="290"/>
        <v>2509.6833333333334</v>
      </c>
      <c r="H1899" s="9">
        <f t="shared" si="291"/>
        <v>1419635003.3833334</v>
      </c>
      <c r="I1899" s="9">
        <f t="shared" si="294"/>
        <v>19013258160.933338</v>
      </c>
      <c r="J1899" s="9">
        <f t="shared" si="295"/>
        <v>7586773</v>
      </c>
      <c r="K1899" s="21">
        <f t="shared" si="296"/>
        <v>2506.1061087412709</v>
      </c>
      <c r="L1899" s="4" t="str">
        <f t="shared" si="292"/>
        <v>SELL</v>
      </c>
      <c r="M1899" s="4" t="str">
        <f t="shared" si="297"/>
        <v>SELL</v>
      </c>
      <c r="N1899" s="4">
        <f t="shared" si="293"/>
        <v>-1</v>
      </c>
      <c r="O1899" s="4">
        <f t="shared" si="298"/>
        <v>2497.5500000000002</v>
      </c>
      <c r="P1899" s="4">
        <f t="shared" si="299"/>
        <v>-6.4643169703238121E-3</v>
      </c>
    </row>
    <row r="1900" spans="1:16" x14ac:dyDescent="0.25">
      <c r="A1900" s="1">
        <v>43936</v>
      </c>
      <c r="B1900">
        <v>2505</v>
      </c>
      <c r="C1900">
        <v>2516.8000000000002</v>
      </c>
      <c r="D1900">
        <v>2473.15</v>
      </c>
      <c r="E1900" s="7">
        <v>2489.4499999999998</v>
      </c>
      <c r="F1900">
        <v>781136</v>
      </c>
      <c r="G1900" s="8">
        <f t="shared" si="290"/>
        <v>2493.1333333333337</v>
      </c>
      <c r="H1900" s="9">
        <f t="shared" si="291"/>
        <v>1947476199.4666669</v>
      </c>
      <c r="I1900" s="9">
        <f t="shared" si="294"/>
        <v>19613284006.050003</v>
      </c>
      <c r="J1900" s="9">
        <f t="shared" si="295"/>
        <v>7830930</v>
      </c>
      <c r="K1900" s="21">
        <f t="shared" si="296"/>
        <v>2504.5919202508517</v>
      </c>
      <c r="L1900" s="4" t="str">
        <f t="shared" si="292"/>
        <v>SELL</v>
      </c>
      <c r="M1900" s="4">
        <f t="shared" si="297"/>
        <v>0</v>
      </c>
      <c r="N1900" s="4">
        <f t="shared" si="293"/>
        <v>-1</v>
      </c>
      <c r="O1900" s="4">
        <f t="shared" si="298"/>
        <v>2497.5500000000002</v>
      </c>
      <c r="P1900" s="4">
        <f t="shared" si="299"/>
        <v>0</v>
      </c>
    </row>
    <row r="1901" spans="1:16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 s="7">
        <v>2496.6</v>
      </c>
      <c r="F1901">
        <v>811954</v>
      </c>
      <c r="G1901" s="8">
        <f t="shared" si="290"/>
        <v>2500.2333333333336</v>
      </c>
      <c r="H1901" s="9">
        <f t="shared" si="291"/>
        <v>2030074455.9333336</v>
      </c>
      <c r="I1901" s="9">
        <f t="shared" si="294"/>
        <v>20397517390.333336</v>
      </c>
      <c r="J1901" s="9">
        <f t="shared" si="295"/>
        <v>8146411</v>
      </c>
      <c r="K1901" s="21">
        <f t="shared" si="296"/>
        <v>2503.8654924645143</v>
      </c>
      <c r="L1901" s="4" t="str">
        <f t="shared" si="292"/>
        <v>SELL</v>
      </c>
      <c r="M1901" s="4">
        <f t="shared" si="297"/>
        <v>0</v>
      </c>
      <c r="N1901" s="4">
        <f t="shared" si="293"/>
        <v>-1</v>
      </c>
      <c r="O1901" s="4">
        <f t="shared" si="298"/>
        <v>2497.5500000000002</v>
      </c>
      <c r="P1901" s="4">
        <f t="shared" si="299"/>
        <v>0</v>
      </c>
    </row>
    <row r="1902" spans="1:16" x14ac:dyDescent="0.25">
      <c r="A1902" s="1">
        <v>43938</v>
      </c>
      <c r="B1902">
        <v>2504.6</v>
      </c>
      <c r="C1902">
        <v>2505.4</v>
      </c>
      <c r="D1902">
        <v>2461</v>
      </c>
      <c r="E1902" s="7">
        <v>2487.3000000000002</v>
      </c>
      <c r="F1902">
        <v>1018398</v>
      </c>
      <c r="G1902" s="8">
        <f t="shared" si="290"/>
        <v>2484.5666666666666</v>
      </c>
      <c r="H1902" s="9">
        <f t="shared" si="291"/>
        <v>2530277724.1999998</v>
      </c>
      <c r="I1902" s="9">
        <f t="shared" si="294"/>
        <v>21015399853.733334</v>
      </c>
      <c r="J1902" s="9">
        <f t="shared" si="295"/>
        <v>8401723</v>
      </c>
      <c r="K1902" s="21">
        <f t="shared" si="296"/>
        <v>2501.3202474936788</v>
      </c>
      <c r="L1902" s="4" t="str">
        <f t="shared" si="292"/>
        <v>SELL</v>
      </c>
      <c r="M1902" s="4">
        <f t="shared" si="297"/>
        <v>0</v>
      </c>
      <c r="N1902" s="4">
        <f t="shared" si="293"/>
        <v>-1</v>
      </c>
      <c r="O1902" s="4">
        <f t="shared" si="298"/>
        <v>2497.5500000000002</v>
      </c>
      <c r="P1902" s="4">
        <f t="shared" si="299"/>
        <v>0</v>
      </c>
    </row>
    <row r="1903" spans="1:16" x14ac:dyDescent="0.25">
      <c r="A1903" s="1">
        <v>43941</v>
      </c>
      <c r="B1903">
        <v>2482</v>
      </c>
      <c r="C1903">
        <v>2496</v>
      </c>
      <c r="D1903">
        <v>2463.9499999999998</v>
      </c>
      <c r="E1903" s="7">
        <v>2470.85</v>
      </c>
      <c r="F1903">
        <v>656301</v>
      </c>
      <c r="G1903" s="8">
        <f t="shared" si="290"/>
        <v>2476.9333333333329</v>
      </c>
      <c r="H1903" s="9">
        <f t="shared" si="291"/>
        <v>1625613823.5999997</v>
      </c>
      <c r="I1903" s="9">
        <f t="shared" si="294"/>
        <v>20894327670.533333</v>
      </c>
      <c r="J1903" s="9">
        <f t="shared" si="295"/>
        <v>8360656</v>
      </c>
      <c r="K1903" s="21">
        <f t="shared" si="296"/>
        <v>2499.1253880716217</v>
      </c>
      <c r="L1903" s="4" t="str">
        <f t="shared" si="292"/>
        <v>SELL</v>
      </c>
      <c r="M1903" s="4">
        <f t="shared" si="297"/>
        <v>0</v>
      </c>
      <c r="N1903" s="4">
        <f t="shared" si="293"/>
        <v>-1</v>
      </c>
      <c r="O1903" s="4">
        <f t="shared" si="298"/>
        <v>2497.5500000000002</v>
      </c>
      <c r="P1903" s="4">
        <f t="shared" si="299"/>
        <v>0</v>
      </c>
    </row>
    <row r="1904" spans="1:16" x14ac:dyDescent="0.25">
      <c r="A1904" s="1">
        <v>43942</v>
      </c>
      <c r="B1904">
        <v>2481</v>
      </c>
      <c r="C1904">
        <v>2490</v>
      </c>
      <c r="D1904">
        <v>2460.1</v>
      </c>
      <c r="E1904" s="7">
        <v>2484.5500000000002</v>
      </c>
      <c r="F1904">
        <v>485391</v>
      </c>
      <c r="G1904" s="8">
        <f t="shared" si="290"/>
        <v>2478.2166666666667</v>
      </c>
      <c r="H1904" s="9">
        <f t="shared" si="291"/>
        <v>1202904066.05</v>
      </c>
      <c r="I1904" s="9">
        <f t="shared" si="294"/>
        <v>21121665283.383331</v>
      </c>
      <c r="J1904" s="9">
        <f t="shared" si="295"/>
        <v>8452795</v>
      </c>
      <c r="K1904" s="21">
        <f t="shared" si="296"/>
        <v>2498.7788398255643</v>
      </c>
      <c r="L1904" s="4" t="str">
        <f t="shared" si="292"/>
        <v>SELL</v>
      </c>
      <c r="M1904" s="4">
        <f t="shared" si="297"/>
        <v>0</v>
      </c>
      <c r="N1904" s="4">
        <f t="shared" si="293"/>
        <v>-1</v>
      </c>
      <c r="O1904" s="4">
        <f t="shared" si="298"/>
        <v>2497.5500000000002</v>
      </c>
      <c r="P1904" s="4">
        <f t="shared" si="299"/>
        <v>0</v>
      </c>
    </row>
    <row r="1905" spans="1:16" x14ac:dyDescent="0.25">
      <c r="A1905" s="1">
        <v>43943</v>
      </c>
      <c r="B1905">
        <v>2485</v>
      </c>
      <c r="C1905">
        <v>2504.4</v>
      </c>
      <c r="D1905">
        <v>2466.65</v>
      </c>
      <c r="E1905" s="7">
        <v>2496.35</v>
      </c>
      <c r="F1905">
        <v>892332</v>
      </c>
      <c r="G1905" s="8">
        <f t="shared" si="290"/>
        <v>2489.1333333333332</v>
      </c>
      <c r="H1905" s="9">
        <f t="shared" si="291"/>
        <v>2221133325.5999999</v>
      </c>
      <c r="I1905" s="9">
        <f t="shared" si="294"/>
        <v>21625814607.48333</v>
      </c>
      <c r="J1905" s="9">
        <f t="shared" si="295"/>
        <v>8658457</v>
      </c>
      <c r="K1905" s="21">
        <f t="shared" si="296"/>
        <v>2497.6522499890375</v>
      </c>
      <c r="L1905" s="4" t="str">
        <f t="shared" si="292"/>
        <v>SELL</v>
      </c>
      <c r="M1905" s="4">
        <f t="shared" si="297"/>
        <v>0</v>
      </c>
      <c r="N1905" s="4">
        <f t="shared" si="293"/>
        <v>-1</v>
      </c>
      <c r="O1905" s="4">
        <f t="shared" si="298"/>
        <v>2497.5500000000002</v>
      </c>
      <c r="P1905" s="4">
        <f t="shared" si="299"/>
        <v>0</v>
      </c>
    </row>
    <row r="1906" spans="1:16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 s="7">
        <v>2456.4499999999998</v>
      </c>
      <c r="F1906">
        <v>851165</v>
      </c>
      <c r="G1906" s="8">
        <f t="shared" si="290"/>
        <v>2463.6833333333334</v>
      </c>
      <c r="H1906" s="9">
        <f t="shared" si="291"/>
        <v>2097001024.4166667</v>
      </c>
      <c r="I1906" s="9">
        <f t="shared" si="294"/>
        <v>21546148077.150002</v>
      </c>
      <c r="J1906" s="9">
        <f t="shared" si="295"/>
        <v>8633435</v>
      </c>
      <c r="K1906" s="21">
        <f t="shared" si="296"/>
        <v>2495.6634383822893</v>
      </c>
      <c r="L1906" s="4" t="str">
        <f t="shared" si="292"/>
        <v>SELL</v>
      </c>
      <c r="M1906" s="4">
        <f t="shared" si="297"/>
        <v>0</v>
      </c>
      <c r="N1906" s="4">
        <f t="shared" si="293"/>
        <v>-1</v>
      </c>
      <c r="O1906" s="4">
        <f t="shared" si="298"/>
        <v>2497.5500000000002</v>
      </c>
      <c r="P1906" s="4">
        <f t="shared" si="299"/>
        <v>0</v>
      </c>
    </row>
    <row r="1907" spans="1:16" x14ac:dyDescent="0.25">
      <c r="A1907" s="1">
        <v>43945</v>
      </c>
      <c r="B1907">
        <v>2453.1</v>
      </c>
      <c r="C1907">
        <v>2461</v>
      </c>
      <c r="D1907">
        <v>2438</v>
      </c>
      <c r="E1907" s="7">
        <v>2456.1999999999998</v>
      </c>
      <c r="F1907">
        <v>531272</v>
      </c>
      <c r="G1907" s="8">
        <f t="shared" si="290"/>
        <v>2451.7333333333331</v>
      </c>
      <c r="H1907" s="9">
        <f t="shared" si="291"/>
        <v>1302537271.4666665</v>
      </c>
      <c r="I1907" s="9">
        <f t="shared" si="294"/>
        <v>19285391816.01667</v>
      </c>
      <c r="J1907" s="9">
        <f t="shared" si="295"/>
        <v>7746029</v>
      </c>
      <c r="K1907" s="21">
        <f t="shared" si="296"/>
        <v>2489.7133506751229</v>
      </c>
      <c r="L1907" s="4" t="str">
        <f t="shared" si="292"/>
        <v>SELL</v>
      </c>
      <c r="M1907" s="4">
        <f t="shared" si="297"/>
        <v>0</v>
      </c>
      <c r="N1907" s="4">
        <f t="shared" si="293"/>
        <v>-1</v>
      </c>
      <c r="O1907" s="4">
        <f t="shared" si="298"/>
        <v>2497.5500000000002</v>
      </c>
      <c r="P1907" s="4">
        <f t="shared" si="299"/>
        <v>0</v>
      </c>
    </row>
    <row r="1908" spans="1:16" x14ac:dyDescent="0.25">
      <c r="A1908" s="1">
        <v>43948</v>
      </c>
      <c r="B1908">
        <v>2460</v>
      </c>
      <c r="C1908">
        <v>2490</v>
      </c>
      <c r="D1908">
        <v>2437.0500000000002</v>
      </c>
      <c r="E1908" s="7">
        <v>2484.35</v>
      </c>
      <c r="F1908">
        <v>582997</v>
      </c>
      <c r="G1908" s="8">
        <f t="shared" si="290"/>
        <v>2470.4666666666667</v>
      </c>
      <c r="H1908" s="9">
        <f t="shared" si="291"/>
        <v>1440274655.2666667</v>
      </c>
      <c r="I1908" s="9">
        <f t="shared" si="294"/>
        <v>17816927549.383335</v>
      </c>
      <c r="J1908" s="9">
        <f t="shared" si="295"/>
        <v>7176609</v>
      </c>
      <c r="K1908" s="21">
        <f t="shared" si="296"/>
        <v>2482.638743365193</v>
      </c>
      <c r="L1908" s="4" t="str">
        <f t="shared" si="292"/>
        <v>BUY</v>
      </c>
      <c r="M1908" s="4" t="str">
        <f t="shared" si="297"/>
        <v>BUY</v>
      </c>
      <c r="N1908" s="4">
        <f t="shared" si="293"/>
        <v>1</v>
      </c>
      <c r="O1908" s="4">
        <f t="shared" si="298"/>
        <v>2484.35</v>
      </c>
      <c r="P1908" s="4">
        <f t="shared" si="299"/>
        <v>5.2851794758864779E-3</v>
      </c>
    </row>
    <row r="1909" spans="1:16" x14ac:dyDescent="0.25">
      <c r="A1909" s="1">
        <v>43949</v>
      </c>
      <c r="B1909">
        <v>2468.15</v>
      </c>
      <c r="C1909">
        <v>2474.85</v>
      </c>
      <c r="D1909">
        <v>2450</v>
      </c>
      <c r="E1909" s="7">
        <v>2453.1999999999998</v>
      </c>
      <c r="F1909">
        <v>614382</v>
      </c>
      <c r="G1909" s="8">
        <f t="shared" si="290"/>
        <v>2459.35</v>
      </c>
      <c r="H1909" s="9">
        <f t="shared" si="291"/>
        <v>1510980371.7</v>
      </c>
      <c r="I1909" s="9">
        <f t="shared" si="294"/>
        <v>17908272917.700001</v>
      </c>
      <c r="J1909" s="9">
        <f t="shared" si="295"/>
        <v>7225328</v>
      </c>
      <c r="K1909" s="21">
        <f t="shared" si="296"/>
        <v>2478.5411704077655</v>
      </c>
      <c r="L1909" s="4" t="str">
        <f t="shared" si="292"/>
        <v>SELL</v>
      </c>
      <c r="M1909" s="4" t="str">
        <f t="shared" si="297"/>
        <v>SELL</v>
      </c>
      <c r="N1909" s="4">
        <f t="shared" si="293"/>
        <v>-1</v>
      </c>
      <c r="O1909" s="4">
        <f t="shared" si="298"/>
        <v>2453.1999999999998</v>
      </c>
      <c r="P1909" s="4">
        <f t="shared" si="299"/>
        <v>-1.2538490953368122E-2</v>
      </c>
    </row>
    <row r="1910" spans="1:16" x14ac:dyDescent="0.25">
      <c r="A1910" s="1">
        <v>43950</v>
      </c>
      <c r="B1910">
        <v>2458</v>
      </c>
      <c r="C1910">
        <v>2468.4</v>
      </c>
      <c r="D1910">
        <v>2451.0500000000002</v>
      </c>
      <c r="E1910" s="7">
        <v>2460.1</v>
      </c>
      <c r="F1910">
        <v>435318</v>
      </c>
      <c r="G1910" s="8">
        <f t="shared" si="290"/>
        <v>2459.8500000000004</v>
      </c>
      <c r="H1910" s="9">
        <f t="shared" si="291"/>
        <v>1070816982.3000002</v>
      </c>
      <c r="I1910" s="9">
        <f t="shared" si="294"/>
        <v>17031613700.533333</v>
      </c>
      <c r="J1910" s="9">
        <f t="shared" si="295"/>
        <v>6879510</v>
      </c>
      <c r="K1910" s="21">
        <f t="shared" si="296"/>
        <v>2475.7015689392606</v>
      </c>
      <c r="L1910" s="4" t="str">
        <f t="shared" si="292"/>
        <v>SELL</v>
      </c>
      <c r="M1910" s="4">
        <f t="shared" si="297"/>
        <v>0</v>
      </c>
      <c r="N1910" s="4">
        <f t="shared" si="293"/>
        <v>-1</v>
      </c>
      <c r="O1910" s="4">
        <f t="shared" si="298"/>
        <v>2453.1999999999998</v>
      </c>
      <c r="P1910" s="4">
        <f t="shared" si="299"/>
        <v>0</v>
      </c>
    </row>
    <row r="1911" spans="1:16" x14ac:dyDescent="0.25">
      <c r="A1911" s="1">
        <v>43951</v>
      </c>
      <c r="B1911">
        <v>2453.75</v>
      </c>
      <c r="C1911">
        <v>2474</v>
      </c>
      <c r="D1911">
        <v>2452.5500000000002</v>
      </c>
      <c r="E1911" s="7">
        <v>2470.6</v>
      </c>
      <c r="F1911">
        <v>510567</v>
      </c>
      <c r="G1911" s="8">
        <f t="shared" si="290"/>
        <v>2465.7166666666667</v>
      </c>
      <c r="H1911" s="9">
        <f t="shared" si="291"/>
        <v>1258913561.3499999</v>
      </c>
      <c r="I1911" s="9">
        <f t="shared" si="294"/>
        <v>16260452805.949999</v>
      </c>
      <c r="J1911" s="9">
        <f t="shared" si="295"/>
        <v>6578123</v>
      </c>
      <c r="K1911" s="21">
        <f t="shared" si="296"/>
        <v>2471.8985652822239</v>
      </c>
      <c r="L1911" s="4" t="str">
        <f t="shared" si="292"/>
        <v>SELL</v>
      </c>
      <c r="M1911" s="4">
        <f t="shared" si="297"/>
        <v>0</v>
      </c>
      <c r="N1911" s="4">
        <f t="shared" si="293"/>
        <v>-1</v>
      </c>
      <c r="O1911" s="4">
        <f t="shared" si="298"/>
        <v>2453.1999999999998</v>
      </c>
      <c r="P1911" s="4">
        <f t="shared" si="299"/>
        <v>0</v>
      </c>
    </row>
    <row r="1912" spans="1:16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 s="7">
        <v>2454.4499999999998</v>
      </c>
      <c r="F1912">
        <v>366382</v>
      </c>
      <c r="G1912" s="8">
        <f t="shared" si="290"/>
        <v>2462.4666666666667</v>
      </c>
      <c r="H1912" s="9">
        <f t="shared" si="291"/>
        <v>902203462.26666665</v>
      </c>
      <c r="I1912" s="9">
        <f t="shared" si="294"/>
        <v>14632378544.016668</v>
      </c>
      <c r="J1912" s="9">
        <f t="shared" si="295"/>
        <v>5926107</v>
      </c>
      <c r="K1912" s="21">
        <f t="shared" si="296"/>
        <v>2469.1384316916092</v>
      </c>
      <c r="L1912" s="4" t="str">
        <f t="shared" si="292"/>
        <v>SELL</v>
      </c>
      <c r="M1912" s="4">
        <f t="shared" si="297"/>
        <v>0</v>
      </c>
      <c r="N1912" s="4">
        <f t="shared" si="293"/>
        <v>-1</v>
      </c>
      <c r="O1912" s="4">
        <f t="shared" si="298"/>
        <v>2453.1999999999998</v>
      </c>
      <c r="P1912" s="4">
        <f t="shared" si="299"/>
        <v>0</v>
      </c>
    </row>
    <row r="1913" spans="1:16" x14ac:dyDescent="0.25">
      <c r="A1913" s="1">
        <v>43955</v>
      </c>
      <c r="B1913">
        <v>2473.9</v>
      </c>
      <c r="C1913">
        <v>2497</v>
      </c>
      <c r="D1913">
        <v>2457</v>
      </c>
      <c r="E1913" s="7">
        <v>2488.4499999999998</v>
      </c>
      <c r="F1913">
        <v>698230</v>
      </c>
      <c r="G1913" s="8">
        <f t="shared" si="290"/>
        <v>2480.8166666666666</v>
      </c>
      <c r="H1913" s="9">
        <f t="shared" si="291"/>
        <v>1732180621.1666665</v>
      </c>
      <c r="I1913" s="9">
        <f t="shared" si="294"/>
        <v>14738945341.583332</v>
      </c>
      <c r="J1913" s="9">
        <f t="shared" si="295"/>
        <v>5968036</v>
      </c>
      <c r="K1913" s="21">
        <f t="shared" si="296"/>
        <v>2469.6475258499331</v>
      </c>
      <c r="L1913" s="4" t="str">
        <f t="shared" si="292"/>
        <v>BUY</v>
      </c>
      <c r="M1913" s="4" t="str">
        <f t="shared" si="297"/>
        <v>BUY</v>
      </c>
      <c r="N1913" s="4">
        <f t="shared" si="293"/>
        <v>1</v>
      </c>
      <c r="O1913" s="4">
        <f t="shared" si="298"/>
        <v>2488.4499999999998</v>
      </c>
      <c r="P1913" s="4">
        <f t="shared" si="299"/>
        <v>-1.4368987444969837E-2</v>
      </c>
    </row>
    <row r="1914" spans="1:16" x14ac:dyDescent="0.25">
      <c r="A1914" s="1">
        <v>43956</v>
      </c>
      <c r="B1914">
        <v>2500</v>
      </c>
      <c r="C1914">
        <v>2531.65</v>
      </c>
      <c r="D1914">
        <v>2475.1999999999998</v>
      </c>
      <c r="E1914" s="7">
        <v>2489.1999999999998</v>
      </c>
      <c r="F1914">
        <v>639490</v>
      </c>
      <c r="G1914" s="8">
        <f t="shared" si="290"/>
        <v>2498.6833333333334</v>
      </c>
      <c r="H1914" s="9">
        <f t="shared" si="291"/>
        <v>1597883004.8333333</v>
      </c>
      <c r="I1914" s="9">
        <f t="shared" si="294"/>
        <v>15133924280.366667</v>
      </c>
      <c r="J1914" s="9">
        <f t="shared" si="295"/>
        <v>6122135</v>
      </c>
      <c r="K1914" s="21">
        <f t="shared" si="296"/>
        <v>2472.0010715815097</v>
      </c>
      <c r="L1914" s="4" t="str">
        <f t="shared" si="292"/>
        <v>BUY</v>
      </c>
      <c r="M1914" s="4">
        <f t="shared" si="297"/>
        <v>0</v>
      </c>
      <c r="N1914" s="4">
        <f t="shared" si="293"/>
        <v>1</v>
      </c>
      <c r="O1914" s="4">
        <f t="shared" si="298"/>
        <v>2488.4499999999998</v>
      </c>
      <c r="P1914" s="4">
        <f t="shared" si="299"/>
        <v>0</v>
      </c>
    </row>
    <row r="1915" spans="1:16" x14ac:dyDescent="0.25">
      <c r="A1915" s="1">
        <v>43957</v>
      </c>
      <c r="B1915">
        <v>2482</v>
      </c>
      <c r="C1915">
        <v>2497.6</v>
      </c>
      <c r="D1915">
        <v>2471.9</v>
      </c>
      <c r="E1915" s="7">
        <v>2486.9499999999998</v>
      </c>
      <c r="F1915">
        <v>540755</v>
      </c>
      <c r="G1915" s="8">
        <f t="shared" si="290"/>
        <v>2485.4833333333331</v>
      </c>
      <c r="H1915" s="9">
        <f t="shared" si="291"/>
        <v>1344037539.9166665</v>
      </c>
      <c r="I1915" s="9">
        <f t="shared" si="294"/>
        <v>14256828494.683332</v>
      </c>
      <c r="J1915" s="9">
        <f t="shared" si="295"/>
        <v>5770558</v>
      </c>
      <c r="K1915" s="21">
        <f t="shared" si="296"/>
        <v>2470.6152324754958</v>
      </c>
      <c r="L1915" s="4" t="str">
        <f t="shared" si="292"/>
        <v>BUY</v>
      </c>
      <c r="M1915" s="4">
        <f t="shared" si="297"/>
        <v>0</v>
      </c>
      <c r="N1915" s="4">
        <f t="shared" si="293"/>
        <v>1</v>
      </c>
      <c r="O1915" s="4">
        <f t="shared" si="298"/>
        <v>2488.4499999999998</v>
      </c>
      <c r="P1915" s="4">
        <f t="shared" si="299"/>
        <v>0</v>
      </c>
    </row>
    <row r="1916" spans="1:16" x14ac:dyDescent="0.25">
      <c r="A1916" s="1">
        <v>43958</v>
      </c>
      <c r="B1916">
        <v>2499</v>
      </c>
      <c r="C1916">
        <v>2517</v>
      </c>
      <c r="D1916">
        <v>2485</v>
      </c>
      <c r="E1916" s="7">
        <v>2506.0500000000002</v>
      </c>
      <c r="F1916">
        <v>1472036</v>
      </c>
      <c r="G1916" s="8">
        <f t="shared" si="290"/>
        <v>2502.6833333333334</v>
      </c>
      <c r="H1916" s="9">
        <f t="shared" si="291"/>
        <v>3684039963.2666669</v>
      </c>
      <c r="I1916" s="9">
        <f t="shared" si="294"/>
        <v>15843867433.533333</v>
      </c>
      <c r="J1916" s="9">
        <f t="shared" si="295"/>
        <v>6391429</v>
      </c>
      <c r="K1916" s="21">
        <f t="shared" si="296"/>
        <v>2478.9241081350247</v>
      </c>
      <c r="L1916" s="4" t="str">
        <f t="shared" si="292"/>
        <v>BUY</v>
      </c>
      <c r="M1916" s="4">
        <f t="shared" si="297"/>
        <v>0</v>
      </c>
      <c r="N1916" s="4">
        <f t="shared" si="293"/>
        <v>1</v>
      </c>
      <c r="O1916" s="4">
        <f t="shared" si="298"/>
        <v>2488.4499999999998</v>
      </c>
      <c r="P1916" s="4">
        <f t="shared" si="299"/>
        <v>0</v>
      </c>
    </row>
    <row r="1917" spans="1:16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 s="7">
        <v>2499.0500000000002</v>
      </c>
      <c r="F1917">
        <v>363300</v>
      </c>
      <c r="G1917" s="8">
        <f t="shared" si="290"/>
        <v>2502.4166666666665</v>
      </c>
      <c r="H1917" s="9">
        <f t="shared" si="291"/>
        <v>909127975</v>
      </c>
      <c r="I1917" s="9">
        <f t="shared" si="294"/>
        <v>15450458137.066666</v>
      </c>
      <c r="J1917" s="9">
        <f t="shared" si="295"/>
        <v>6223457</v>
      </c>
      <c r="K1917" s="21">
        <f t="shared" si="296"/>
        <v>2482.6166770440714</v>
      </c>
      <c r="L1917" s="4" t="str">
        <f t="shared" si="292"/>
        <v>BUY</v>
      </c>
      <c r="M1917" s="4">
        <f t="shared" si="297"/>
        <v>0</v>
      </c>
      <c r="N1917" s="4">
        <f t="shared" si="293"/>
        <v>1</v>
      </c>
      <c r="O1917" s="4">
        <f t="shared" si="298"/>
        <v>2488.4499999999998</v>
      </c>
      <c r="P1917" s="4">
        <f t="shared" si="299"/>
        <v>0</v>
      </c>
    </row>
    <row r="1918" spans="1:16" x14ac:dyDescent="0.25">
      <c r="A1918" s="1">
        <v>43962</v>
      </c>
      <c r="B1918">
        <v>2505</v>
      </c>
      <c r="C1918">
        <v>2505</v>
      </c>
      <c r="D1918">
        <v>2491.5</v>
      </c>
      <c r="E1918" s="7">
        <v>2498.25</v>
      </c>
      <c r="F1918">
        <v>391377</v>
      </c>
      <c r="G1918" s="8">
        <f t="shared" si="290"/>
        <v>2498.25</v>
      </c>
      <c r="H1918" s="9">
        <f t="shared" si="291"/>
        <v>977757590.25</v>
      </c>
      <c r="I1918" s="9">
        <f t="shared" si="294"/>
        <v>14987941072.049999</v>
      </c>
      <c r="J1918" s="9">
        <f t="shared" si="295"/>
        <v>6031837</v>
      </c>
      <c r="K1918" s="21">
        <f t="shared" si="296"/>
        <v>2484.8053871565162</v>
      </c>
      <c r="L1918" s="4" t="str">
        <f t="shared" si="292"/>
        <v>BUY</v>
      </c>
      <c r="M1918" s="4">
        <f t="shared" si="297"/>
        <v>0</v>
      </c>
      <c r="N1918" s="4">
        <f t="shared" si="293"/>
        <v>1</v>
      </c>
      <c r="O1918" s="4">
        <f t="shared" si="298"/>
        <v>2488.4499999999998</v>
      </c>
      <c r="P1918" s="4">
        <f t="shared" si="299"/>
        <v>0</v>
      </c>
    </row>
    <row r="1919" spans="1:16" x14ac:dyDescent="0.25">
      <c r="A1919" s="1">
        <v>43963</v>
      </c>
      <c r="B1919">
        <v>2514</v>
      </c>
      <c r="C1919">
        <v>2514</v>
      </c>
      <c r="D1919">
        <v>2474.3000000000002</v>
      </c>
      <c r="E1919" s="7">
        <v>2493.5500000000002</v>
      </c>
      <c r="F1919">
        <v>667321</v>
      </c>
      <c r="G1919" s="8">
        <f t="shared" si="290"/>
        <v>2493.9500000000003</v>
      </c>
      <c r="H1919" s="9">
        <f t="shared" si="291"/>
        <v>1664265207.9500003</v>
      </c>
      <c r="I1919" s="9">
        <f t="shared" si="294"/>
        <v>15141225908.300001</v>
      </c>
      <c r="J1919" s="9">
        <f t="shared" si="295"/>
        <v>6084776</v>
      </c>
      <c r="K1919" s="21">
        <f t="shared" si="296"/>
        <v>2488.3785217894629</v>
      </c>
      <c r="L1919" s="4" t="str">
        <f t="shared" si="292"/>
        <v>BUY</v>
      </c>
      <c r="M1919" s="4">
        <f t="shared" si="297"/>
        <v>0</v>
      </c>
      <c r="N1919" s="4">
        <f t="shared" si="293"/>
        <v>1</v>
      </c>
      <c r="O1919" s="4">
        <f t="shared" si="298"/>
        <v>2488.4499999999998</v>
      </c>
      <c r="P1919" s="4">
        <f t="shared" si="299"/>
        <v>0</v>
      </c>
    </row>
    <row r="1920" spans="1:16" x14ac:dyDescent="0.25">
      <c r="A1920" s="1">
        <v>43964</v>
      </c>
      <c r="B1920">
        <v>2491.0500000000002</v>
      </c>
      <c r="C1920">
        <v>2541</v>
      </c>
      <c r="D1920">
        <v>2480</v>
      </c>
      <c r="E1920" s="7">
        <v>2524.9</v>
      </c>
      <c r="F1920">
        <v>1219370</v>
      </c>
      <c r="G1920" s="8">
        <f t="shared" si="290"/>
        <v>2515.2999999999997</v>
      </c>
      <c r="H1920" s="9">
        <f t="shared" si="291"/>
        <v>3067081360.9999995</v>
      </c>
      <c r="I1920" s="9">
        <f t="shared" si="294"/>
        <v>17137490287</v>
      </c>
      <c r="J1920" s="9">
        <f t="shared" si="295"/>
        <v>6868828</v>
      </c>
      <c r="K1920" s="21">
        <f t="shared" si="296"/>
        <v>2494.965704047328</v>
      </c>
      <c r="L1920" s="4" t="str">
        <f t="shared" si="292"/>
        <v>BUY</v>
      </c>
      <c r="M1920" s="4">
        <f t="shared" si="297"/>
        <v>0</v>
      </c>
      <c r="N1920" s="4">
        <f t="shared" si="293"/>
        <v>1</v>
      </c>
      <c r="O1920" s="4">
        <f t="shared" si="298"/>
        <v>2488.4499999999998</v>
      </c>
      <c r="P1920" s="4">
        <f t="shared" si="299"/>
        <v>0</v>
      </c>
    </row>
    <row r="1921" spans="1:16" x14ac:dyDescent="0.25">
      <c r="A1921" s="1">
        <v>43965</v>
      </c>
      <c r="B1921">
        <v>2519.9</v>
      </c>
      <c r="C1921">
        <v>2526.9</v>
      </c>
      <c r="D1921">
        <v>2492</v>
      </c>
      <c r="E1921" s="7">
        <v>2503.6</v>
      </c>
      <c r="F1921">
        <v>1217698</v>
      </c>
      <c r="G1921" s="8">
        <f t="shared" si="290"/>
        <v>2507.5</v>
      </c>
      <c r="H1921" s="9">
        <f t="shared" si="291"/>
        <v>3053377735</v>
      </c>
      <c r="I1921" s="9">
        <f t="shared" si="294"/>
        <v>18931954460.650002</v>
      </c>
      <c r="J1921" s="9">
        <f t="shared" si="295"/>
        <v>7575959</v>
      </c>
      <c r="K1921" s="21">
        <f t="shared" si="296"/>
        <v>2498.9515466820772</v>
      </c>
      <c r="L1921" s="4" t="str">
        <f t="shared" si="292"/>
        <v>BUY</v>
      </c>
      <c r="M1921" s="4">
        <f t="shared" si="297"/>
        <v>0</v>
      </c>
      <c r="N1921" s="4">
        <f t="shared" si="293"/>
        <v>1</v>
      </c>
      <c r="O1921" s="4">
        <f t="shared" si="298"/>
        <v>2488.4499999999998</v>
      </c>
      <c r="P1921" s="4">
        <f t="shared" si="299"/>
        <v>0</v>
      </c>
    </row>
    <row r="1922" spans="1:16" x14ac:dyDescent="0.25">
      <c r="A1922" s="1">
        <v>43966</v>
      </c>
      <c r="B1922">
        <v>2496.5500000000002</v>
      </c>
      <c r="C1922">
        <v>2534</v>
      </c>
      <c r="D1922">
        <v>2492.75</v>
      </c>
      <c r="E1922" s="7">
        <v>2510.75</v>
      </c>
      <c r="F1922">
        <v>799779</v>
      </c>
      <c r="G1922" s="8">
        <f t="shared" ref="G1922:G1988" si="300">AVERAGE(C1922:E1922)</f>
        <v>2512.5</v>
      </c>
      <c r="H1922" s="9">
        <f t="shared" si="291"/>
        <v>2009444737.5</v>
      </c>
      <c r="I1922" s="9">
        <f t="shared" si="294"/>
        <v>20039195735.883331</v>
      </c>
      <c r="J1922" s="9">
        <f t="shared" si="295"/>
        <v>8009356</v>
      </c>
      <c r="K1922" s="21">
        <f t="shared" si="296"/>
        <v>2501.9734090834932</v>
      </c>
      <c r="L1922" s="4" t="str">
        <f t="shared" si="292"/>
        <v>BUY</v>
      </c>
      <c r="M1922" s="4">
        <f t="shared" si="297"/>
        <v>0</v>
      </c>
      <c r="N1922" s="4">
        <f t="shared" si="293"/>
        <v>1</v>
      </c>
      <c r="O1922" s="4">
        <f t="shared" si="298"/>
        <v>2488.4499999999998</v>
      </c>
      <c r="P1922" s="4">
        <f t="shared" si="299"/>
        <v>0</v>
      </c>
    </row>
    <row r="1923" spans="1:16" x14ac:dyDescent="0.25">
      <c r="A1923" s="1">
        <v>43969</v>
      </c>
      <c r="B1923">
        <v>2510</v>
      </c>
      <c r="C1923">
        <v>2526.4</v>
      </c>
      <c r="D1923">
        <v>2466</v>
      </c>
      <c r="E1923" s="7">
        <v>2474.65</v>
      </c>
      <c r="F1923">
        <v>724615</v>
      </c>
      <c r="G1923" s="8">
        <f t="shared" si="300"/>
        <v>2489.0166666666664</v>
      </c>
      <c r="H1923" s="9">
        <f t="shared" ref="H1923:H1986" si="301">G1923*F1923</f>
        <v>1803578811.9166665</v>
      </c>
      <c r="I1923" s="9">
        <f t="shared" si="294"/>
        <v>20110593926.633335</v>
      </c>
      <c r="J1923" s="9">
        <f t="shared" si="295"/>
        <v>8035741</v>
      </c>
      <c r="K1923" s="21">
        <f t="shared" si="296"/>
        <v>2502.6433687488602</v>
      </c>
      <c r="L1923" s="4" t="str">
        <f t="shared" si="292"/>
        <v>SELL</v>
      </c>
      <c r="M1923" s="4" t="str">
        <f t="shared" si="297"/>
        <v>SELL</v>
      </c>
      <c r="N1923" s="4">
        <f t="shared" si="293"/>
        <v>-1</v>
      </c>
      <c r="O1923" s="4">
        <f t="shared" si="298"/>
        <v>2474.65</v>
      </c>
      <c r="P1923" s="4">
        <f t="shared" si="299"/>
        <v>-5.5456207679478097E-3</v>
      </c>
    </row>
    <row r="1924" spans="1:16" x14ac:dyDescent="0.25">
      <c r="A1924" s="1">
        <v>43970</v>
      </c>
      <c r="B1924">
        <v>2490</v>
      </c>
      <c r="C1924">
        <v>2512.1999999999998</v>
      </c>
      <c r="D1924">
        <v>2473.75</v>
      </c>
      <c r="E1924" s="7">
        <v>2495</v>
      </c>
      <c r="F1924">
        <v>1005178</v>
      </c>
      <c r="G1924" s="8">
        <f t="shared" si="300"/>
        <v>2493.65</v>
      </c>
      <c r="H1924" s="9">
        <f t="shared" si="301"/>
        <v>2506562119.7000003</v>
      </c>
      <c r="I1924" s="9">
        <f t="shared" si="294"/>
        <v>21019273041.5</v>
      </c>
      <c r="J1924" s="9">
        <f t="shared" si="295"/>
        <v>8401429</v>
      </c>
      <c r="K1924" s="21">
        <f t="shared" si="296"/>
        <v>2501.8687941658495</v>
      </c>
      <c r="L1924" s="4" t="str">
        <f t="shared" si="292"/>
        <v>SELL</v>
      </c>
      <c r="M1924" s="4">
        <f t="shared" si="297"/>
        <v>0</v>
      </c>
      <c r="N1924" s="4">
        <f t="shared" si="293"/>
        <v>-1</v>
      </c>
      <c r="O1924" s="4">
        <f t="shared" si="298"/>
        <v>2474.65</v>
      </c>
      <c r="P1924" s="4">
        <f t="shared" si="299"/>
        <v>0</v>
      </c>
    </row>
    <row r="1925" spans="1:16" x14ac:dyDescent="0.25">
      <c r="A1925" s="1">
        <v>43971</v>
      </c>
      <c r="B1925">
        <v>2494.6999999999998</v>
      </c>
      <c r="C1925">
        <v>2514</v>
      </c>
      <c r="D1925">
        <v>2452</v>
      </c>
      <c r="E1925" s="7">
        <v>2476.4499999999998</v>
      </c>
      <c r="F1925">
        <v>2166433</v>
      </c>
      <c r="G1925" s="8">
        <f t="shared" si="300"/>
        <v>2480.8166666666666</v>
      </c>
      <c r="H1925" s="9">
        <f t="shared" si="301"/>
        <v>5374523093.6166668</v>
      </c>
      <c r="I1925" s="9">
        <f t="shared" si="294"/>
        <v>25049758595.199997</v>
      </c>
      <c r="J1925" s="9">
        <f t="shared" si="295"/>
        <v>10027107</v>
      </c>
      <c r="K1925" s="21">
        <f t="shared" si="296"/>
        <v>2498.2039779968436</v>
      </c>
      <c r="L1925" s="4" t="str">
        <f t="shared" si="292"/>
        <v>SELL</v>
      </c>
      <c r="M1925" s="4">
        <f t="shared" si="297"/>
        <v>0</v>
      </c>
      <c r="N1925" s="4">
        <f t="shared" si="293"/>
        <v>-1</v>
      </c>
      <c r="O1925" s="4">
        <f t="shared" si="298"/>
        <v>2474.65</v>
      </c>
      <c r="P1925" s="4">
        <f t="shared" si="299"/>
        <v>0</v>
      </c>
    </row>
    <row r="1926" spans="1:16" x14ac:dyDescent="0.25">
      <c r="A1926" s="1">
        <v>43972</v>
      </c>
      <c r="B1926">
        <v>2479</v>
      </c>
      <c r="C1926">
        <v>2484</v>
      </c>
      <c r="D1926">
        <v>2421.5</v>
      </c>
      <c r="E1926" s="7">
        <v>2435.9499999999998</v>
      </c>
      <c r="F1926">
        <v>992507</v>
      </c>
      <c r="G1926" s="8">
        <f t="shared" si="300"/>
        <v>2447.15</v>
      </c>
      <c r="H1926" s="9">
        <f t="shared" si="301"/>
        <v>2428813505.0500002</v>
      </c>
      <c r="I1926" s="9">
        <f t="shared" si="294"/>
        <v>23794532136.983334</v>
      </c>
      <c r="J1926" s="9">
        <f t="shared" si="295"/>
        <v>9547578</v>
      </c>
      <c r="K1926" s="21">
        <f t="shared" si="296"/>
        <v>2492.2061005401929</v>
      </c>
      <c r="L1926" s="4" t="str">
        <f t="shared" si="292"/>
        <v>SELL</v>
      </c>
      <c r="M1926" s="4">
        <f t="shared" si="297"/>
        <v>0</v>
      </c>
      <c r="N1926" s="4">
        <f t="shared" si="293"/>
        <v>-1</v>
      </c>
      <c r="O1926" s="4">
        <f t="shared" si="298"/>
        <v>2474.65</v>
      </c>
      <c r="P1926" s="4">
        <f t="shared" si="299"/>
        <v>0</v>
      </c>
    </row>
    <row r="1927" spans="1:16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 s="7">
        <v>2448.4499999999998</v>
      </c>
      <c r="F1927">
        <v>961503</v>
      </c>
      <c r="G1927" s="8">
        <f t="shared" si="300"/>
        <v>2443.2666666666669</v>
      </c>
      <c r="H1927" s="9">
        <f t="shared" si="301"/>
        <v>2349208229.8000002</v>
      </c>
      <c r="I1927" s="9">
        <f t="shared" si="294"/>
        <v>25234612391.783333</v>
      </c>
      <c r="J1927" s="9">
        <f t="shared" si="295"/>
        <v>10145781</v>
      </c>
      <c r="K1927" s="21">
        <f t="shared" si="296"/>
        <v>2487.2025516599788</v>
      </c>
      <c r="L1927" s="4" t="str">
        <f t="shared" si="292"/>
        <v>SELL</v>
      </c>
      <c r="M1927" s="4">
        <f t="shared" si="297"/>
        <v>0</v>
      </c>
      <c r="N1927" s="4">
        <f t="shared" si="293"/>
        <v>-1</v>
      </c>
      <c r="O1927" s="4">
        <f t="shared" si="298"/>
        <v>2474.65</v>
      </c>
      <c r="P1927" s="4">
        <f t="shared" si="299"/>
        <v>0</v>
      </c>
    </row>
    <row r="1928" spans="1:16" x14ac:dyDescent="0.25">
      <c r="A1928" s="1">
        <v>43976</v>
      </c>
      <c r="B1928">
        <v>2449.6</v>
      </c>
      <c r="C1928">
        <v>2454</v>
      </c>
      <c r="D1928">
        <v>2425</v>
      </c>
      <c r="E1928" s="7">
        <v>2442.3000000000002</v>
      </c>
      <c r="F1928">
        <v>650389</v>
      </c>
      <c r="G1928" s="8">
        <f t="shared" si="300"/>
        <v>2440.4333333333334</v>
      </c>
      <c r="H1928" s="9">
        <f t="shared" si="301"/>
        <v>1587230995.2333333</v>
      </c>
      <c r="I1928" s="9">
        <f t="shared" si="294"/>
        <v>25844085796.766666</v>
      </c>
      <c r="J1928" s="9">
        <f t="shared" si="295"/>
        <v>10404793</v>
      </c>
      <c r="K1928" s="21">
        <f t="shared" si="296"/>
        <v>2483.8635229712563</v>
      </c>
      <c r="L1928" s="4" t="str">
        <f t="shared" si="292"/>
        <v>SELL</v>
      </c>
      <c r="M1928" s="4">
        <f t="shared" si="297"/>
        <v>0</v>
      </c>
      <c r="N1928" s="4">
        <f t="shared" si="293"/>
        <v>-1</v>
      </c>
      <c r="O1928" s="4">
        <f t="shared" si="298"/>
        <v>2474.65</v>
      </c>
      <c r="P1928" s="4">
        <f t="shared" si="299"/>
        <v>0</v>
      </c>
    </row>
    <row r="1929" spans="1:16" x14ac:dyDescent="0.25">
      <c r="A1929" s="1">
        <v>43977</v>
      </c>
      <c r="B1929">
        <v>2441</v>
      </c>
      <c r="C1929">
        <v>2443.4499999999998</v>
      </c>
      <c r="D1929">
        <v>2424.4</v>
      </c>
      <c r="E1929" s="7">
        <v>2429.6</v>
      </c>
      <c r="F1929">
        <v>842343</v>
      </c>
      <c r="G1929" s="8">
        <f t="shared" si="300"/>
        <v>2432.4833333333336</v>
      </c>
      <c r="H1929" s="9">
        <f t="shared" si="301"/>
        <v>2048985308.4500003</v>
      </c>
      <c r="I1929" s="9">
        <f t="shared" si="294"/>
        <v>26228805897.266666</v>
      </c>
      <c r="J1929" s="9">
        <f t="shared" si="295"/>
        <v>10579815</v>
      </c>
      <c r="K1929" s="21">
        <f t="shared" si="296"/>
        <v>2479.1365347377687</v>
      </c>
      <c r="L1929" s="4" t="str">
        <f t="shared" si="292"/>
        <v>SELL</v>
      </c>
      <c r="M1929" s="4">
        <f t="shared" si="297"/>
        <v>0</v>
      </c>
      <c r="N1929" s="4">
        <f t="shared" si="293"/>
        <v>-1</v>
      </c>
      <c r="O1929" s="4">
        <f t="shared" si="298"/>
        <v>2474.65</v>
      </c>
      <c r="P1929" s="4">
        <f t="shared" si="299"/>
        <v>0</v>
      </c>
    </row>
    <row r="1930" spans="1:16" x14ac:dyDescent="0.25">
      <c r="A1930" s="1">
        <v>43978</v>
      </c>
      <c r="B1930">
        <v>2430</v>
      </c>
      <c r="C1930">
        <v>2455</v>
      </c>
      <c r="D1930">
        <v>2428.0500000000002</v>
      </c>
      <c r="E1930" s="7">
        <v>2446.65</v>
      </c>
      <c r="F1930">
        <v>694594</v>
      </c>
      <c r="G1930" s="8">
        <f t="shared" si="300"/>
        <v>2443.2333333333336</v>
      </c>
      <c r="H1930" s="9">
        <f t="shared" si="301"/>
        <v>1697055213.9333334</v>
      </c>
      <c r="I1930" s="9">
        <f t="shared" si="294"/>
        <v>24858779750.200001</v>
      </c>
      <c r="J1930" s="9">
        <f t="shared" si="295"/>
        <v>10055039</v>
      </c>
      <c r="K1930" s="21">
        <f t="shared" si="296"/>
        <v>2472.2708435243267</v>
      </c>
      <c r="L1930" s="4" t="str">
        <f t="shared" si="292"/>
        <v>SELL</v>
      </c>
      <c r="M1930" s="4">
        <f t="shared" si="297"/>
        <v>0</v>
      </c>
      <c r="N1930" s="4">
        <f t="shared" si="293"/>
        <v>-1</v>
      </c>
      <c r="O1930" s="4">
        <f t="shared" si="298"/>
        <v>2474.65</v>
      </c>
      <c r="P1930" s="4">
        <f t="shared" si="299"/>
        <v>0</v>
      </c>
    </row>
    <row r="1931" spans="1:16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 s="7">
        <v>2454.1</v>
      </c>
      <c r="F1931">
        <v>886808</v>
      </c>
      <c r="G1931" s="8">
        <f t="shared" si="300"/>
        <v>2454.3666666666668</v>
      </c>
      <c r="H1931" s="9">
        <f t="shared" si="301"/>
        <v>2176551994.9333334</v>
      </c>
      <c r="I1931" s="9">
        <f t="shared" si="294"/>
        <v>23981954010.133335</v>
      </c>
      <c r="J1931" s="9">
        <f t="shared" si="295"/>
        <v>9724149</v>
      </c>
      <c r="K1931" s="21">
        <f t="shared" si="296"/>
        <v>2466.2265057984337</v>
      </c>
      <c r="L1931" s="4" t="str">
        <f t="shared" ref="L1931:L1988" si="302">IF(E1931&gt;K1931,"BUY",IF(E1931&lt;K1931,"SELL",0))</f>
        <v>SELL</v>
      </c>
      <c r="M1931" s="4">
        <f t="shared" si="297"/>
        <v>0</v>
      </c>
      <c r="N1931" s="4">
        <f t="shared" ref="N1931:N1987" si="303">IF(M1931="BUY",1,IF(M1931="SELL",-1,N1930))</f>
        <v>-1</v>
      </c>
      <c r="O1931" s="4">
        <f t="shared" si="298"/>
        <v>2474.65</v>
      </c>
      <c r="P1931" s="4">
        <f t="shared" si="299"/>
        <v>0</v>
      </c>
    </row>
    <row r="1932" spans="1:16" x14ac:dyDescent="0.25">
      <c r="A1932" s="1">
        <v>43980</v>
      </c>
      <c r="B1932">
        <v>2455</v>
      </c>
      <c r="C1932">
        <v>2469.9499999999998</v>
      </c>
      <c r="D1932">
        <v>2451.25</v>
      </c>
      <c r="E1932" s="7">
        <v>2459.25</v>
      </c>
      <c r="F1932">
        <v>611005</v>
      </c>
      <c r="G1932" s="8">
        <f t="shared" si="300"/>
        <v>2460.15</v>
      </c>
      <c r="H1932" s="9">
        <f t="shared" si="301"/>
        <v>1503163950.75</v>
      </c>
      <c r="I1932" s="9">
        <f t="shared" ref="I1932:I1988" si="304">SUM(H1923:H1932)</f>
        <v>23475673223.383335</v>
      </c>
      <c r="J1932" s="9">
        <f t="shared" ref="J1932:J1988" si="305">SUM(F1923:F1932)</f>
        <v>9535375</v>
      </c>
      <c r="K1932" s="21">
        <f t="shared" ref="K1932:K1988" si="306">I1932/J1932</f>
        <v>2461.9559506976216</v>
      </c>
      <c r="L1932" s="4" t="str">
        <f t="shared" si="302"/>
        <v>SELL</v>
      </c>
      <c r="M1932" s="4">
        <f t="shared" ref="M1932:M1987" si="307">IF(L1932&lt;&gt;L1931,L1932,0)</f>
        <v>0</v>
      </c>
      <c r="N1932" s="4">
        <f t="shared" si="303"/>
        <v>-1</v>
      </c>
      <c r="O1932" s="4">
        <f t="shared" ref="O1932:O1988" si="308">IF(M1932&lt;&gt;0,E1932,O1931)</f>
        <v>2474.65</v>
      </c>
      <c r="P1932" s="4">
        <f t="shared" ref="P1932:P1988" si="309">IF(M1932="BUY",(O1931-O1932)/O1931,IF(M1932="SELL",(O1932-O1931)/O1931,0))</f>
        <v>0</v>
      </c>
    </row>
    <row r="1933" spans="1:16" x14ac:dyDescent="0.25">
      <c r="A1933" s="1">
        <v>43983</v>
      </c>
      <c r="B1933">
        <v>2460</v>
      </c>
      <c r="C1933">
        <v>2514.4499999999998</v>
      </c>
      <c r="D1933">
        <v>2456.75</v>
      </c>
      <c r="E1933" s="7">
        <v>2500.35</v>
      </c>
      <c r="F1933">
        <v>763873</v>
      </c>
      <c r="G1933" s="8">
        <f t="shared" si="300"/>
        <v>2490.5166666666664</v>
      </c>
      <c r="H1933" s="9">
        <f t="shared" si="301"/>
        <v>1902438437.7166665</v>
      </c>
      <c r="I1933" s="9">
        <f t="shared" si="304"/>
        <v>23574532849.183338</v>
      </c>
      <c r="J1933" s="9">
        <f t="shared" si="305"/>
        <v>9574633</v>
      </c>
      <c r="K1933" s="21">
        <f t="shared" si="306"/>
        <v>2462.1865766743581</v>
      </c>
      <c r="L1933" s="4" t="str">
        <f t="shared" si="302"/>
        <v>BUY</v>
      </c>
      <c r="M1933" s="4" t="str">
        <f t="shared" si="307"/>
        <v>BUY</v>
      </c>
      <c r="N1933" s="4">
        <f t="shared" si="303"/>
        <v>1</v>
      </c>
      <c r="O1933" s="4">
        <f t="shared" si="308"/>
        <v>2500.35</v>
      </c>
      <c r="P1933" s="4">
        <f t="shared" si="309"/>
        <v>-1.0385307013112891E-2</v>
      </c>
    </row>
    <row r="1934" spans="1:16" x14ac:dyDescent="0.25">
      <c r="A1934" s="1">
        <v>43984</v>
      </c>
      <c r="B1934">
        <v>2513</v>
      </c>
      <c r="C1934">
        <v>2555</v>
      </c>
      <c r="D1934">
        <v>2507</v>
      </c>
      <c r="E1934" s="7">
        <v>2548.1999999999998</v>
      </c>
      <c r="F1934">
        <v>2503178</v>
      </c>
      <c r="G1934" s="8">
        <f t="shared" si="300"/>
        <v>2536.7333333333331</v>
      </c>
      <c r="H1934" s="9">
        <f t="shared" si="301"/>
        <v>6349895071.8666658</v>
      </c>
      <c r="I1934" s="9">
        <f t="shared" si="304"/>
        <v>27417865801.350002</v>
      </c>
      <c r="J1934" s="9">
        <f t="shared" si="305"/>
        <v>11072633</v>
      </c>
      <c r="K1934" s="21">
        <f t="shared" si="306"/>
        <v>2476.183018199014</v>
      </c>
      <c r="L1934" s="4" t="str">
        <f t="shared" si="302"/>
        <v>BUY</v>
      </c>
      <c r="M1934" s="4">
        <f t="shared" si="307"/>
        <v>0</v>
      </c>
      <c r="N1934" s="4">
        <f t="shared" si="303"/>
        <v>1</v>
      </c>
      <c r="O1934" s="4">
        <f t="shared" si="308"/>
        <v>2500.35</v>
      </c>
      <c r="P1934" s="4">
        <f t="shared" si="309"/>
        <v>0</v>
      </c>
    </row>
    <row r="1935" spans="1:16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 s="7">
        <v>2558.6</v>
      </c>
      <c r="F1935">
        <v>2033160</v>
      </c>
      <c r="G1935" s="8">
        <f t="shared" si="300"/>
        <v>2563.5166666666664</v>
      </c>
      <c r="H1935" s="9">
        <f t="shared" si="301"/>
        <v>5212039545.999999</v>
      </c>
      <c r="I1935" s="9">
        <f t="shared" si="304"/>
        <v>27255382253.733334</v>
      </c>
      <c r="J1935" s="9">
        <f t="shared" si="305"/>
        <v>10939360</v>
      </c>
      <c r="K1935" s="21">
        <f t="shared" si="306"/>
        <v>2491.4969663429429</v>
      </c>
      <c r="L1935" s="4" t="str">
        <f t="shared" si="302"/>
        <v>BUY</v>
      </c>
      <c r="M1935" s="4">
        <f t="shared" si="307"/>
        <v>0</v>
      </c>
      <c r="N1935" s="4">
        <f t="shared" si="303"/>
        <v>1</v>
      </c>
      <c r="O1935" s="4">
        <f t="shared" si="308"/>
        <v>2500.35</v>
      </c>
      <c r="P1935" s="4">
        <f t="shared" si="309"/>
        <v>0</v>
      </c>
    </row>
    <row r="1936" spans="1:16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 s="7">
        <v>2584.4</v>
      </c>
      <c r="F1936">
        <v>609295</v>
      </c>
      <c r="G1936" s="8">
        <f t="shared" si="300"/>
        <v>2576.4833333333336</v>
      </c>
      <c r="H1936" s="9">
        <f t="shared" si="301"/>
        <v>1569838412.5833335</v>
      </c>
      <c r="I1936" s="9">
        <f t="shared" si="304"/>
        <v>26396407161.266666</v>
      </c>
      <c r="J1936" s="9">
        <f t="shared" si="305"/>
        <v>10556148</v>
      </c>
      <c r="K1936" s="21">
        <f t="shared" si="306"/>
        <v>2500.5719094945111</v>
      </c>
      <c r="L1936" s="4" t="str">
        <f t="shared" si="302"/>
        <v>BUY</v>
      </c>
      <c r="M1936" s="4">
        <f t="shared" si="307"/>
        <v>0</v>
      </c>
      <c r="N1936" s="4">
        <f t="shared" si="303"/>
        <v>1</v>
      </c>
      <c r="O1936" s="4">
        <f t="shared" si="308"/>
        <v>2500.35</v>
      </c>
      <c r="P1936" s="4">
        <f t="shared" si="309"/>
        <v>0</v>
      </c>
    </row>
    <row r="1937" spans="1:16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 s="7">
        <v>2594.5500000000002</v>
      </c>
      <c r="F1937">
        <v>721508</v>
      </c>
      <c r="G1937" s="8">
        <f t="shared" si="300"/>
        <v>2595.6833333333334</v>
      </c>
      <c r="H1937" s="9">
        <f t="shared" si="301"/>
        <v>1872806290.4666667</v>
      </c>
      <c r="I1937" s="9">
        <f t="shared" si="304"/>
        <v>25920005221.933331</v>
      </c>
      <c r="J1937" s="9">
        <f t="shared" si="305"/>
        <v>10316153</v>
      </c>
      <c r="K1937" s="21">
        <f t="shared" si="306"/>
        <v>2512.5650251535944</v>
      </c>
      <c r="L1937" s="4" t="str">
        <f t="shared" si="302"/>
        <v>BUY</v>
      </c>
      <c r="M1937" s="4">
        <f t="shared" si="307"/>
        <v>0</v>
      </c>
      <c r="N1937" s="4">
        <f t="shared" si="303"/>
        <v>1</v>
      </c>
      <c r="O1937" s="4">
        <f t="shared" si="308"/>
        <v>2500.35</v>
      </c>
      <c r="P1937" s="4">
        <f t="shared" si="309"/>
        <v>0</v>
      </c>
    </row>
    <row r="1938" spans="1:16" x14ac:dyDescent="0.25">
      <c r="A1938" s="1">
        <v>43990</v>
      </c>
      <c r="B1938">
        <v>2595</v>
      </c>
      <c r="C1938">
        <v>2613.65</v>
      </c>
      <c r="D1938">
        <v>2580</v>
      </c>
      <c r="E1938" s="7">
        <v>2586.6</v>
      </c>
      <c r="F1938">
        <v>757072</v>
      </c>
      <c r="G1938" s="8">
        <f t="shared" si="300"/>
        <v>2593.4166666666665</v>
      </c>
      <c r="H1938" s="9">
        <f t="shared" si="301"/>
        <v>1963403142.6666665</v>
      </c>
      <c r="I1938" s="9">
        <f t="shared" si="304"/>
        <v>26296177369.366669</v>
      </c>
      <c r="J1938" s="9">
        <f t="shared" si="305"/>
        <v>10422836</v>
      </c>
      <c r="K1938" s="21">
        <f t="shared" si="306"/>
        <v>2522.9388018161917</v>
      </c>
      <c r="L1938" s="4" t="str">
        <f t="shared" si="302"/>
        <v>BUY</v>
      </c>
      <c r="M1938" s="4">
        <f t="shared" si="307"/>
        <v>0</v>
      </c>
      <c r="N1938" s="4">
        <f t="shared" si="303"/>
        <v>1</v>
      </c>
      <c r="O1938" s="4">
        <f t="shared" si="308"/>
        <v>2500.35</v>
      </c>
      <c r="P1938" s="4">
        <f t="shared" si="309"/>
        <v>0</v>
      </c>
    </row>
    <row r="1939" spans="1:16" x14ac:dyDescent="0.25">
      <c r="A1939" s="1">
        <v>43991</v>
      </c>
      <c r="B1939">
        <v>2592</v>
      </c>
      <c r="C1939">
        <v>2595.8000000000002</v>
      </c>
      <c r="D1939">
        <v>2571</v>
      </c>
      <c r="E1939" s="7">
        <v>2583.9</v>
      </c>
      <c r="F1939">
        <v>43411</v>
      </c>
      <c r="G1939" s="8">
        <f t="shared" si="300"/>
        <v>2583.5666666666671</v>
      </c>
      <c r="H1939" s="9">
        <f t="shared" si="301"/>
        <v>112155212.56666668</v>
      </c>
      <c r="I1939" s="9">
        <f t="shared" si="304"/>
        <v>24359347273.48333</v>
      </c>
      <c r="J1939" s="9">
        <f t="shared" si="305"/>
        <v>9623904</v>
      </c>
      <c r="K1939" s="21">
        <f t="shared" si="306"/>
        <v>2531.1294952114372</v>
      </c>
      <c r="L1939" s="4" t="str">
        <f t="shared" si="302"/>
        <v>BUY</v>
      </c>
      <c r="M1939" s="4">
        <f t="shared" si="307"/>
        <v>0</v>
      </c>
      <c r="N1939" s="4">
        <f t="shared" si="303"/>
        <v>1</v>
      </c>
      <c r="O1939" s="4">
        <f t="shared" si="308"/>
        <v>2500.35</v>
      </c>
      <c r="P1939" s="4">
        <f t="shared" si="309"/>
        <v>0</v>
      </c>
    </row>
    <row r="1940" spans="1:16" x14ac:dyDescent="0.25">
      <c r="A1940" s="1">
        <v>43992</v>
      </c>
      <c r="B1940">
        <v>2584</v>
      </c>
      <c r="C1940">
        <v>2629</v>
      </c>
      <c r="D1940">
        <v>2547.4499999999998</v>
      </c>
      <c r="E1940" s="7">
        <v>2587.9</v>
      </c>
      <c r="F1940">
        <v>943044</v>
      </c>
      <c r="G1940" s="8">
        <f t="shared" si="300"/>
        <v>2588.1166666666668</v>
      </c>
      <c r="H1940" s="9">
        <f t="shared" si="301"/>
        <v>2440707893.8000002</v>
      </c>
      <c r="I1940" s="9">
        <f t="shared" si="304"/>
        <v>25102999953.349998</v>
      </c>
      <c r="J1940" s="9">
        <f t="shared" si="305"/>
        <v>9872354</v>
      </c>
      <c r="K1940" s="21">
        <f t="shared" si="306"/>
        <v>2542.7572748454927</v>
      </c>
      <c r="L1940" s="4" t="str">
        <f t="shared" si="302"/>
        <v>BUY</v>
      </c>
      <c r="M1940" s="4">
        <f t="shared" si="307"/>
        <v>0</v>
      </c>
      <c r="N1940" s="4">
        <f t="shared" si="303"/>
        <v>1</v>
      </c>
      <c r="O1940" s="4">
        <f t="shared" si="308"/>
        <v>2500.35</v>
      </c>
      <c r="P1940" s="4">
        <f t="shared" si="309"/>
        <v>0</v>
      </c>
    </row>
    <row r="1941" spans="1:16" x14ac:dyDescent="0.25">
      <c r="A1941" s="1">
        <v>43993</v>
      </c>
      <c r="B1941">
        <v>2620</v>
      </c>
      <c r="C1941">
        <v>2620.9</v>
      </c>
      <c r="D1941">
        <v>2569.0500000000002</v>
      </c>
      <c r="E1941" s="7">
        <v>2578.4</v>
      </c>
      <c r="F1941">
        <v>669510</v>
      </c>
      <c r="G1941" s="8">
        <f t="shared" si="300"/>
        <v>2589.4500000000003</v>
      </c>
      <c r="H1941" s="9">
        <f t="shared" si="301"/>
        <v>1733662669.5000002</v>
      </c>
      <c r="I1941" s="9">
        <f t="shared" si="304"/>
        <v>24660110627.916664</v>
      </c>
      <c r="J1941" s="9">
        <f t="shared" si="305"/>
        <v>9655056</v>
      </c>
      <c r="K1941" s="21">
        <f t="shared" si="306"/>
        <v>2554.1136817763318</v>
      </c>
      <c r="L1941" s="4" t="str">
        <f t="shared" si="302"/>
        <v>BUY</v>
      </c>
      <c r="M1941" s="4">
        <f t="shared" si="307"/>
        <v>0</v>
      </c>
      <c r="N1941" s="4">
        <f t="shared" si="303"/>
        <v>1</v>
      </c>
      <c r="O1941" s="4">
        <f t="shared" si="308"/>
        <v>2500.35</v>
      </c>
      <c r="P1941" s="4">
        <f t="shared" si="309"/>
        <v>0</v>
      </c>
    </row>
    <row r="1942" spans="1:16" x14ac:dyDescent="0.25">
      <c r="A1942" s="1">
        <v>43994</v>
      </c>
      <c r="B1942">
        <v>2578.5</v>
      </c>
      <c r="C1942">
        <v>2614</v>
      </c>
      <c r="D1942">
        <v>2555</v>
      </c>
      <c r="E1942" s="7">
        <v>2559.9</v>
      </c>
      <c r="F1942">
        <v>552553</v>
      </c>
      <c r="G1942" s="8">
        <f t="shared" si="300"/>
        <v>2576.2999999999997</v>
      </c>
      <c r="H1942" s="9">
        <f t="shared" si="301"/>
        <v>1423542293.8999999</v>
      </c>
      <c r="I1942" s="9">
        <f t="shared" si="304"/>
        <v>24580488971.066666</v>
      </c>
      <c r="J1942" s="9">
        <f t="shared" si="305"/>
        <v>9596604</v>
      </c>
      <c r="K1942" s="21">
        <f t="shared" si="306"/>
        <v>2561.3736870945872</v>
      </c>
      <c r="L1942" s="4" t="str">
        <f t="shared" si="302"/>
        <v>SELL</v>
      </c>
      <c r="M1942" s="4" t="str">
        <f t="shared" si="307"/>
        <v>SELL</v>
      </c>
      <c r="N1942" s="4">
        <f t="shared" si="303"/>
        <v>-1</v>
      </c>
      <c r="O1942" s="4">
        <f t="shared" si="308"/>
        <v>2559.9</v>
      </c>
      <c r="P1942" s="4">
        <f t="shared" si="309"/>
        <v>2.3816665666806722E-2</v>
      </c>
    </row>
    <row r="1943" spans="1:16" x14ac:dyDescent="0.25">
      <c r="A1943" s="1">
        <v>43997</v>
      </c>
      <c r="B1943">
        <v>2535.1</v>
      </c>
      <c r="C1943">
        <v>2569.15</v>
      </c>
      <c r="D1943">
        <v>2517.9</v>
      </c>
      <c r="E1943" s="7">
        <v>2538.85</v>
      </c>
      <c r="F1943">
        <v>1503776</v>
      </c>
      <c r="G1943" s="8">
        <f t="shared" si="300"/>
        <v>2541.9666666666667</v>
      </c>
      <c r="H1943" s="9">
        <f t="shared" si="301"/>
        <v>3822548466.1333332</v>
      </c>
      <c r="I1943" s="9">
        <f t="shared" si="304"/>
        <v>26500598999.483337</v>
      </c>
      <c r="J1943" s="9">
        <f t="shared" si="305"/>
        <v>10336507</v>
      </c>
      <c r="K1943" s="21">
        <f t="shared" si="306"/>
        <v>2563.7866834012048</v>
      </c>
      <c r="L1943" s="4" t="str">
        <f t="shared" si="302"/>
        <v>SELL</v>
      </c>
      <c r="M1943" s="4">
        <f t="shared" si="307"/>
        <v>0</v>
      </c>
      <c r="N1943" s="4">
        <f t="shared" si="303"/>
        <v>-1</v>
      </c>
      <c r="O1943" s="4">
        <f t="shared" si="308"/>
        <v>2559.9</v>
      </c>
      <c r="P1943" s="4">
        <f t="shared" si="309"/>
        <v>0</v>
      </c>
    </row>
    <row r="1944" spans="1:16" x14ac:dyDescent="0.25">
      <c r="A1944" s="1">
        <v>43998</v>
      </c>
      <c r="B1944">
        <v>2538</v>
      </c>
      <c r="C1944">
        <v>2593.15</v>
      </c>
      <c r="D1944">
        <v>2530.3000000000002</v>
      </c>
      <c r="E1944" s="7">
        <v>2584.3000000000002</v>
      </c>
      <c r="F1944">
        <v>704635</v>
      </c>
      <c r="G1944" s="8">
        <f t="shared" si="300"/>
        <v>2569.2500000000005</v>
      </c>
      <c r="H1944" s="9">
        <f t="shared" si="301"/>
        <v>1810383473.7500002</v>
      </c>
      <c r="I1944" s="9">
        <f t="shared" si="304"/>
        <v>21961087401.366665</v>
      </c>
      <c r="J1944" s="9">
        <f t="shared" si="305"/>
        <v>8537964</v>
      </c>
      <c r="K1944" s="21">
        <f t="shared" si="306"/>
        <v>2572.1691261952692</v>
      </c>
      <c r="L1944" s="4" t="str">
        <f t="shared" si="302"/>
        <v>BUY</v>
      </c>
      <c r="M1944" s="4" t="str">
        <f t="shared" si="307"/>
        <v>BUY</v>
      </c>
      <c r="N1944" s="4">
        <f t="shared" si="303"/>
        <v>1</v>
      </c>
      <c r="O1944" s="4">
        <f t="shared" si="308"/>
        <v>2584.3000000000002</v>
      </c>
      <c r="P1944" s="4">
        <f t="shared" si="309"/>
        <v>-9.5316223289972617E-3</v>
      </c>
    </row>
    <row r="1945" spans="1:16" x14ac:dyDescent="0.25">
      <c r="A1945" s="1">
        <v>43999</v>
      </c>
      <c r="B1945">
        <v>2586</v>
      </c>
      <c r="C1945">
        <v>2620</v>
      </c>
      <c r="D1945">
        <v>2581.6999999999998</v>
      </c>
      <c r="E1945" s="7">
        <v>2616.1999999999998</v>
      </c>
      <c r="F1945">
        <v>568626</v>
      </c>
      <c r="G1945" s="8">
        <f t="shared" si="300"/>
        <v>2605.9666666666667</v>
      </c>
      <c r="H1945" s="9">
        <f t="shared" si="301"/>
        <v>1481820401.8</v>
      </c>
      <c r="I1945" s="9">
        <f t="shared" si="304"/>
        <v>18230868257.166668</v>
      </c>
      <c r="J1945" s="9">
        <f t="shared" si="305"/>
        <v>7073430</v>
      </c>
      <c r="K1945" s="21">
        <f t="shared" si="306"/>
        <v>2577.3731071300158</v>
      </c>
      <c r="L1945" s="4" t="str">
        <f t="shared" si="302"/>
        <v>BUY</v>
      </c>
      <c r="M1945" s="4">
        <f t="shared" si="307"/>
        <v>0</v>
      </c>
      <c r="N1945" s="4">
        <f t="shared" si="303"/>
        <v>1</v>
      </c>
      <c r="O1945" s="4">
        <f t="shared" si="308"/>
        <v>2584.3000000000002</v>
      </c>
      <c r="P1945" s="4">
        <f t="shared" si="309"/>
        <v>0</v>
      </c>
    </row>
    <row r="1946" spans="1:16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 s="7">
        <v>2624</v>
      </c>
      <c r="F1946">
        <v>796317</v>
      </c>
      <c r="G1946" s="8">
        <f t="shared" si="300"/>
        <v>2621.7666666666669</v>
      </c>
      <c r="H1946" s="9">
        <f t="shared" si="301"/>
        <v>2087757366.7000003</v>
      </c>
      <c r="I1946" s="9">
        <f t="shared" si="304"/>
        <v>18748787211.283333</v>
      </c>
      <c r="J1946" s="9">
        <f t="shared" si="305"/>
        <v>7260452</v>
      </c>
      <c r="K1946" s="21">
        <f t="shared" si="306"/>
        <v>2582.3168049707283</v>
      </c>
      <c r="L1946" s="4" t="str">
        <f t="shared" si="302"/>
        <v>BUY</v>
      </c>
      <c r="M1946" s="4">
        <f t="shared" si="307"/>
        <v>0</v>
      </c>
      <c r="N1946" s="4">
        <f t="shared" si="303"/>
        <v>1</v>
      </c>
      <c r="O1946" s="4">
        <f t="shared" si="308"/>
        <v>2584.3000000000002</v>
      </c>
      <c r="P1946" s="4">
        <f t="shared" si="309"/>
        <v>0</v>
      </c>
    </row>
    <row r="1947" spans="1:16" x14ac:dyDescent="0.25">
      <c r="A1947" s="1">
        <v>44001</v>
      </c>
      <c r="B1947">
        <v>2624</v>
      </c>
      <c r="C1947">
        <v>2626.85</v>
      </c>
      <c r="D1947">
        <v>2578.85</v>
      </c>
      <c r="E1947" s="7">
        <v>2602.85</v>
      </c>
      <c r="F1947">
        <v>370941</v>
      </c>
      <c r="G1947" s="8">
        <f t="shared" si="300"/>
        <v>2602.85</v>
      </c>
      <c r="H1947" s="9">
        <f t="shared" si="301"/>
        <v>965503781.85000002</v>
      </c>
      <c r="I1947" s="9">
        <f t="shared" si="304"/>
        <v>17841484702.666664</v>
      </c>
      <c r="J1947" s="9">
        <f t="shared" si="305"/>
        <v>6909885</v>
      </c>
      <c r="K1947" s="21">
        <f t="shared" si="306"/>
        <v>2582.023391513269</v>
      </c>
      <c r="L1947" s="4" t="str">
        <f t="shared" si="302"/>
        <v>BUY</v>
      </c>
      <c r="M1947" s="4">
        <f t="shared" si="307"/>
        <v>0</v>
      </c>
      <c r="N1947" s="4">
        <f t="shared" si="303"/>
        <v>1</v>
      </c>
      <c r="O1947" s="4">
        <f t="shared" si="308"/>
        <v>2584.3000000000002</v>
      </c>
      <c r="P1947" s="4">
        <f t="shared" si="309"/>
        <v>0</v>
      </c>
    </row>
    <row r="1948" spans="1:16" x14ac:dyDescent="0.25">
      <c r="A1948" s="1">
        <v>44004</v>
      </c>
      <c r="B1948">
        <v>2608.5</v>
      </c>
      <c r="C1948">
        <v>2674</v>
      </c>
      <c r="D1948">
        <v>2606.75</v>
      </c>
      <c r="E1948" s="7">
        <v>2626.15</v>
      </c>
      <c r="F1948">
        <v>734211</v>
      </c>
      <c r="G1948" s="8">
        <f t="shared" si="300"/>
        <v>2635.6333333333332</v>
      </c>
      <c r="H1948" s="9">
        <f t="shared" si="301"/>
        <v>1935110985.3</v>
      </c>
      <c r="I1948" s="9">
        <f t="shared" si="304"/>
        <v>17813192545.299999</v>
      </c>
      <c r="J1948" s="9">
        <f t="shared" si="305"/>
        <v>6887024</v>
      </c>
      <c r="K1948" s="21">
        <f t="shared" si="306"/>
        <v>2586.4862014855762</v>
      </c>
      <c r="L1948" s="4" t="str">
        <f t="shared" si="302"/>
        <v>BUY</v>
      </c>
      <c r="M1948" s="4">
        <f t="shared" si="307"/>
        <v>0</v>
      </c>
      <c r="N1948" s="4">
        <f t="shared" si="303"/>
        <v>1</v>
      </c>
      <c r="O1948" s="4">
        <f t="shared" si="308"/>
        <v>2584.3000000000002</v>
      </c>
      <c r="P1948" s="4">
        <f t="shared" si="309"/>
        <v>0</v>
      </c>
    </row>
    <row r="1949" spans="1:16" x14ac:dyDescent="0.25">
      <c r="A1949" s="1">
        <v>44005</v>
      </c>
      <c r="B1949">
        <v>2632.4</v>
      </c>
      <c r="C1949">
        <v>2636.7</v>
      </c>
      <c r="D1949">
        <v>2602.8000000000002</v>
      </c>
      <c r="E1949" s="7">
        <v>2620.1</v>
      </c>
      <c r="F1949">
        <v>333443</v>
      </c>
      <c r="G1949" s="8">
        <f t="shared" si="300"/>
        <v>2619.8666666666668</v>
      </c>
      <c r="H1949" s="9">
        <f t="shared" si="301"/>
        <v>873576200.9333334</v>
      </c>
      <c r="I1949" s="9">
        <f t="shared" si="304"/>
        <v>18574613533.666668</v>
      </c>
      <c r="J1949" s="9">
        <f t="shared" si="305"/>
        <v>7177056</v>
      </c>
      <c r="K1949" s="21">
        <f t="shared" si="306"/>
        <v>2588.054702884674</v>
      </c>
      <c r="L1949" s="4" t="str">
        <f t="shared" si="302"/>
        <v>BUY</v>
      </c>
      <c r="M1949" s="4">
        <f t="shared" si="307"/>
        <v>0</v>
      </c>
      <c r="N1949" s="4">
        <f t="shared" si="303"/>
        <v>1</v>
      </c>
      <c r="O1949" s="4">
        <f t="shared" si="308"/>
        <v>2584.3000000000002</v>
      </c>
      <c r="P1949" s="4">
        <f t="shared" si="309"/>
        <v>0</v>
      </c>
    </row>
    <row r="1950" spans="1:16" x14ac:dyDescent="0.25">
      <c r="A1950" s="1">
        <v>44006</v>
      </c>
      <c r="B1950">
        <v>2620</v>
      </c>
      <c r="C1950">
        <v>2671.8</v>
      </c>
      <c r="D1950">
        <v>2611.75</v>
      </c>
      <c r="E1950" s="7">
        <v>2665.55</v>
      </c>
      <c r="F1950">
        <v>688500</v>
      </c>
      <c r="G1950" s="8">
        <f t="shared" si="300"/>
        <v>2649.7000000000003</v>
      </c>
      <c r="H1950" s="9">
        <f t="shared" si="301"/>
        <v>1824318450.0000002</v>
      </c>
      <c r="I1950" s="9">
        <f t="shared" si="304"/>
        <v>17958224089.866665</v>
      </c>
      <c r="J1950" s="9">
        <f t="shared" si="305"/>
        <v>6922512</v>
      </c>
      <c r="K1950" s="21">
        <f t="shared" si="306"/>
        <v>2594.1773867443876</v>
      </c>
      <c r="L1950" s="4" t="str">
        <f t="shared" si="302"/>
        <v>BUY</v>
      </c>
      <c r="M1950" s="4">
        <f t="shared" si="307"/>
        <v>0</v>
      </c>
      <c r="N1950" s="4">
        <f t="shared" si="303"/>
        <v>1</v>
      </c>
      <c r="O1950" s="4">
        <f t="shared" si="308"/>
        <v>2584.3000000000002</v>
      </c>
      <c r="P1950" s="4">
        <f t="shared" si="309"/>
        <v>0</v>
      </c>
    </row>
    <row r="1951" spans="1:16" x14ac:dyDescent="0.25">
      <c r="A1951" s="1">
        <v>44007</v>
      </c>
      <c r="B1951">
        <v>2670</v>
      </c>
      <c r="C1951">
        <v>2768</v>
      </c>
      <c r="D1951">
        <v>2666.05</v>
      </c>
      <c r="E1951" s="7">
        <v>2710.05</v>
      </c>
      <c r="F1951">
        <v>1348446</v>
      </c>
      <c r="G1951" s="8">
        <f t="shared" si="300"/>
        <v>2714.7000000000003</v>
      </c>
      <c r="H1951" s="9">
        <f t="shared" si="301"/>
        <v>3660626356.2000003</v>
      </c>
      <c r="I1951" s="9">
        <f t="shared" si="304"/>
        <v>19885187776.566666</v>
      </c>
      <c r="J1951" s="9">
        <f t="shared" si="305"/>
        <v>7601448</v>
      </c>
      <c r="K1951" s="21">
        <f t="shared" si="306"/>
        <v>2615.9736640396231</v>
      </c>
      <c r="L1951" s="4" t="str">
        <f t="shared" si="302"/>
        <v>BUY</v>
      </c>
      <c r="M1951" s="4">
        <f t="shared" si="307"/>
        <v>0</v>
      </c>
      <c r="N1951" s="4">
        <f t="shared" si="303"/>
        <v>1</v>
      </c>
      <c r="O1951" s="4">
        <f t="shared" si="308"/>
        <v>2584.3000000000002</v>
      </c>
      <c r="P1951" s="4">
        <f t="shared" si="309"/>
        <v>0</v>
      </c>
    </row>
    <row r="1952" spans="1:16" x14ac:dyDescent="0.25">
      <c r="A1952" s="1">
        <v>44008</v>
      </c>
      <c r="B1952">
        <v>2723</v>
      </c>
      <c r="C1952">
        <v>2759</v>
      </c>
      <c r="D1952">
        <v>2718.25</v>
      </c>
      <c r="E1952" s="7">
        <v>2735</v>
      </c>
      <c r="F1952">
        <v>701126</v>
      </c>
      <c r="G1952" s="8">
        <f t="shared" si="300"/>
        <v>2737.4166666666665</v>
      </c>
      <c r="H1952" s="9">
        <f t="shared" si="301"/>
        <v>1919273997.8333333</v>
      </c>
      <c r="I1952" s="9">
        <f t="shared" si="304"/>
        <v>20380919480.5</v>
      </c>
      <c r="J1952" s="9">
        <f t="shared" si="305"/>
        <v>7750021</v>
      </c>
      <c r="K1952" s="21">
        <f t="shared" si="306"/>
        <v>2629.788936120302</v>
      </c>
      <c r="L1952" s="4" t="str">
        <f t="shared" si="302"/>
        <v>BUY</v>
      </c>
      <c r="M1952" s="4">
        <f t="shared" si="307"/>
        <v>0</v>
      </c>
      <c r="N1952" s="4">
        <f t="shared" si="303"/>
        <v>1</v>
      </c>
      <c r="O1952" s="4">
        <f t="shared" si="308"/>
        <v>2584.3000000000002</v>
      </c>
      <c r="P1952" s="4">
        <f t="shared" si="309"/>
        <v>0</v>
      </c>
    </row>
    <row r="1953" spans="1:16" x14ac:dyDescent="0.25">
      <c r="A1953" s="1">
        <v>44011</v>
      </c>
      <c r="B1953">
        <v>2750</v>
      </c>
      <c r="C1953">
        <v>2750</v>
      </c>
      <c r="D1953">
        <v>2719.3</v>
      </c>
      <c r="E1953" s="7">
        <v>2736.4</v>
      </c>
      <c r="F1953">
        <v>576216</v>
      </c>
      <c r="G1953" s="8">
        <f t="shared" si="300"/>
        <v>2735.2333333333336</v>
      </c>
      <c r="H1953" s="9">
        <f t="shared" si="301"/>
        <v>1576085210.4000001</v>
      </c>
      <c r="I1953" s="9">
        <f t="shared" si="304"/>
        <v>18134456224.76667</v>
      </c>
      <c r="J1953" s="9">
        <f t="shared" si="305"/>
        <v>6822461</v>
      </c>
      <c r="K1953" s="21">
        <f t="shared" si="306"/>
        <v>2658.0520174122903</v>
      </c>
      <c r="L1953" s="4" t="str">
        <f t="shared" si="302"/>
        <v>BUY</v>
      </c>
      <c r="M1953" s="4">
        <f t="shared" si="307"/>
        <v>0</v>
      </c>
      <c r="N1953" s="4">
        <f t="shared" si="303"/>
        <v>1</v>
      </c>
      <c r="O1953" s="4">
        <f t="shared" si="308"/>
        <v>2584.3000000000002</v>
      </c>
      <c r="P1953" s="4">
        <f t="shared" si="309"/>
        <v>0</v>
      </c>
    </row>
    <row r="1954" spans="1:16" x14ac:dyDescent="0.25">
      <c r="A1954" s="1">
        <v>44012</v>
      </c>
      <c r="B1954">
        <v>2722.2</v>
      </c>
      <c r="C1954">
        <v>2726</v>
      </c>
      <c r="D1954">
        <v>2693.35</v>
      </c>
      <c r="E1954" s="7">
        <v>2708.75</v>
      </c>
      <c r="F1954">
        <v>678283</v>
      </c>
      <c r="G1954" s="8">
        <f t="shared" si="300"/>
        <v>2709.3666666666668</v>
      </c>
      <c r="H1954" s="9">
        <f t="shared" si="301"/>
        <v>1837717350.7666667</v>
      </c>
      <c r="I1954" s="9">
        <f t="shared" si="304"/>
        <v>18161790101.783337</v>
      </c>
      <c r="J1954" s="9">
        <f t="shared" si="305"/>
        <v>6796109</v>
      </c>
      <c r="K1954" s="21">
        <f t="shared" si="306"/>
        <v>2672.3806374770234</v>
      </c>
      <c r="L1954" s="4" t="str">
        <f t="shared" si="302"/>
        <v>BUY</v>
      </c>
      <c r="M1954" s="4">
        <f t="shared" si="307"/>
        <v>0</v>
      </c>
      <c r="N1954" s="4">
        <f t="shared" si="303"/>
        <v>1</v>
      </c>
      <c r="O1954" s="4">
        <f t="shared" si="308"/>
        <v>2584.3000000000002</v>
      </c>
      <c r="P1954" s="4">
        <f t="shared" si="309"/>
        <v>0</v>
      </c>
    </row>
    <row r="1955" spans="1:16" x14ac:dyDescent="0.25">
      <c r="A1955" s="1">
        <v>44013</v>
      </c>
      <c r="B1955">
        <v>2702.05</v>
      </c>
      <c r="C1955">
        <v>2777.4</v>
      </c>
      <c r="D1955">
        <v>2702.05</v>
      </c>
      <c r="E1955" s="7">
        <v>2758.95</v>
      </c>
      <c r="F1955">
        <v>748498</v>
      </c>
      <c r="G1955" s="8">
        <f t="shared" si="300"/>
        <v>2746.1333333333337</v>
      </c>
      <c r="H1955" s="9">
        <f t="shared" si="301"/>
        <v>2055475307.7333336</v>
      </c>
      <c r="I1955" s="9">
        <f t="shared" si="304"/>
        <v>18735445007.716667</v>
      </c>
      <c r="J1955" s="9">
        <f t="shared" si="305"/>
        <v>6975981</v>
      </c>
      <c r="K1955" s="21">
        <f t="shared" si="306"/>
        <v>2685.7075739909078</v>
      </c>
      <c r="L1955" s="4" t="str">
        <f t="shared" si="302"/>
        <v>BUY</v>
      </c>
      <c r="M1955" s="4">
        <f t="shared" si="307"/>
        <v>0</v>
      </c>
      <c r="N1955" s="4">
        <f t="shared" si="303"/>
        <v>1</v>
      </c>
      <c r="O1955" s="4">
        <f t="shared" si="308"/>
        <v>2584.3000000000002</v>
      </c>
      <c r="P1955" s="4">
        <f t="shared" si="309"/>
        <v>0</v>
      </c>
    </row>
    <row r="1956" spans="1:16" x14ac:dyDescent="0.25">
      <c r="A1956" s="1">
        <v>44014</v>
      </c>
      <c r="B1956">
        <v>2756.55</v>
      </c>
      <c r="C1956">
        <v>2756.55</v>
      </c>
      <c r="D1956">
        <v>2707.5</v>
      </c>
      <c r="E1956" s="7">
        <v>2714.6</v>
      </c>
      <c r="F1956">
        <v>828626</v>
      </c>
      <c r="G1956" s="8">
        <f t="shared" si="300"/>
        <v>2726.2166666666667</v>
      </c>
      <c r="H1956" s="9">
        <f t="shared" si="301"/>
        <v>2259014011.6333332</v>
      </c>
      <c r="I1956" s="9">
        <f t="shared" si="304"/>
        <v>18906701652.650002</v>
      </c>
      <c r="J1956" s="9">
        <f t="shared" si="305"/>
        <v>7008290</v>
      </c>
      <c r="K1956" s="21">
        <f t="shared" si="306"/>
        <v>2697.7624574111519</v>
      </c>
      <c r="L1956" s="4" t="str">
        <f t="shared" si="302"/>
        <v>BUY</v>
      </c>
      <c r="M1956" s="4">
        <f t="shared" si="307"/>
        <v>0</v>
      </c>
      <c r="N1956" s="4">
        <f t="shared" si="303"/>
        <v>1</v>
      </c>
      <c r="O1956" s="4">
        <f t="shared" si="308"/>
        <v>2584.3000000000002</v>
      </c>
      <c r="P1956" s="4">
        <f t="shared" si="309"/>
        <v>0</v>
      </c>
    </row>
    <row r="1957" spans="1:16" x14ac:dyDescent="0.25">
      <c r="A1957" s="1">
        <v>44015</v>
      </c>
      <c r="B1957">
        <v>2706</v>
      </c>
      <c r="C1957">
        <v>2755</v>
      </c>
      <c r="D1957">
        <v>2701.35</v>
      </c>
      <c r="E1957" s="7">
        <v>2705.3</v>
      </c>
      <c r="F1957">
        <v>3335417</v>
      </c>
      <c r="G1957" s="8">
        <f t="shared" si="300"/>
        <v>2720.55</v>
      </c>
      <c r="H1957" s="9">
        <f t="shared" si="301"/>
        <v>9074168719.3500004</v>
      </c>
      <c r="I1957" s="9">
        <f t="shared" si="304"/>
        <v>27015366590.150002</v>
      </c>
      <c r="J1957" s="9">
        <f t="shared" si="305"/>
        <v>9972766</v>
      </c>
      <c r="K1957" s="21">
        <f t="shared" si="306"/>
        <v>2708.914115717746</v>
      </c>
      <c r="L1957" s="4" t="str">
        <f t="shared" si="302"/>
        <v>SELL</v>
      </c>
      <c r="M1957" s="4" t="str">
        <f t="shared" si="307"/>
        <v>SELL</v>
      </c>
      <c r="N1957" s="4">
        <f t="shared" si="303"/>
        <v>-1</v>
      </c>
      <c r="O1957" s="4">
        <f t="shared" si="308"/>
        <v>2705.3</v>
      </c>
      <c r="P1957" s="4">
        <f t="shared" si="309"/>
        <v>4.6821189490384239E-2</v>
      </c>
    </row>
    <row r="1958" spans="1:16" x14ac:dyDescent="0.25">
      <c r="A1958" s="1">
        <v>44018</v>
      </c>
      <c r="B1958">
        <v>2710</v>
      </c>
      <c r="C1958">
        <v>2763</v>
      </c>
      <c r="D1958">
        <v>2686.95</v>
      </c>
      <c r="E1958" s="7">
        <v>2746.65</v>
      </c>
      <c r="F1958">
        <v>826741</v>
      </c>
      <c r="G1958" s="8">
        <f t="shared" si="300"/>
        <v>2732.2000000000003</v>
      </c>
      <c r="H1958" s="9">
        <f t="shared" si="301"/>
        <v>2258821760.2000003</v>
      </c>
      <c r="I1958" s="9">
        <f t="shared" si="304"/>
        <v>27339077365.049999</v>
      </c>
      <c r="J1958" s="9">
        <f t="shared" si="305"/>
        <v>10065296</v>
      </c>
      <c r="K1958" s="21">
        <f t="shared" si="306"/>
        <v>2716.1722183878151</v>
      </c>
      <c r="L1958" s="4" t="str">
        <f t="shared" si="302"/>
        <v>BUY</v>
      </c>
      <c r="M1958" s="4" t="str">
        <f t="shared" si="307"/>
        <v>BUY</v>
      </c>
      <c r="N1958" s="4">
        <f t="shared" si="303"/>
        <v>1</v>
      </c>
      <c r="O1958" s="4">
        <f t="shared" si="308"/>
        <v>2746.65</v>
      </c>
      <c r="P1958" s="4">
        <f t="shared" si="309"/>
        <v>-1.5284811296344179E-2</v>
      </c>
    </row>
    <row r="1959" spans="1:16" x14ac:dyDescent="0.25">
      <c r="A1959" s="1">
        <v>44019</v>
      </c>
      <c r="B1959">
        <v>2748.1</v>
      </c>
      <c r="C1959">
        <v>2748.1</v>
      </c>
      <c r="D1959">
        <v>2703.6</v>
      </c>
      <c r="E1959" s="7">
        <v>2707.3</v>
      </c>
      <c r="F1959">
        <v>662732</v>
      </c>
      <c r="G1959" s="8">
        <f t="shared" si="300"/>
        <v>2719.6666666666665</v>
      </c>
      <c r="H1959" s="9">
        <f t="shared" si="301"/>
        <v>1802410129.3333333</v>
      </c>
      <c r="I1959" s="9">
        <f t="shared" si="304"/>
        <v>28267911293.450001</v>
      </c>
      <c r="J1959" s="9">
        <f t="shared" si="305"/>
        <v>10394585</v>
      </c>
      <c r="K1959" s="21">
        <f t="shared" si="306"/>
        <v>2719.4843558881862</v>
      </c>
      <c r="L1959" s="4" t="str">
        <f t="shared" si="302"/>
        <v>SELL</v>
      </c>
      <c r="M1959" s="4" t="str">
        <f t="shared" si="307"/>
        <v>SELL</v>
      </c>
      <c r="N1959" s="4">
        <f t="shared" si="303"/>
        <v>-1</v>
      </c>
      <c r="O1959" s="4">
        <f t="shared" si="308"/>
        <v>2707.3</v>
      </c>
      <c r="P1959" s="4">
        <f t="shared" si="309"/>
        <v>-1.4326543243587609E-2</v>
      </c>
    </row>
    <row r="1960" spans="1:16" x14ac:dyDescent="0.25">
      <c r="A1960" s="1">
        <v>44020</v>
      </c>
      <c r="B1960">
        <v>2715</v>
      </c>
      <c r="C1960">
        <v>2726.9</v>
      </c>
      <c r="D1960">
        <v>2695.3</v>
      </c>
      <c r="E1960" s="7">
        <v>2703.45</v>
      </c>
      <c r="F1960">
        <v>507249</v>
      </c>
      <c r="G1960" s="8">
        <f t="shared" si="300"/>
        <v>2708.55</v>
      </c>
      <c r="H1960" s="9">
        <f t="shared" si="301"/>
        <v>1373909278.95</v>
      </c>
      <c r="I1960" s="9">
        <f t="shared" si="304"/>
        <v>27817502122.400002</v>
      </c>
      <c r="J1960" s="9">
        <f t="shared" si="305"/>
        <v>10213334</v>
      </c>
      <c r="K1960" s="21">
        <f t="shared" si="306"/>
        <v>2723.6455913808363</v>
      </c>
      <c r="L1960" s="4" t="str">
        <f t="shared" si="302"/>
        <v>SELL</v>
      </c>
      <c r="M1960" s="4">
        <f t="shared" si="307"/>
        <v>0</v>
      </c>
      <c r="N1960" s="4">
        <f t="shared" si="303"/>
        <v>-1</v>
      </c>
      <c r="O1960" s="4">
        <f t="shared" si="308"/>
        <v>2707.3</v>
      </c>
      <c r="P1960" s="4">
        <f t="shared" si="309"/>
        <v>0</v>
      </c>
    </row>
    <row r="1961" spans="1:16" x14ac:dyDescent="0.25">
      <c r="A1961" s="1">
        <v>44021</v>
      </c>
      <c r="B1961">
        <v>2701</v>
      </c>
      <c r="C1961">
        <v>2701</v>
      </c>
      <c r="D1961">
        <v>2666</v>
      </c>
      <c r="E1961" s="7">
        <v>2672.95</v>
      </c>
      <c r="F1961">
        <v>763870</v>
      </c>
      <c r="G1961" s="8">
        <f t="shared" si="300"/>
        <v>2679.9833333333331</v>
      </c>
      <c r="H1961" s="9">
        <f t="shared" si="301"/>
        <v>2047158868.8333333</v>
      </c>
      <c r="I1961" s="9">
        <f t="shared" si="304"/>
        <v>26204034635.033333</v>
      </c>
      <c r="J1961" s="9">
        <f t="shared" si="305"/>
        <v>9628758</v>
      </c>
      <c r="K1961" s="21">
        <f t="shared" si="306"/>
        <v>2721.4345437940524</v>
      </c>
      <c r="L1961" s="4" t="str">
        <f t="shared" si="302"/>
        <v>SELL</v>
      </c>
      <c r="M1961" s="4">
        <f t="shared" si="307"/>
        <v>0</v>
      </c>
      <c r="N1961" s="4">
        <f t="shared" si="303"/>
        <v>-1</v>
      </c>
      <c r="O1961" s="4">
        <f t="shared" si="308"/>
        <v>2707.3</v>
      </c>
      <c r="P1961" s="4">
        <f t="shared" si="309"/>
        <v>0</v>
      </c>
    </row>
    <row r="1962" spans="1:16" x14ac:dyDescent="0.25">
      <c r="A1962" s="1">
        <v>44022</v>
      </c>
      <c r="B1962">
        <v>2673</v>
      </c>
      <c r="C1962">
        <v>2709.7</v>
      </c>
      <c r="D1962">
        <v>2672.4</v>
      </c>
      <c r="E1962" s="7">
        <v>2680.65</v>
      </c>
      <c r="F1962">
        <v>911312</v>
      </c>
      <c r="G1962" s="8">
        <f t="shared" si="300"/>
        <v>2687.5833333333335</v>
      </c>
      <c r="H1962" s="9">
        <f t="shared" si="301"/>
        <v>2449226942.666667</v>
      </c>
      <c r="I1962" s="9">
        <f t="shared" si="304"/>
        <v>26733987579.866669</v>
      </c>
      <c r="J1962" s="9">
        <f t="shared" si="305"/>
        <v>9838944</v>
      </c>
      <c r="K1962" s="21">
        <f t="shared" si="306"/>
        <v>2717.1602541763291</v>
      </c>
      <c r="L1962" s="4" t="str">
        <f t="shared" si="302"/>
        <v>SELL</v>
      </c>
      <c r="M1962" s="4">
        <f t="shared" si="307"/>
        <v>0</v>
      </c>
      <c r="N1962" s="4">
        <f t="shared" si="303"/>
        <v>-1</v>
      </c>
      <c r="O1962" s="4">
        <f t="shared" si="308"/>
        <v>2707.3</v>
      </c>
      <c r="P1962" s="4">
        <f t="shared" si="309"/>
        <v>0</v>
      </c>
    </row>
    <row r="1963" spans="1:16" x14ac:dyDescent="0.25">
      <c r="A1963" s="1">
        <v>44025</v>
      </c>
      <c r="B1963">
        <v>2681</v>
      </c>
      <c r="C1963">
        <v>2693</v>
      </c>
      <c r="D1963">
        <v>2669</v>
      </c>
      <c r="E1963" s="7">
        <v>2681.25</v>
      </c>
      <c r="F1963">
        <v>396735</v>
      </c>
      <c r="G1963" s="8">
        <f t="shared" si="300"/>
        <v>2681.0833333333335</v>
      </c>
      <c r="H1963" s="9">
        <f t="shared" si="301"/>
        <v>1063679596.2500001</v>
      </c>
      <c r="I1963" s="9">
        <f t="shared" si="304"/>
        <v>26221581965.716667</v>
      </c>
      <c r="J1963" s="9">
        <f t="shared" si="305"/>
        <v>9659463</v>
      </c>
      <c r="K1963" s="21">
        <f t="shared" si="306"/>
        <v>2714.6003836565933</v>
      </c>
      <c r="L1963" s="4" t="str">
        <f t="shared" si="302"/>
        <v>SELL</v>
      </c>
      <c r="M1963" s="4">
        <f t="shared" si="307"/>
        <v>0</v>
      </c>
      <c r="N1963" s="4">
        <f t="shared" si="303"/>
        <v>-1</v>
      </c>
      <c r="O1963" s="4">
        <f t="shared" si="308"/>
        <v>2707.3</v>
      </c>
      <c r="P1963" s="4">
        <f t="shared" si="309"/>
        <v>0</v>
      </c>
    </row>
    <row r="1964" spans="1:16" x14ac:dyDescent="0.25">
      <c r="A1964" s="1">
        <v>44026</v>
      </c>
      <c r="B1964">
        <v>2682</v>
      </c>
      <c r="C1964">
        <v>2702.9</v>
      </c>
      <c r="D1964">
        <v>2673.1</v>
      </c>
      <c r="E1964" s="7">
        <v>2688.05</v>
      </c>
      <c r="F1964">
        <v>1143756</v>
      </c>
      <c r="G1964" s="8">
        <f t="shared" si="300"/>
        <v>2688.0166666666669</v>
      </c>
      <c r="H1964" s="9">
        <f t="shared" si="301"/>
        <v>3074435190.6000004</v>
      </c>
      <c r="I1964" s="9">
        <f t="shared" si="304"/>
        <v>27458299805.550003</v>
      </c>
      <c r="J1964" s="9">
        <f t="shared" si="305"/>
        <v>10124936</v>
      </c>
      <c r="K1964" s="21">
        <f t="shared" si="306"/>
        <v>2711.9479871823391</v>
      </c>
      <c r="L1964" s="4" t="str">
        <f t="shared" si="302"/>
        <v>SELL</v>
      </c>
      <c r="M1964" s="4">
        <f t="shared" si="307"/>
        <v>0</v>
      </c>
      <c r="N1964" s="4">
        <f t="shared" si="303"/>
        <v>-1</v>
      </c>
      <c r="O1964" s="4">
        <f t="shared" si="308"/>
        <v>2707.3</v>
      </c>
      <c r="P1964" s="4">
        <f t="shared" si="309"/>
        <v>0</v>
      </c>
    </row>
    <row r="1965" spans="1:16" x14ac:dyDescent="0.25">
      <c r="A1965" s="1">
        <v>44027</v>
      </c>
      <c r="B1965">
        <v>2688</v>
      </c>
      <c r="C1965">
        <v>2695.9</v>
      </c>
      <c r="D1965">
        <v>2662.2</v>
      </c>
      <c r="E1965" s="7">
        <v>2685.85</v>
      </c>
      <c r="F1965">
        <v>928393</v>
      </c>
      <c r="G1965" s="8">
        <f t="shared" si="300"/>
        <v>2681.3166666666671</v>
      </c>
      <c r="H1965" s="9">
        <f t="shared" si="301"/>
        <v>2489315624.1166673</v>
      </c>
      <c r="I1965" s="9">
        <f t="shared" si="304"/>
        <v>27892140121.933342</v>
      </c>
      <c r="J1965" s="9">
        <f t="shared" si="305"/>
        <v>10304831</v>
      </c>
      <c r="K1965" s="21">
        <f t="shared" si="306"/>
        <v>2706.7052455235162</v>
      </c>
      <c r="L1965" s="4" t="str">
        <f t="shared" si="302"/>
        <v>SELL</v>
      </c>
      <c r="M1965" s="4">
        <f t="shared" si="307"/>
        <v>0</v>
      </c>
      <c r="N1965" s="4">
        <f t="shared" si="303"/>
        <v>-1</v>
      </c>
      <c r="O1965" s="4">
        <f t="shared" si="308"/>
        <v>2707.3</v>
      </c>
      <c r="P1965" s="4">
        <f t="shared" si="309"/>
        <v>0</v>
      </c>
    </row>
    <row r="1966" spans="1:16" x14ac:dyDescent="0.25">
      <c r="A1966" s="1">
        <v>44028</v>
      </c>
      <c r="B1966">
        <v>2686</v>
      </c>
      <c r="C1966">
        <v>2702.4</v>
      </c>
      <c r="D1966">
        <v>2670</v>
      </c>
      <c r="E1966" s="7">
        <v>2685.3</v>
      </c>
      <c r="F1966">
        <v>455858</v>
      </c>
      <c r="G1966" s="8">
        <f t="shared" si="300"/>
        <v>2685.9</v>
      </c>
      <c r="H1966" s="9">
        <f t="shared" si="301"/>
        <v>1224389002.2</v>
      </c>
      <c r="I1966" s="9">
        <f t="shared" si="304"/>
        <v>26857515112.500004</v>
      </c>
      <c r="J1966" s="9">
        <f t="shared" si="305"/>
        <v>9932063</v>
      </c>
      <c r="K1966" s="21">
        <f t="shared" si="306"/>
        <v>2704.122508334875</v>
      </c>
      <c r="L1966" s="4" t="str">
        <f t="shared" si="302"/>
        <v>SELL</v>
      </c>
      <c r="M1966" s="4">
        <f t="shared" si="307"/>
        <v>0</v>
      </c>
      <c r="N1966" s="4">
        <f t="shared" si="303"/>
        <v>-1</v>
      </c>
      <c r="O1966" s="4">
        <f t="shared" si="308"/>
        <v>2707.3</v>
      </c>
      <c r="P1966" s="4">
        <f t="shared" si="309"/>
        <v>0</v>
      </c>
    </row>
    <row r="1967" spans="1:16" x14ac:dyDescent="0.25">
      <c r="A1967" s="1">
        <v>44029</v>
      </c>
      <c r="B1967">
        <v>2677.5</v>
      </c>
      <c r="C1967">
        <v>2693</v>
      </c>
      <c r="D1967">
        <v>2650</v>
      </c>
      <c r="E1967" s="7">
        <v>2658.15</v>
      </c>
      <c r="F1967">
        <v>723766</v>
      </c>
      <c r="G1967" s="8">
        <f t="shared" si="300"/>
        <v>2667.0499999999997</v>
      </c>
      <c r="H1967" s="9">
        <f t="shared" si="301"/>
        <v>1930320110.2999997</v>
      </c>
      <c r="I1967" s="9">
        <f t="shared" si="304"/>
        <v>19713666503.450001</v>
      </c>
      <c r="J1967" s="9">
        <f t="shared" si="305"/>
        <v>7320412</v>
      </c>
      <c r="K1967" s="21">
        <f t="shared" si="306"/>
        <v>2692.9722676059764</v>
      </c>
      <c r="L1967" s="4" t="str">
        <f t="shared" si="302"/>
        <v>SELL</v>
      </c>
      <c r="M1967" s="4">
        <f t="shared" si="307"/>
        <v>0</v>
      </c>
      <c r="N1967" s="4">
        <f t="shared" si="303"/>
        <v>-1</v>
      </c>
      <c r="O1967" s="4">
        <f t="shared" si="308"/>
        <v>2707.3</v>
      </c>
      <c r="P1967" s="4">
        <f t="shared" si="309"/>
        <v>0</v>
      </c>
    </row>
    <row r="1968" spans="1:16" x14ac:dyDescent="0.25">
      <c r="A1968" s="1">
        <v>44032</v>
      </c>
      <c r="B1968">
        <v>2653.65</v>
      </c>
      <c r="C1968">
        <v>2666.95</v>
      </c>
      <c r="D1968">
        <v>2623</v>
      </c>
      <c r="E1968" s="7">
        <v>2637</v>
      </c>
      <c r="F1968">
        <v>2149981</v>
      </c>
      <c r="G1968" s="8">
        <f t="shared" si="300"/>
        <v>2642.3166666666666</v>
      </c>
      <c r="H1968" s="9">
        <f t="shared" si="301"/>
        <v>5680930629.3166666</v>
      </c>
      <c r="I1968" s="9">
        <f t="shared" si="304"/>
        <v>23135775372.566669</v>
      </c>
      <c r="J1968" s="9">
        <f t="shared" si="305"/>
        <v>8643652</v>
      </c>
      <c r="K1968" s="21">
        <f t="shared" si="306"/>
        <v>2676.6204114379743</v>
      </c>
      <c r="L1968" s="4" t="str">
        <f t="shared" si="302"/>
        <v>SELL</v>
      </c>
      <c r="M1968" s="4">
        <f t="shared" si="307"/>
        <v>0</v>
      </c>
      <c r="N1968" s="4">
        <f t="shared" si="303"/>
        <v>-1</v>
      </c>
      <c r="O1968" s="4">
        <f t="shared" si="308"/>
        <v>2707.3</v>
      </c>
      <c r="P1968" s="4">
        <f t="shared" si="309"/>
        <v>0</v>
      </c>
    </row>
    <row r="1969" spans="1:16" x14ac:dyDescent="0.25">
      <c r="A1969" s="1">
        <v>44033</v>
      </c>
      <c r="B1969">
        <v>2635</v>
      </c>
      <c r="C1969">
        <v>2668</v>
      </c>
      <c r="D1969">
        <v>2621.5</v>
      </c>
      <c r="E1969" s="7">
        <v>2629.95</v>
      </c>
      <c r="F1969">
        <v>515572</v>
      </c>
      <c r="G1969" s="8">
        <f t="shared" si="300"/>
        <v>2639.8166666666666</v>
      </c>
      <c r="H1969" s="9">
        <f t="shared" si="301"/>
        <v>1361015558.4666667</v>
      </c>
      <c r="I1969" s="9">
        <f t="shared" si="304"/>
        <v>22694380801.700001</v>
      </c>
      <c r="J1969" s="9">
        <f t="shared" si="305"/>
        <v>8496492</v>
      </c>
      <c r="K1969" s="21">
        <f t="shared" si="306"/>
        <v>2671.0295027288912</v>
      </c>
      <c r="L1969" s="4" t="str">
        <f t="shared" si="302"/>
        <v>SELL</v>
      </c>
      <c r="M1969" s="4">
        <f t="shared" si="307"/>
        <v>0</v>
      </c>
      <c r="N1969" s="4">
        <f t="shared" si="303"/>
        <v>-1</v>
      </c>
      <c r="O1969" s="4">
        <f t="shared" si="308"/>
        <v>2707.3</v>
      </c>
      <c r="P1969" s="4">
        <f t="shared" si="309"/>
        <v>0</v>
      </c>
    </row>
    <row r="1970" spans="1:16" x14ac:dyDescent="0.25">
      <c r="A1970" s="1">
        <v>44034</v>
      </c>
      <c r="B1970">
        <v>2622</v>
      </c>
      <c r="C1970">
        <v>2658.5</v>
      </c>
      <c r="D1970">
        <v>2602.9499999999998</v>
      </c>
      <c r="E1970" s="7">
        <v>2632.35</v>
      </c>
      <c r="F1970">
        <v>629552</v>
      </c>
      <c r="G1970" s="8">
        <f t="shared" si="300"/>
        <v>2631.2666666666664</v>
      </c>
      <c r="H1970" s="9">
        <f t="shared" si="301"/>
        <v>1656519192.5333331</v>
      </c>
      <c r="I1970" s="9">
        <f t="shared" si="304"/>
        <v>22976990715.283333</v>
      </c>
      <c r="J1970" s="9">
        <f t="shared" si="305"/>
        <v>8618795</v>
      </c>
      <c r="K1970" s="21">
        <f t="shared" si="306"/>
        <v>2665.9168381755608</v>
      </c>
      <c r="L1970" s="4" t="str">
        <f t="shared" si="302"/>
        <v>SELL</v>
      </c>
      <c r="M1970" s="4">
        <f t="shared" si="307"/>
        <v>0</v>
      </c>
      <c r="N1970" s="4">
        <f t="shared" si="303"/>
        <v>-1</v>
      </c>
      <c r="O1970" s="4">
        <f t="shared" si="308"/>
        <v>2707.3</v>
      </c>
      <c r="P1970" s="4">
        <f t="shared" si="309"/>
        <v>0</v>
      </c>
    </row>
    <row r="1971" spans="1:16" x14ac:dyDescent="0.25">
      <c r="A1971" s="1">
        <v>44035</v>
      </c>
      <c r="B1971">
        <v>2631</v>
      </c>
      <c r="C1971">
        <v>2651.7</v>
      </c>
      <c r="D1971">
        <v>2628.15</v>
      </c>
      <c r="E1971" s="7">
        <v>2635.55</v>
      </c>
      <c r="F1971">
        <v>583957</v>
      </c>
      <c r="G1971" s="8">
        <f t="shared" si="300"/>
        <v>2638.4666666666667</v>
      </c>
      <c r="H1971" s="9">
        <f t="shared" si="301"/>
        <v>1540751079.2666667</v>
      </c>
      <c r="I1971" s="9">
        <f t="shared" si="304"/>
        <v>22470582925.716667</v>
      </c>
      <c r="J1971" s="9">
        <f t="shared" si="305"/>
        <v>8438882</v>
      </c>
      <c r="K1971" s="21">
        <f t="shared" si="306"/>
        <v>2662.7440608503198</v>
      </c>
      <c r="L1971" s="4" t="str">
        <f t="shared" si="302"/>
        <v>SELL</v>
      </c>
      <c r="M1971" s="4">
        <f t="shared" si="307"/>
        <v>0</v>
      </c>
      <c r="N1971" s="4">
        <f t="shared" si="303"/>
        <v>-1</v>
      </c>
      <c r="O1971" s="4">
        <f t="shared" si="308"/>
        <v>2707.3</v>
      </c>
      <c r="P1971" s="4">
        <f t="shared" si="309"/>
        <v>0</v>
      </c>
    </row>
    <row r="1972" spans="1:16" x14ac:dyDescent="0.25">
      <c r="A1972" s="1">
        <v>44036</v>
      </c>
      <c r="B1972">
        <v>2636</v>
      </c>
      <c r="C1972">
        <v>2645</v>
      </c>
      <c r="D1972">
        <v>2612.85</v>
      </c>
      <c r="E1972" s="7">
        <v>2633.3</v>
      </c>
      <c r="F1972">
        <v>703759</v>
      </c>
      <c r="G1972" s="8">
        <f t="shared" si="300"/>
        <v>2630.3833333333337</v>
      </c>
      <c r="H1972" s="9">
        <f t="shared" si="301"/>
        <v>1851155944.2833335</v>
      </c>
      <c r="I1972" s="9">
        <f t="shared" si="304"/>
        <v>21872511927.333332</v>
      </c>
      <c r="J1972" s="9">
        <f t="shared" si="305"/>
        <v>8231329</v>
      </c>
      <c r="K1972" s="21">
        <f t="shared" si="306"/>
        <v>2657.2272748827477</v>
      </c>
      <c r="L1972" s="4" t="str">
        <f t="shared" si="302"/>
        <v>SELL</v>
      </c>
      <c r="M1972" s="4">
        <f t="shared" si="307"/>
        <v>0</v>
      </c>
      <c r="N1972" s="4">
        <f t="shared" si="303"/>
        <v>-1</v>
      </c>
      <c r="O1972" s="4">
        <f t="shared" si="308"/>
        <v>2707.3</v>
      </c>
      <c r="P1972" s="4">
        <f t="shared" si="309"/>
        <v>0</v>
      </c>
    </row>
    <row r="1973" spans="1:16" x14ac:dyDescent="0.25">
      <c r="A1973" s="1">
        <v>44039</v>
      </c>
      <c r="B1973">
        <v>2632.3</v>
      </c>
      <c r="C1973">
        <v>2645.95</v>
      </c>
      <c r="D1973">
        <v>2615</v>
      </c>
      <c r="E1973" s="7">
        <v>2617.25</v>
      </c>
      <c r="F1973">
        <v>663150</v>
      </c>
      <c r="G1973" s="8">
        <f t="shared" si="300"/>
        <v>2626.0666666666666</v>
      </c>
      <c r="H1973" s="9">
        <f t="shared" si="301"/>
        <v>1741476110</v>
      </c>
      <c r="I1973" s="9">
        <f t="shared" si="304"/>
        <v>22550308441.083332</v>
      </c>
      <c r="J1973" s="9">
        <f t="shared" si="305"/>
        <v>8497744</v>
      </c>
      <c r="K1973" s="21">
        <f t="shared" si="306"/>
        <v>2653.681782021597</v>
      </c>
      <c r="L1973" s="4" t="str">
        <f t="shared" si="302"/>
        <v>SELL</v>
      </c>
      <c r="M1973" s="4">
        <f t="shared" si="307"/>
        <v>0</v>
      </c>
      <c r="N1973" s="4">
        <f t="shared" si="303"/>
        <v>-1</v>
      </c>
      <c r="O1973" s="4">
        <f t="shared" si="308"/>
        <v>2707.3</v>
      </c>
      <c r="P1973" s="4">
        <f t="shared" si="309"/>
        <v>0</v>
      </c>
    </row>
    <row r="1974" spans="1:16" x14ac:dyDescent="0.25">
      <c r="A1974" s="1">
        <v>44040</v>
      </c>
      <c r="B1974">
        <v>2618</v>
      </c>
      <c r="C1974">
        <v>2645</v>
      </c>
      <c r="D1974">
        <v>2597</v>
      </c>
      <c r="E1974" s="7">
        <v>2601.5</v>
      </c>
      <c r="F1974">
        <v>692774</v>
      </c>
      <c r="G1974" s="8">
        <f t="shared" si="300"/>
        <v>2614.5</v>
      </c>
      <c r="H1974" s="9">
        <f t="shared" si="301"/>
        <v>1811257623</v>
      </c>
      <c r="I1974" s="9">
        <f t="shared" si="304"/>
        <v>21287130873.483334</v>
      </c>
      <c r="J1974" s="9">
        <f t="shared" si="305"/>
        <v>8046762</v>
      </c>
      <c r="K1974" s="21">
        <f t="shared" si="306"/>
        <v>2645.4281701737086</v>
      </c>
      <c r="L1974" s="4" t="str">
        <f t="shared" si="302"/>
        <v>SELL</v>
      </c>
      <c r="M1974" s="4">
        <f t="shared" si="307"/>
        <v>0</v>
      </c>
      <c r="N1974" s="4">
        <f t="shared" si="303"/>
        <v>-1</v>
      </c>
      <c r="O1974" s="4">
        <f t="shared" si="308"/>
        <v>2707.3</v>
      </c>
      <c r="P1974" s="4">
        <f t="shared" si="309"/>
        <v>0</v>
      </c>
    </row>
    <row r="1975" spans="1:16" x14ac:dyDescent="0.25">
      <c r="A1975" s="1">
        <v>44041</v>
      </c>
      <c r="B1975">
        <v>2608.35</v>
      </c>
      <c r="C1975">
        <v>2672.65</v>
      </c>
      <c r="D1975">
        <v>2608.35</v>
      </c>
      <c r="E1975" s="7">
        <v>2661.1</v>
      </c>
      <c r="F1975">
        <v>504001</v>
      </c>
      <c r="G1975" s="8">
        <f t="shared" si="300"/>
        <v>2647.3666666666668</v>
      </c>
      <c r="H1975" s="9">
        <f t="shared" si="301"/>
        <v>1334275447.3666668</v>
      </c>
      <c r="I1975" s="9">
        <f t="shared" si="304"/>
        <v>20132090696.73333</v>
      </c>
      <c r="J1975" s="9">
        <f t="shared" si="305"/>
        <v>7622370</v>
      </c>
      <c r="K1975" s="21">
        <f t="shared" si="306"/>
        <v>2641.1851821327659</v>
      </c>
      <c r="L1975" s="4" t="str">
        <f t="shared" si="302"/>
        <v>BUY</v>
      </c>
      <c r="M1975" s="4" t="str">
        <f t="shared" si="307"/>
        <v>BUY</v>
      </c>
      <c r="N1975" s="4">
        <f t="shared" si="303"/>
        <v>1</v>
      </c>
      <c r="O1975" s="4">
        <f t="shared" si="308"/>
        <v>2661.1</v>
      </c>
      <c r="P1975" s="4">
        <f t="shared" si="309"/>
        <v>1.7064972481808542E-2</v>
      </c>
    </row>
    <row r="1976" spans="1:16" x14ac:dyDescent="0.25">
      <c r="A1976" s="1">
        <v>44042</v>
      </c>
      <c r="B1976">
        <v>2661</v>
      </c>
      <c r="C1976">
        <v>2662</v>
      </c>
      <c r="D1976">
        <v>2607.4</v>
      </c>
      <c r="E1976" s="7">
        <v>2612.15</v>
      </c>
      <c r="F1976">
        <v>941123</v>
      </c>
      <c r="G1976" s="8">
        <f t="shared" si="300"/>
        <v>2627.1833333333329</v>
      </c>
      <c r="H1976" s="9">
        <f t="shared" si="301"/>
        <v>2472502660.2166662</v>
      </c>
      <c r="I1976" s="9">
        <f t="shared" si="304"/>
        <v>21380204354.75</v>
      </c>
      <c r="J1976" s="9">
        <f t="shared" si="305"/>
        <v>8107635</v>
      </c>
      <c r="K1976" s="21">
        <f t="shared" si="306"/>
        <v>2637.0457420382145</v>
      </c>
      <c r="L1976" s="4" t="str">
        <f t="shared" si="302"/>
        <v>SELL</v>
      </c>
      <c r="M1976" s="4" t="str">
        <f t="shared" si="307"/>
        <v>SELL</v>
      </c>
      <c r="N1976" s="4">
        <f t="shared" si="303"/>
        <v>-1</v>
      </c>
      <c r="O1976" s="4">
        <f t="shared" si="308"/>
        <v>2612.15</v>
      </c>
      <c r="P1976" s="4">
        <f t="shared" si="309"/>
        <v>-1.839464882943137E-2</v>
      </c>
    </row>
    <row r="1977" spans="1:16" x14ac:dyDescent="0.25">
      <c r="A1977" s="1">
        <v>44043</v>
      </c>
      <c r="B1977">
        <v>2611.4</v>
      </c>
      <c r="C1977">
        <v>2651.45</v>
      </c>
      <c r="D1977">
        <v>2601</v>
      </c>
      <c r="E1977" s="7">
        <v>2628.4</v>
      </c>
      <c r="F1977">
        <v>1480729</v>
      </c>
      <c r="G1977" s="8">
        <f t="shared" si="300"/>
        <v>2626.9500000000003</v>
      </c>
      <c r="H1977" s="9">
        <f t="shared" si="301"/>
        <v>3889801046.5500002</v>
      </c>
      <c r="I1977" s="9">
        <f t="shared" si="304"/>
        <v>23339685290.999996</v>
      </c>
      <c r="J1977" s="9">
        <f t="shared" si="305"/>
        <v>8864598</v>
      </c>
      <c r="K1977" s="21">
        <f t="shared" si="306"/>
        <v>2632.9096131601227</v>
      </c>
      <c r="L1977" s="4" t="str">
        <f t="shared" si="302"/>
        <v>SELL</v>
      </c>
      <c r="M1977" s="4">
        <f t="shared" si="307"/>
        <v>0</v>
      </c>
      <c r="N1977" s="4">
        <f t="shared" si="303"/>
        <v>-1</v>
      </c>
      <c r="O1977" s="4">
        <f t="shared" si="308"/>
        <v>2612.15</v>
      </c>
      <c r="P1977" s="4">
        <f t="shared" si="309"/>
        <v>0</v>
      </c>
    </row>
    <row r="1978" spans="1:16" x14ac:dyDescent="0.25">
      <c r="A1978" s="1">
        <v>44046</v>
      </c>
      <c r="B1978">
        <v>2632</v>
      </c>
      <c r="C1978">
        <v>2632</v>
      </c>
      <c r="D1978">
        <v>2531.1</v>
      </c>
      <c r="E1978" s="7">
        <v>2557.8000000000002</v>
      </c>
      <c r="F1978">
        <v>2752075</v>
      </c>
      <c r="G1978" s="8">
        <f t="shared" si="300"/>
        <v>2573.6333333333337</v>
      </c>
      <c r="H1978" s="9">
        <f t="shared" si="301"/>
        <v>7082831955.833334</v>
      </c>
      <c r="I1978" s="9">
        <f t="shared" si="304"/>
        <v>24741586617.516663</v>
      </c>
      <c r="J1978" s="9">
        <f t="shared" si="305"/>
        <v>9466692</v>
      </c>
      <c r="K1978" s="21">
        <f t="shared" si="306"/>
        <v>2613.5408881493836</v>
      </c>
      <c r="L1978" s="4" t="str">
        <f t="shared" si="302"/>
        <v>SELL</v>
      </c>
      <c r="M1978" s="4">
        <f t="shared" si="307"/>
        <v>0</v>
      </c>
      <c r="N1978" s="4">
        <f t="shared" si="303"/>
        <v>-1</v>
      </c>
      <c r="O1978" s="4">
        <f t="shared" si="308"/>
        <v>2612.15</v>
      </c>
      <c r="P1978" s="4">
        <f t="shared" si="309"/>
        <v>0</v>
      </c>
    </row>
    <row r="1979" spans="1:16" x14ac:dyDescent="0.25">
      <c r="A1979" s="1">
        <v>44047</v>
      </c>
      <c r="B1979">
        <v>2563.75</v>
      </c>
      <c r="C1979">
        <v>2584.4499999999998</v>
      </c>
      <c r="D1979">
        <v>2536.85</v>
      </c>
      <c r="E1979" s="7">
        <v>2545.6</v>
      </c>
      <c r="F1979">
        <v>1359069</v>
      </c>
      <c r="G1979" s="8">
        <f t="shared" si="300"/>
        <v>2555.6333333333332</v>
      </c>
      <c r="H1979" s="9">
        <f t="shared" si="301"/>
        <v>3473282038.6999998</v>
      </c>
      <c r="I1979" s="9">
        <f t="shared" si="304"/>
        <v>26853853097.749996</v>
      </c>
      <c r="J1979" s="9">
        <f t="shared" si="305"/>
        <v>10310189</v>
      </c>
      <c r="K1979" s="21">
        <f t="shared" si="306"/>
        <v>2604.5936789083107</v>
      </c>
      <c r="L1979" s="4" t="str">
        <f t="shared" si="302"/>
        <v>SELL</v>
      </c>
      <c r="M1979" s="4">
        <f t="shared" si="307"/>
        <v>0</v>
      </c>
      <c r="N1979" s="4">
        <f t="shared" si="303"/>
        <v>-1</v>
      </c>
      <c r="O1979" s="4">
        <f t="shared" si="308"/>
        <v>2612.15</v>
      </c>
      <c r="P1979" s="4">
        <f t="shared" si="309"/>
        <v>0</v>
      </c>
    </row>
    <row r="1980" spans="1:16" x14ac:dyDescent="0.25">
      <c r="A1980" s="1">
        <v>44048</v>
      </c>
      <c r="B1980">
        <v>2537</v>
      </c>
      <c r="C1980">
        <v>2588.9499999999998</v>
      </c>
      <c r="D1980">
        <v>2494.35</v>
      </c>
      <c r="E1980" s="7">
        <v>2580.5</v>
      </c>
      <c r="F1980">
        <v>1090332</v>
      </c>
      <c r="G1980" s="8">
        <f t="shared" si="300"/>
        <v>2554.6</v>
      </c>
      <c r="H1980" s="9">
        <f t="shared" si="301"/>
        <v>2785362127.1999998</v>
      </c>
      <c r="I1980" s="9">
        <f t="shared" si="304"/>
        <v>27982696032.416672</v>
      </c>
      <c r="J1980" s="9">
        <f t="shared" si="305"/>
        <v>10770969</v>
      </c>
      <c r="K1980" s="21">
        <f t="shared" si="306"/>
        <v>2597.973871470308</v>
      </c>
      <c r="L1980" s="4" t="str">
        <f t="shared" si="302"/>
        <v>SELL</v>
      </c>
      <c r="M1980" s="4">
        <f t="shared" si="307"/>
        <v>0</v>
      </c>
      <c r="N1980" s="4">
        <f t="shared" si="303"/>
        <v>-1</v>
      </c>
      <c r="O1980" s="4">
        <f t="shared" si="308"/>
        <v>2612.15</v>
      </c>
      <c r="P1980" s="4">
        <f t="shared" si="309"/>
        <v>0</v>
      </c>
    </row>
    <row r="1981" spans="1:16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 s="7">
        <v>2575.3000000000002</v>
      </c>
      <c r="F1981">
        <v>900976</v>
      </c>
      <c r="G1981" s="8">
        <f t="shared" si="300"/>
        <v>2579.2666666666669</v>
      </c>
      <c r="H1981" s="9">
        <f t="shared" si="301"/>
        <v>2323857364.2666669</v>
      </c>
      <c r="I1981" s="9">
        <f t="shared" si="304"/>
        <v>28765802317.416668</v>
      </c>
      <c r="J1981" s="9">
        <f t="shared" si="305"/>
        <v>11087988</v>
      </c>
      <c r="K1981" s="21">
        <f t="shared" si="306"/>
        <v>2594.3211985273315</v>
      </c>
      <c r="L1981" s="4" t="str">
        <f t="shared" si="302"/>
        <v>SELL</v>
      </c>
      <c r="M1981" s="4">
        <f t="shared" si="307"/>
        <v>0</v>
      </c>
      <c r="N1981" s="4">
        <f t="shared" si="303"/>
        <v>-1</v>
      </c>
      <c r="O1981" s="4">
        <f t="shared" si="308"/>
        <v>2612.15</v>
      </c>
      <c r="P1981" s="4">
        <f t="shared" si="309"/>
        <v>0</v>
      </c>
    </row>
    <row r="1982" spans="1:16" x14ac:dyDescent="0.25">
      <c r="A1982" s="1">
        <v>44050</v>
      </c>
      <c r="B1982">
        <v>2582</v>
      </c>
      <c r="C1982">
        <v>2592.75</v>
      </c>
      <c r="D1982">
        <v>2550.65</v>
      </c>
      <c r="E1982" s="7">
        <v>2588.9499999999998</v>
      </c>
      <c r="F1982">
        <v>788785</v>
      </c>
      <c r="G1982" s="8">
        <f t="shared" si="300"/>
        <v>2577.4499999999998</v>
      </c>
      <c r="H1982" s="9">
        <f t="shared" si="301"/>
        <v>2033053898.2499998</v>
      </c>
      <c r="I1982" s="9">
        <f t="shared" si="304"/>
        <v>28947700271.383335</v>
      </c>
      <c r="J1982" s="9">
        <f t="shared" si="305"/>
        <v>11173014</v>
      </c>
      <c r="K1982" s="21">
        <f t="shared" si="306"/>
        <v>2590.8586771110586</v>
      </c>
      <c r="L1982" s="4" t="str">
        <f t="shared" si="302"/>
        <v>SELL</v>
      </c>
      <c r="M1982" s="4">
        <f t="shared" si="307"/>
        <v>0</v>
      </c>
      <c r="N1982" s="4">
        <f t="shared" si="303"/>
        <v>-1</v>
      </c>
      <c r="O1982" s="4">
        <f t="shared" si="308"/>
        <v>2612.15</v>
      </c>
      <c r="P1982" s="4">
        <f t="shared" si="309"/>
        <v>0</v>
      </c>
    </row>
    <row r="1983" spans="1:16" x14ac:dyDescent="0.25">
      <c r="A1983" s="1">
        <v>44053</v>
      </c>
      <c r="B1983">
        <v>2587</v>
      </c>
      <c r="C1983">
        <v>2608</v>
      </c>
      <c r="D1983">
        <v>2580.0500000000002</v>
      </c>
      <c r="E1983" s="7">
        <v>2595.6999999999998</v>
      </c>
      <c r="F1983">
        <v>646824</v>
      </c>
      <c r="G1983" s="8">
        <f t="shared" si="300"/>
        <v>2594.5833333333335</v>
      </c>
      <c r="H1983" s="9">
        <f t="shared" si="301"/>
        <v>1678238770</v>
      </c>
      <c r="I1983" s="9">
        <f t="shared" si="304"/>
        <v>28884462931.383335</v>
      </c>
      <c r="J1983" s="9">
        <f t="shared" si="305"/>
        <v>11156688</v>
      </c>
      <c r="K1983" s="21">
        <f t="shared" si="306"/>
        <v>2588.9818673232894</v>
      </c>
      <c r="L1983" s="4" t="str">
        <f t="shared" si="302"/>
        <v>BUY</v>
      </c>
      <c r="M1983" s="4" t="str">
        <f t="shared" si="307"/>
        <v>BUY</v>
      </c>
      <c r="N1983" s="4">
        <f t="shared" si="303"/>
        <v>1</v>
      </c>
      <c r="O1983" s="4">
        <f t="shared" si="308"/>
        <v>2595.6999999999998</v>
      </c>
      <c r="P1983" s="4">
        <f t="shared" si="309"/>
        <v>6.2974944011638962E-3</v>
      </c>
    </row>
    <row r="1984" spans="1:16" x14ac:dyDescent="0.25">
      <c r="A1984" s="1">
        <v>44054</v>
      </c>
      <c r="B1984">
        <v>2604</v>
      </c>
      <c r="C1984">
        <v>2663.9</v>
      </c>
      <c r="D1984">
        <v>2590.1999999999998</v>
      </c>
      <c r="E1984" s="7">
        <v>2646.75</v>
      </c>
      <c r="F1984">
        <v>1832832</v>
      </c>
      <c r="G1984" s="8">
        <f t="shared" si="300"/>
        <v>2633.6166666666668</v>
      </c>
      <c r="H1984" s="9">
        <f t="shared" si="301"/>
        <v>4826976902.4000006</v>
      </c>
      <c r="I1984" s="9">
        <f t="shared" si="304"/>
        <v>31900182210.783337</v>
      </c>
      <c r="J1984" s="9">
        <f t="shared" si="305"/>
        <v>12296746</v>
      </c>
      <c r="K1984" s="21">
        <f t="shared" si="306"/>
        <v>2594.1970510558922</v>
      </c>
      <c r="L1984" s="4" t="str">
        <f t="shared" si="302"/>
        <v>BUY</v>
      </c>
      <c r="M1984" s="4">
        <f t="shared" si="307"/>
        <v>0</v>
      </c>
      <c r="N1984" s="4">
        <f t="shared" si="303"/>
        <v>1</v>
      </c>
      <c r="O1984" s="4">
        <f t="shared" si="308"/>
        <v>2595.6999999999998</v>
      </c>
      <c r="P1984" s="4">
        <f t="shared" si="309"/>
        <v>0</v>
      </c>
    </row>
    <row r="1985" spans="1:17" x14ac:dyDescent="0.25">
      <c r="A1985" s="1">
        <v>44055</v>
      </c>
      <c r="B1985">
        <v>2686</v>
      </c>
      <c r="C1985">
        <v>2689.75</v>
      </c>
      <c r="D1985">
        <v>2631.6</v>
      </c>
      <c r="E1985" s="7">
        <v>2649.45</v>
      </c>
      <c r="F1985">
        <v>1087893</v>
      </c>
      <c r="G1985" s="8">
        <f t="shared" si="300"/>
        <v>2656.9333333333334</v>
      </c>
      <c r="H1985" s="9">
        <f t="shared" si="301"/>
        <v>2890459174.8000002</v>
      </c>
      <c r="I1985" s="9">
        <f t="shared" si="304"/>
        <v>33456365938.216667</v>
      </c>
      <c r="J1985" s="9">
        <f t="shared" si="305"/>
        <v>12880638</v>
      </c>
      <c r="K1985" s="21">
        <f t="shared" si="306"/>
        <v>2597.4152785146721</v>
      </c>
      <c r="L1985" s="4" t="str">
        <f t="shared" si="302"/>
        <v>BUY</v>
      </c>
      <c r="M1985" s="4">
        <f t="shared" si="307"/>
        <v>0</v>
      </c>
      <c r="N1985" s="4">
        <f t="shared" si="303"/>
        <v>1</v>
      </c>
      <c r="O1985" s="4">
        <f t="shared" si="308"/>
        <v>2595.6999999999998</v>
      </c>
      <c r="P1985" s="4">
        <f t="shared" si="309"/>
        <v>0</v>
      </c>
    </row>
    <row r="1986" spans="1:17" x14ac:dyDescent="0.25">
      <c r="A1986" s="1">
        <v>44056</v>
      </c>
      <c r="B1986">
        <v>2649.45</v>
      </c>
      <c r="C1986">
        <v>2658.5</v>
      </c>
      <c r="D1986">
        <v>2610.5</v>
      </c>
      <c r="E1986" s="7">
        <v>2619.9</v>
      </c>
      <c r="F1986">
        <v>369642</v>
      </c>
      <c r="G1986" s="8">
        <f t="shared" si="300"/>
        <v>2629.6333333333332</v>
      </c>
      <c r="H1986" s="9">
        <f t="shared" si="301"/>
        <v>972022924.5999999</v>
      </c>
      <c r="I1986" s="9">
        <f t="shared" si="304"/>
        <v>31955886202.600002</v>
      </c>
      <c r="J1986" s="9">
        <f t="shared" si="305"/>
        <v>12309157</v>
      </c>
      <c r="K1986" s="21">
        <f t="shared" si="306"/>
        <v>2596.1068010262607</v>
      </c>
      <c r="L1986" s="4" t="str">
        <f t="shared" si="302"/>
        <v>BUY</v>
      </c>
      <c r="M1986" s="4">
        <f t="shared" si="307"/>
        <v>0</v>
      </c>
      <c r="N1986" s="4">
        <f t="shared" si="303"/>
        <v>1</v>
      </c>
      <c r="O1986" s="4">
        <f t="shared" si="308"/>
        <v>2595.6999999999998</v>
      </c>
      <c r="P1986" s="4">
        <f t="shared" si="309"/>
        <v>0</v>
      </c>
    </row>
    <row r="1987" spans="1:17" x14ac:dyDescent="0.25">
      <c r="A1987" s="1">
        <v>44057</v>
      </c>
      <c r="B1987">
        <v>2608.8000000000002</v>
      </c>
      <c r="C1987">
        <v>2653.5</v>
      </c>
      <c r="D1987">
        <v>2605.65</v>
      </c>
      <c r="E1987" s="7">
        <v>2626.95</v>
      </c>
      <c r="F1987">
        <v>1302544</v>
      </c>
      <c r="G1987" s="8">
        <f t="shared" si="300"/>
        <v>2628.7</v>
      </c>
      <c r="H1987" s="9">
        <f t="shared" ref="H1987:H1988" si="310">G1987*F1987</f>
        <v>3423997412.7999997</v>
      </c>
      <c r="I1987" s="9">
        <f t="shared" si="304"/>
        <v>31490082568.849998</v>
      </c>
      <c r="J1987" s="9">
        <f t="shared" si="305"/>
        <v>12130972</v>
      </c>
      <c r="K1987" s="21">
        <f t="shared" si="306"/>
        <v>2595.8416661789342</v>
      </c>
      <c r="L1987" s="4" t="str">
        <f t="shared" si="302"/>
        <v>BUY</v>
      </c>
      <c r="M1987" s="4">
        <f t="shared" si="307"/>
        <v>0</v>
      </c>
      <c r="N1987" s="4">
        <f t="shared" si="303"/>
        <v>1</v>
      </c>
      <c r="O1987" s="4">
        <f t="shared" si="308"/>
        <v>2595.6999999999998</v>
      </c>
      <c r="P1987" s="4">
        <f t="shared" si="309"/>
        <v>0</v>
      </c>
    </row>
    <row r="1988" spans="1:17" x14ac:dyDescent="0.25">
      <c r="A1988" s="1">
        <v>44060</v>
      </c>
      <c r="B1988">
        <v>2623.1</v>
      </c>
      <c r="C1988">
        <v>2708.9</v>
      </c>
      <c r="D1988">
        <v>2618.5500000000002</v>
      </c>
      <c r="E1988" s="7">
        <v>2701.2</v>
      </c>
      <c r="F1988">
        <v>1304771</v>
      </c>
      <c r="G1988" s="8">
        <f t="shared" si="300"/>
        <v>2676.2166666666667</v>
      </c>
      <c r="H1988" s="9">
        <f t="shared" si="310"/>
        <v>3491849896.3833332</v>
      </c>
      <c r="I1988" s="9">
        <f t="shared" si="304"/>
        <v>27899100509.399994</v>
      </c>
      <c r="J1988" s="9">
        <f t="shared" si="305"/>
        <v>10683668</v>
      </c>
      <c r="K1988" s="21">
        <f t="shared" si="306"/>
        <v>2611.3784619102721</v>
      </c>
      <c r="L1988" s="4" t="str">
        <f t="shared" si="302"/>
        <v>BUY</v>
      </c>
      <c r="M1988" s="20" t="str">
        <f>IF(N1987=1,"SELL",IF(N1987=-1,"BUY",0))</f>
        <v>SELL</v>
      </c>
      <c r="N1988" s="20">
        <v>0</v>
      </c>
      <c r="O1988" s="4">
        <f t="shared" si="308"/>
        <v>2701.2</v>
      </c>
      <c r="P1988" s="4">
        <f t="shared" si="309"/>
        <v>4.0644142235235201E-2</v>
      </c>
      <c r="Q1988" s="13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VWAP Strategy</vt:lpstr>
      <vt:lpstr>VWAP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2023-08-14T10:26:14Z</dcterms:modified>
  <cp:category>Version 10.0.1</cp:category>
  <cp:contentStatus/>
</cp:coreProperties>
</file>