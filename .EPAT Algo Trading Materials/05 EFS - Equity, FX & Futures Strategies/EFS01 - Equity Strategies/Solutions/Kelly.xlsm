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626"/>
  <workbookPr defaultThemeVersion="124226"/>
  <mc:AlternateContent xmlns:mc="http://schemas.openxmlformats.org/markup-compatibility/2006">
    <mc:Choice Requires="x15">
      <x15ac:absPath xmlns:x15ac="http://schemas.microsoft.com/office/spreadsheetml/2010/11/ac" url="G:\My Drive\STUDY\EPAT\05 EFS - Equity, FX &amp; Futures Strategies\EFS01 - Equity Strategy Building\EFS01 Inclass Exercises Solution File\"/>
    </mc:Choice>
  </mc:AlternateContent>
  <xr:revisionPtr revIDLastSave="0" documentId="13_ncr:1_{352730DF-2253-4C02-BB77-60C4C61BFB08}" xr6:coauthVersionLast="47" xr6:coauthVersionMax="47" xr10:uidLastSave="{00000000-0000-0000-0000-000000000000}"/>
  <bookViews>
    <workbookView xWindow="-120" yWindow="-120" windowWidth="51840" windowHeight="21120" activeTab="1" xr2:uid="{00000000-000D-0000-FFFF-FFFF00000000}"/>
  </bookViews>
  <sheets>
    <sheet name="Working" sheetId="2" r:id="rId1"/>
    <sheet name="Kelly" sheetId="1" r:id="rId2"/>
    <sheet name="Kelly_SMA" sheetId="4" r:id="rId3"/>
    <sheet name="Sheet3" sheetId="3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" i="1" l="1"/>
  <c r="B36" i="2" l="1"/>
  <c r="B37" i="2" s="1"/>
  <c r="B38" i="2" s="1"/>
  <c r="B41" i="2" s="1"/>
  <c r="B42" i="2" s="1"/>
  <c r="B43" i="2" s="1"/>
  <c r="D106" i="4" l="1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B5" i="4"/>
  <c r="E105" i="4" s="1"/>
  <c r="F105" i="4" s="1"/>
  <c r="D2" i="4"/>
  <c r="D1" i="4"/>
  <c r="E28" i="4" l="1"/>
  <c r="E44" i="4"/>
  <c r="F44" i="4" s="1"/>
  <c r="E60" i="4"/>
  <c r="F60" i="4" s="1"/>
  <c r="E16" i="4"/>
  <c r="F16" i="4" s="1"/>
  <c r="E32" i="4"/>
  <c r="E48" i="4"/>
  <c r="F48" i="4" s="1"/>
  <c r="E68" i="4"/>
  <c r="F68" i="4" s="1"/>
  <c r="E20" i="4"/>
  <c r="F20" i="4" s="1"/>
  <c r="E36" i="4"/>
  <c r="F36" i="4" s="1"/>
  <c r="E52" i="4"/>
  <c r="F52" i="4" s="1"/>
  <c r="E12" i="4"/>
  <c r="F12" i="4" s="1"/>
  <c r="E8" i="4"/>
  <c r="F8" i="4" s="1"/>
  <c r="E24" i="4"/>
  <c r="F24" i="4" s="1"/>
  <c r="E40" i="4"/>
  <c r="F40" i="4" s="1"/>
  <c r="E56" i="4"/>
  <c r="F56" i="4" s="1"/>
  <c r="E10" i="4"/>
  <c r="F10" i="4" s="1"/>
  <c r="E18" i="4"/>
  <c r="F18" i="4" s="1"/>
  <c r="E26" i="4"/>
  <c r="F26" i="4" s="1"/>
  <c r="F32" i="4"/>
  <c r="E34" i="4"/>
  <c r="F34" i="4" s="1"/>
  <c r="E42" i="4"/>
  <c r="F42" i="4" s="1"/>
  <c r="E50" i="4"/>
  <c r="F50" i="4" s="1"/>
  <c r="E58" i="4"/>
  <c r="F58" i="4" s="1"/>
  <c r="E64" i="4"/>
  <c r="F64" i="4" s="1"/>
  <c r="E14" i="4"/>
  <c r="F14" i="4" s="1"/>
  <c r="E22" i="4"/>
  <c r="F22" i="4" s="1"/>
  <c r="F28" i="4"/>
  <c r="E30" i="4"/>
  <c r="F30" i="4" s="1"/>
  <c r="E38" i="4"/>
  <c r="F38" i="4" s="1"/>
  <c r="E46" i="4"/>
  <c r="F46" i="4" s="1"/>
  <c r="E54" i="4"/>
  <c r="F54" i="4" s="1"/>
  <c r="E72" i="4"/>
  <c r="F72" i="4" s="1"/>
  <c r="E76" i="4"/>
  <c r="F76" i="4" s="1"/>
  <c r="E80" i="4"/>
  <c r="F80" i="4" s="1"/>
  <c r="E84" i="4"/>
  <c r="F84" i="4" s="1"/>
  <c r="E88" i="4"/>
  <c r="F88" i="4" s="1"/>
  <c r="E92" i="4"/>
  <c r="F92" i="4" s="1"/>
  <c r="E96" i="4"/>
  <c r="F96" i="4" s="1"/>
  <c r="E100" i="4"/>
  <c r="F100" i="4" s="1"/>
  <c r="E104" i="4"/>
  <c r="F104" i="4" s="1"/>
  <c r="E7" i="4"/>
  <c r="F7" i="4" s="1"/>
  <c r="E11" i="4"/>
  <c r="F11" i="4" s="1"/>
  <c r="E15" i="4"/>
  <c r="F15" i="4" s="1"/>
  <c r="E19" i="4"/>
  <c r="F19" i="4" s="1"/>
  <c r="E23" i="4"/>
  <c r="F23" i="4" s="1"/>
  <c r="E27" i="4"/>
  <c r="F27" i="4" s="1"/>
  <c r="E31" i="4"/>
  <c r="F31" i="4" s="1"/>
  <c r="E35" i="4"/>
  <c r="F35" i="4" s="1"/>
  <c r="E39" i="4"/>
  <c r="F39" i="4" s="1"/>
  <c r="E43" i="4"/>
  <c r="F43" i="4" s="1"/>
  <c r="E47" i="4"/>
  <c r="F47" i="4" s="1"/>
  <c r="E51" i="4"/>
  <c r="F51" i="4" s="1"/>
  <c r="E55" i="4"/>
  <c r="F55" i="4" s="1"/>
  <c r="E59" i="4"/>
  <c r="F59" i="4" s="1"/>
  <c r="E63" i="4"/>
  <c r="F63" i="4" s="1"/>
  <c r="E67" i="4"/>
  <c r="F67" i="4" s="1"/>
  <c r="E71" i="4"/>
  <c r="F71" i="4" s="1"/>
  <c r="E75" i="4"/>
  <c r="F75" i="4" s="1"/>
  <c r="E79" i="4"/>
  <c r="F79" i="4" s="1"/>
  <c r="E83" i="4"/>
  <c r="F83" i="4" s="1"/>
  <c r="E87" i="4"/>
  <c r="F87" i="4" s="1"/>
  <c r="E91" i="4"/>
  <c r="F91" i="4" s="1"/>
  <c r="E95" i="4"/>
  <c r="F95" i="4" s="1"/>
  <c r="E99" i="4"/>
  <c r="F99" i="4" s="1"/>
  <c r="E103" i="4"/>
  <c r="F103" i="4" s="1"/>
  <c r="E62" i="4"/>
  <c r="F62" i="4" s="1"/>
  <c r="E66" i="4"/>
  <c r="F66" i="4" s="1"/>
  <c r="E70" i="4"/>
  <c r="F70" i="4" s="1"/>
  <c r="E74" i="4"/>
  <c r="F74" i="4" s="1"/>
  <c r="E78" i="4"/>
  <c r="F78" i="4" s="1"/>
  <c r="E82" i="4"/>
  <c r="F82" i="4" s="1"/>
  <c r="E86" i="4"/>
  <c r="F86" i="4" s="1"/>
  <c r="E90" i="4"/>
  <c r="F90" i="4" s="1"/>
  <c r="E94" i="4"/>
  <c r="F94" i="4" s="1"/>
  <c r="E98" i="4"/>
  <c r="F98" i="4" s="1"/>
  <c r="E102" i="4"/>
  <c r="F102" i="4" s="1"/>
  <c r="E106" i="4"/>
  <c r="F106" i="4" s="1"/>
  <c r="E9" i="4"/>
  <c r="F9" i="4" s="1"/>
  <c r="E13" i="4"/>
  <c r="F13" i="4" s="1"/>
  <c r="E17" i="4"/>
  <c r="F17" i="4" s="1"/>
  <c r="E21" i="4"/>
  <c r="F21" i="4" s="1"/>
  <c r="E25" i="4"/>
  <c r="F25" i="4" s="1"/>
  <c r="E29" i="4"/>
  <c r="F29" i="4" s="1"/>
  <c r="E33" i="4"/>
  <c r="F33" i="4" s="1"/>
  <c r="E37" i="4"/>
  <c r="F37" i="4" s="1"/>
  <c r="E41" i="4"/>
  <c r="F41" i="4" s="1"/>
  <c r="E45" i="4"/>
  <c r="F45" i="4" s="1"/>
  <c r="E49" i="4"/>
  <c r="F49" i="4" s="1"/>
  <c r="E53" i="4"/>
  <c r="F53" i="4" s="1"/>
  <c r="E57" i="4"/>
  <c r="F57" i="4" s="1"/>
  <c r="E61" i="4"/>
  <c r="F61" i="4" s="1"/>
  <c r="E65" i="4"/>
  <c r="F65" i="4" s="1"/>
  <c r="E69" i="4"/>
  <c r="F69" i="4" s="1"/>
  <c r="E73" i="4"/>
  <c r="F73" i="4" s="1"/>
  <c r="E77" i="4"/>
  <c r="F77" i="4" s="1"/>
  <c r="E81" i="4"/>
  <c r="F81" i="4" s="1"/>
  <c r="E85" i="4"/>
  <c r="F85" i="4" s="1"/>
  <c r="E89" i="4"/>
  <c r="F89" i="4" s="1"/>
  <c r="E93" i="4"/>
  <c r="F93" i="4" s="1"/>
  <c r="E97" i="4"/>
  <c r="F97" i="4" s="1"/>
  <c r="E101" i="4"/>
  <c r="F101" i="4" s="1"/>
  <c r="H2" i="2"/>
  <c r="D2" i="1" l="1"/>
  <c r="D1" i="1"/>
  <c r="B5" i="1"/>
  <c r="D106" i="1" l="1"/>
  <c r="E106" i="1"/>
  <c r="E105" i="1"/>
  <c r="D105" i="1"/>
  <c r="F105" i="1" s="1"/>
  <c r="E104" i="1"/>
  <c r="D104" i="1"/>
  <c r="F104" i="1" s="1"/>
  <c r="E103" i="1"/>
  <c r="D103" i="1"/>
  <c r="F103" i="1" s="1"/>
  <c r="D102" i="1"/>
  <c r="E102" i="1"/>
  <c r="E101" i="1"/>
  <c r="D101" i="1"/>
  <c r="F101" i="1" s="1"/>
  <c r="E100" i="1"/>
  <c r="D100" i="1"/>
  <c r="F100" i="1" s="1"/>
  <c r="E99" i="1"/>
  <c r="D99" i="1"/>
  <c r="F99" i="1" s="1"/>
  <c r="D98" i="1"/>
  <c r="E98" i="1"/>
  <c r="E97" i="1"/>
  <c r="D97" i="1"/>
  <c r="F97" i="1" s="1"/>
  <c r="E96" i="1"/>
  <c r="D96" i="1"/>
  <c r="F96" i="1" s="1"/>
  <c r="E95" i="1"/>
  <c r="D95" i="1"/>
  <c r="F95" i="1" s="1"/>
  <c r="D94" i="1"/>
  <c r="E94" i="1"/>
  <c r="E93" i="1"/>
  <c r="D93" i="1"/>
  <c r="F93" i="1" s="1"/>
  <c r="E92" i="1"/>
  <c r="D92" i="1"/>
  <c r="F92" i="1" s="1"/>
  <c r="E91" i="1"/>
  <c r="D91" i="1"/>
  <c r="F91" i="1" s="1"/>
  <c r="D90" i="1"/>
  <c r="E90" i="1"/>
  <c r="E89" i="1"/>
  <c r="D89" i="1"/>
  <c r="F89" i="1" s="1"/>
  <c r="E88" i="1"/>
  <c r="D88" i="1"/>
  <c r="F88" i="1" s="1"/>
  <c r="E87" i="1"/>
  <c r="D87" i="1"/>
  <c r="F87" i="1" s="1"/>
  <c r="D86" i="1"/>
  <c r="E86" i="1"/>
  <c r="E85" i="1"/>
  <c r="D85" i="1"/>
  <c r="F85" i="1" s="1"/>
  <c r="E84" i="1"/>
  <c r="D84" i="1"/>
  <c r="F84" i="1" s="1"/>
  <c r="E83" i="1"/>
  <c r="D83" i="1"/>
  <c r="F83" i="1" s="1"/>
  <c r="D82" i="1"/>
  <c r="E82" i="1"/>
  <c r="E81" i="1"/>
  <c r="D81" i="1"/>
  <c r="F81" i="1" s="1"/>
  <c r="E80" i="1"/>
  <c r="D80" i="1"/>
  <c r="F80" i="1" s="1"/>
  <c r="E79" i="1"/>
  <c r="D79" i="1"/>
  <c r="F79" i="1" s="1"/>
  <c r="D78" i="1"/>
  <c r="E78" i="1"/>
  <c r="E77" i="1"/>
  <c r="D77" i="1"/>
  <c r="F77" i="1" s="1"/>
  <c r="E76" i="1"/>
  <c r="D76" i="1"/>
  <c r="F76" i="1" s="1"/>
  <c r="E75" i="1"/>
  <c r="D75" i="1"/>
  <c r="F75" i="1" s="1"/>
  <c r="D74" i="1"/>
  <c r="E74" i="1"/>
  <c r="E73" i="1"/>
  <c r="D73" i="1"/>
  <c r="F73" i="1" s="1"/>
  <c r="E72" i="1"/>
  <c r="D72" i="1"/>
  <c r="F72" i="1" s="1"/>
  <c r="E71" i="1"/>
  <c r="D71" i="1"/>
  <c r="F71" i="1" s="1"/>
  <c r="D70" i="1"/>
  <c r="E70" i="1"/>
  <c r="E69" i="1"/>
  <c r="D69" i="1"/>
  <c r="F69" i="1" s="1"/>
  <c r="E68" i="1"/>
  <c r="D68" i="1"/>
  <c r="F68" i="1" s="1"/>
  <c r="E67" i="1"/>
  <c r="D67" i="1"/>
  <c r="F67" i="1" s="1"/>
  <c r="D66" i="1"/>
  <c r="E66" i="1"/>
  <c r="E65" i="1"/>
  <c r="D65" i="1"/>
  <c r="F65" i="1" s="1"/>
  <c r="E64" i="1"/>
  <c r="D64" i="1"/>
  <c r="F64" i="1" s="1"/>
  <c r="E63" i="1"/>
  <c r="D63" i="1"/>
  <c r="F63" i="1" s="1"/>
  <c r="D62" i="1"/>
  <c r="E62" i="1"/>
  <c r="E61" i="1"/>
  <c r="D61" i="1"/>
  <c r="F61" i="1" s="1"/>
  <c r="E60" i="1"/>
  <c r="D60" i="1"/>
  <c r="F60" i="1" s="1"/>
  <c r="E59" i="1"/>
  <c r="D59" i="1"/>
  <c r="F59" i="1" s="1"/>
  <c r="D58" i="1"/>
  <c r="E58" i="1"/>
  <c r="E57" i="1"/>
  <c r="D57" i="1"/>
  <c r="F57" i="1" s="1"/>
  <c r="E56" i="1"/>
  <c r="D56" i="1"/>
  <c r="F56" i="1" s="1"/>
  <c r="E55" i="1"/>
  <c r="D55" i="1"/>
  <c r="F55" i="1" s="1"/>
  <c r="D54" i="1"/>
  <c r="E54" i="1"/>
  <c r="E53" i="1"/>
  <c r="D53" i="1"/>
  <c r="F53" i="1" s="1"/>
  <c r="E52" i="1"/>
  <c r="D52" i="1"/>
  <c r="F52" i="1" s="1"/>
  <c r="E51" i="1"/>
  <c r="D51" i="1"/>
  <c r="F51" i="1" s="1"/>
  <c r="D50" i="1"/>
  <c r="E50" i="1"/>
  <c r="E49" i="1"/>
  <c r="D49" i="1"/>
  <c r="F49" i="1" s="1"/>
  <c r="E48" i="1"/>
  <c r="D48" i="1"/>
  <c r="F48" i="1" s="1"/>
  <c r="E47" i="1"/>
  <c r="D47" i="1"/>
  <c r="F47" i="1" s="1"/>
  <c r="D46" i="1"/>
  <c r="E46" i="1"/>
  <c r="E45" i="1"/>
  <c r="D45" i="1"/>
  <c r="F45" i="1" s="1"/>
  <c r="E44" i="1"/>
  <c r="D44" i="1"/>
  <c r="F44" i="1" s="1"/>
  <c r="E43" i="1"/>
  <c r="D43" i="1"/>
  <c r="F43" i="1" s="1"/>
  <c r="D42" i="1"/>
  <c r="E42" i="1"/>
  <c r="E41" i="1"/>
  <c r="D41" i="1"/>
  <c r="F41" i="1" s="1"/>
  <c r="E40" i="1"/>
  <c r="D40" i="1"/>
  <c r="F40" i="1" s="1"/>
  <c r="E39" i="1"/>
  <c r="D39" i="1"/>
  <c r="F39" i="1" s="1"/>
  <c r="D38" i="1"/>
  <c r="E38" i="1"/>
  <c r="E37" i="1"/>
  <c r="D37" i="1"/>
  <c r="F37" i="1" s="1"/>
  <c r="E36" i="1"/>
  <c r="D36" i="1"/>
  <c r="F36" i="1" s="1"/>
  <c r="E35" i="1"/>
  <c r="D35" i="1"/>
  <c r="F35" i="1" s="1"/>
  <c r="D34" i="1"/>
  <c r="E34" i="1"/>
  <c r="E33" i="1"/>
  <c r="D33" i="1"/>
  <c r="F33" i="1" s="1"/>
  <c r="E32" i="1"/>
  <c r="D32" i="1"/>
  <c r="F32" i="1" s="1"/>
  <c r="E31" i="1"/>
  <c r="D31" i="1"/>
  <c r="F31" i="1" s="1"/>
  <c r="D30" i="1"/>
  <c r="E30" i="1"/>
  <c r="E29" i="1"/>
  <c r="D29" i="1"/>
  <c r="F29" i="1" s="1"/>
  <c r="E28" i="1"/>
  <c r="D28" i="1"/>
  <c r="F28" i="1" s="1"/>
  <c r="E27" i="1"/>
  <c r="D27" i="1"/>
  <c r="F27" i="1" s="1"/>
  <c r="D26" i="1"/>
  <c r="E26" i="1"/>
  <c r="E25" i="1"/>
  <c r="D25" i="1"/>
  <c r="F25" i="1" s="1"/>
  <c r="E24" i="1"/>
  <c r="D24" i="1"/>
  <c r="F24" i="1" s="1"/>
  <c r="E23" i="1"/>
  <c r="D23" i="1"/>
  <c r="F23" i="1" s="1"/>
  <c r="D22" i="1"/>
  <c r="E22" i="1"/>
  <c r="E21" i="1"/>
  <c r="D21" i="1"/>
  <c r="F21" i="1" s="1"/>
  <c r="E20" i="1"/>
  <c r="D20" i="1"/>
  <c r="F20" i="1" s="1"/>
  <c r="E19" i="1"/>
  <c r="D19" i="1"/>
  <c r="F19" i="1" s="1"/>
  <c r="D18" i="1"/>
  <c r="E18" i="1"/>
  <c r="E17" i="1"/>
  <c r="D17" i="1"/>
  <c r="F17" i="1" s="1"/>
  <c r="E16" i="1"/>
  <c r="D16" i="1"/>
  <c r="F16" i="1" s="1"/>
  <c r="E15" i="1"/>
  <c r="D15" i="1"/>
  <c r="F15" i="1" s="1"/>
  <c r="D14" i="1"/>
  <c r="E14" i="1"/>
  <c r="E13" i="1"/>
  <c r="D13" i="1"/>
  <c r="F13" i="1" s="1"/>
  <c r="E12" i="1"/>
  <c r="D12" i="1"/>
  <c r="F12" i="1" s="1"/>
  <c r="E11" i="1"/>
  <c r="D11" i="1"/>
  <c r="F11" i="1" s="1"/>
  <c r="D10" i="1"/>
  <c r="E10" i="1"/>
  <c r="E9" i="1"/>
  <c r="D9" i="1"/>
  <c r="F9" i="1" s="1"/>
  <c r="E8" i="1"/>
  <c r="D8" i="1"/>
  <c r="E7" i="1"/>
  <c r="D7" i="1"/>
  <c r="F7" i="1" s="1"/>
  <c r="F86" i="1" l="1"/>
  <c r="F10" i="1"/>
  <c r="F14" i="1"/>
  <c r="F18" i="1"/>
  <c r="F22" i="1"/>
  <c r="F26" i="1"/>
  <c r="F30" i="1"/>
  <c r="F34" i="1"/>
  <c r="F38" i="1"/>
  <c r="F42" i="1"/>
  <c r="F46" i="1"/>
  <c r="F50" i="1"/>
  <c r="F54" i="1"/>
  <c r="F58" i="1"/>
  <c r="F62" i="1"/>
  <c r="F66" i="1"/>
  <c r="F70" i="1"/>
  <c r="F74" i="1"/>
  <c r="F78" i="1"/>
  <c r="F82" i="1"/>
  <c r="F90" i="1"/>
  <c r="F94" i="1"/>
  <c r="F98" i="1"/>
  <c r="F102" i="1"/>
  <c r="F106" i="1"/>
</calcChain>
</file>

<file path=xl/sharedStrings.xml><?xml version="1.0" encoding="utf-8"?>
<sst xmlns="http://schemas.openxmlformats.org/spreadsheetml/2006/main" count="119" uniqueCount="85">
  <si>
    <t>Number of time invested the strategy</t>
  </si>
  <si>
    <t>Prob of winning</t>
  </si>
  <si>
    <t>Prob of Losing</t>
  </si>
  <si>
    <t>Fraction of money invested</t>
  </si>
  <si>
    <t>Wins</t>
  </si>
  <si>
    <t>Losses</t>
  </si>
  <si>
    <t>Final Wealth</t>
  </si>
  <si>
    <t>W</t>
  </si>
  <si>
    <t>Wealth</t>
  </si>
  <si>
    <t>Fraction</t>
  </si>
  <si>
    <t>x%</t>
  </si>
  <si>
    <t>of my total wealth</t>
  </si>
  <si>
    <t>WIN</t>
  </si>
  <si>
    <t>Total Wealth after winning</t>
  </si>
  <si>
    <t>Case 1 (I win)</t>
  </si>
  <si>
    <t>100$</t>
  </si>
  <si>
    <t>10$</t>
  </si>
  <si>
    <t>20$</t>
  </si>
  <si>
    <t>120$</t>
  </si>
  <si>
    <t>wealth</t>
  </si>
  <si>
    <t>money invested</t>
  </si>
  <si>
    <t>money won</t>
  </si>
  <si>
    <t>final money</t>
  </si>
  <si>
    <t>Example</t>
  </si>
  <si>
    <t>Lose</t>
  </si>
  <si>
    <t>xW</t>
  </si>
  <si>
    <t>Wealth after losing</t>
  </si>
  <si>
    <t>you will end up with $120</t>
  </si>
  <si>
    <t>Wealth to start</t>
  </si>
  <si>
    <t>Case 1a (I win)</t>
  </si>
  <si>
    <t>Case 2 (I lose)</t>
  </si>
  <si>
    <t>Case 2a</t>
  </si>
  <si>
    <t>wealth after losing</t>
  </si>
  <si>
    <t>If I invest 10 times in this strategy:</t>
  </si>
  <si>
    <t>win 5 times</t>
  </si>
  <si>
    <t>lose 5 times</t>
  </si>
  <si>
    <t>Money invested</t>
  </si>
  <si>
    <t>Winning Returns</t>
  </si>
  <si>
    <t>Losing returns</t>
  </si>
  <si>
    <t>10000$</t>
  </si>
  <si>
    <t>0.2xW</t>
  </si>
  <si>
    <t>W+0.2xW</t>
  </si>
  <si>
    <t>W(1+0.2x)</t>
  </si>
  <si>
    <t>0.1xW</t>
  </si>
  <si>
    <t>W-0.1xW</t>
  </si>
  <si>
    <t>W(1-0.1x)</t>
  </si>
  <si>
    <t>x*W(1+0.2x)</t>
  </si>
  <si>
    <t>W(1+0.2x) + 0.2x*W(1+0.2x)</t>
  </si>
  <si>
    <t>0.2*x*W(1+0.2x)</t>
  </si>
  <si>
    <t>W(1+0.2x)(1+0.2x)</t>
  </si>
  <si>
    <t>x*W(1-0.1x)</t>
  </si>
  <si>
    <t>W(1-0.1x)(1-0.1x)</t>
  </si>
  <si>
    <t>Whenever I win---&gt; my money will increase by (1+0.2x)</t>
  </si>
  <si>
    <t>Whenever I lose---&gt; my money will get multiplied by (1-0.1x)</t>
  </si>
  <si>
    <t>Wealth ---&gt; W(1+0.2x)^5*(1-0.1x)^5</t>
  </si>
  <si>
    <t>trade 3 times</t>
  </si>
  <si>
    <t>Win the 1st time</t>
  </si>
  <si>
    <t>lose the 2nd time</t>
  </si>
  <si>
    <t>Win again the 3rd time</t>
  </si>
  <si>
    <t>W*(1+0.2x)</t>
  </si>
  <si>
    <t>2nd trade</t>
  </si>
  <si>
    <t>1st trade</t>
  </si>
  <si>
    <t>W*(1+0.2x)*(1-0.1x)</t>
  </si>
  <si>
    <t>3rd trade</t>
  </si>
  <si>
    <t>0.1*x*W*(1-0.1x)</t>
  </si>
  <si>
    <t>W(1-0.1x)-0.1*x*W*(1-0.1x)</t>
  </si>
  <si>
    <t>x= 0.01</t>
  </si>
  <si>
    <t>Avg. Returns of +ve trade</t>
  </si>
  <si>
    <t>Avg. Returns of -ve trade</t>
  </si>
  <si>
    <t>Start</t>
  </si>
  <si>
    <t>*(1+0.2x)</t>
  </si>
  <si>
    <t>*(1-0.1x)</t>
  </si>
  <si>
    <t>x</t>
  </si>
  <si>
    <t>Win</t>
  </si>
  <si>
    <t>Win%</t>
  </si>
  <si>
    <t>Total wealth</t>
  </si>
  <si>
    <t>Case 1a</t>
  </si>
  <si>
    <t>Example with numbers</t>
  </si>
  <si>
    <t>Starting Wealth is W</t>
  </si>
  <si>
    <t>Win 'n' times</t>
  </si>
  <si>
    <t>Lose 'm' times</t>
  </si>
  <si>
    <t>Total W =</t>
  </si>
  <si>
    <t>W*(1+0.2x)^n  * (1-0.1x)^m</t>
  </si>
  <si>
    <t>Avg returns on a positive trade are 20%</t>
  </si>
  <si>
    <t>Avg Losses on a negative trade were 10%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</si>
</sst>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_);[Red]\(&quot;$&quot;#,##0\)"/>
    <numFmt numFmtId="165" formatCode="_(&quot;$&quot;* #,##0.00_);_(&quot;$&quot;* \(#,##0.00\);_(&quot;$&quot;* &quot;-&quot;??_);_(@_)"/>
    <numFmt numFmtId="166" formatCode="_(&quot;$&quot;* #,##0_);_(&quot;$&quot;* \(#,##0\);_(&quot;$&quot;* &quot;-&quot;??_);_(@_)"/>
    <numFmt numFmtId="167" formatCode="_(&quot;$&quot;* #,##0.00000_);_(&quot;$&quot;* \(#,##0.000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29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9" fontId="0" fillId="0" borderId="0" xfId="0" applyNumberFormat="1"/>
    <xf numFmtId="166" fontId="0" fillId="0" borderId="0" xfId="1" applyNumberFormat="1" applyFont="1"/>
    <xf numFmtId="165" fontId="0" fillId="0" borderId="0" xfId="0" applyNumberFormat="1"/>
    <xf numFmtId="0" fontId="0" fillId="2" borderId="0" xfId="0" applyFill="1"/>
    <xf numFmtId="0" fontId="2" fillId="0" borderId="0" xfId="0" applyFont="1" applyAlignment="1">
      <alignment wrapText="1"/>
    </xf>
    <xf numFmtId="0" fontId="2" fillId="0" borderId="0" xfId="0" applyFont="1"/>
    <xf numFmtId="164" fontId="0" fillId="0" borderId="0" xfId="0" applyNumberFormat="1"/>
    <xf numFmtId="0" fontId="2" fillId="2" borderId="0" xfId="0" applyFont="1" applyFill="1"/>
    <xf numFmtId="0" fontId="2" fillId="3" borderId="0" xfId="0" applyFont="1" applyFill="1"/>
    <xf numFmtId="0" fontId="2" fillId="4" borderId="0" xfId="0" applyFont="1" applyFill="1"/>
    <xf numFmtId="0" fontId="2" fillId="5" borderId="0" xfId="0" applyFont="1" applyFill="1"/>
    <xf numFmtId="0" fontId="0" fillId="5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2" fillId="7" borderId="0" xfId="0" applyFont="1" applyFill="1"/>
    <xf numFmtId="0" fontId="2" fillId="0" borderId="2" xfId="0" applyFont="1" applyBorder="1"/>
    <xf numFmtId="0" fontId="2" fillId="0" borderId="4" xfId="0" applyFont="1" applyBorder="1"/>
    <xf numFmtId="0" fontId="0" fillId="8" borderId="0" xfId="0" applyFill="1"/>
    <xf numFmtId="167" fontId="0" fillId="0" borderId="0" xfId="0" applyNumberFormat="1"/>
    <xf numFmtId="167" fontId="0" fillId="2" borderId="0" xfId="0" applyNumberFormat="1" applyFill="1"/>
    <xf numFmtId="9" fontId="0" fillId="2" borderId="0" xfId="0" applyNumberFormat="1" applyFill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Money Management &amp; Kelly</a:t>
            </a:r>
            <a:r>
              <a:rPr lang="en-GB" baseline="0"/>
              <a:t> Criterion</a:t>
            </a:r>
            <a:endParaRPr lang="en-GB"/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Kelly!$C$7:$C$106</c:f>
              <c:numCache>
                <c:formatCode>0%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xVal>
          <c:yVal>
            <c:numRef>
              <c:f>Kelly!$F$7:$F$106</c:f>
              <c:numCache>
                <c:formatCode>_("$"* #,##0.00_);_("$"* \(#,##0.00\);_("$"* "-"??_);_(@_)</c:formatCode>
                <c:ptCount val="100"/>
                <c:pt idx="0">
                  <c:v>100.49095842170009</c:v>
                </c:pt>
                <c:pt idx="1">
                  <c:v>100.96367077396953</c:v>
                </c:pt>
                <c:pt idx="2">
                  <c:v>101.41790042651171</c:v>
                </c:pt>
                <c:pt idx="3">
                  <c:v>101.85342121896738</c:v>
                </c:pt>
                <c:pt idx="4">
                  <c:v>102.27001764164558</c:v>
                </c:pt>
                <c:pt idx="5">
                  <c:v>102.66748500597116</c:v>
                </c:pt>
                <c:pt idx="6">
                  <c:v>103.04562960446529</c:v>
                </c:pt>
                <c:pt idx="7">
                  <c:v>103.40426886010117</c:v>
                </c:pt>
                <c:pt idx="8">
                  <c:v>103.74323146488543</c:v>
                </c:pt>
                <c:pt idx="9">
                  <c:v>104.06235750752685</c:v>
                </c:pt>
                <c:pt idx="10">
                  <c:v>104.36149859008354</c:v>
                </c:pt>
                <c:pt idx="11">
                  <c:v>104.64051793347026</c:v>
                </c:pt>
                <c:pt idx="12">
                  <c:v>104.89929047174999</c:v>
                </c:pt>
                <c:pt idx="13">
                  <c:v>105.13770293512583</c:v>
                </c:pt>
                <c:pt idx="14">
                  <c:v>105.35565392157609</c:v>
                </c:pt>
                <c:pt idx="15">
                  <c:v>105.55305395708905</c:v>
                </c:pt>
                <c:pt idx="16">
                  <c:v>105.72982554446817</c:v>
                </c:pt>
                <c:pt idx="17">
                  <c:v>105.88590320069096</c:v>
                </c:pt>
                <c:pt idx="18">
                  <c:v>106.02123348281951</c:v>
                </c:pt>
                <c:pt idx="19">
                  <c:v>106.135775002485</c:v>
                </c:pt>
                <c:pt idx="20">
                  <c:v>106.22949842896965</c:v>
                </c:pt>
                <c:pt idx="21">
                  <c:v>106.30238648092796</c:v>
                </c:pt>
                <c:pt idx="22" formatCode="_(&quot;$&quot;* #,##0.00000_);_(&quot;$&quot;* \(#,##0.00000\);_(&quot;$&quot;* &quot;-&quot;??_);_(@_)">
                  <c:v>106.35443390681567</c:v>
                </c:pt>
                <c:pt idx="23" formatCode="_(&quot;$&quot;* #,##0.00000_);_(&quot;$&quot;* \(#,##0.00000\);_(&quot;$&quot;* &quot;-&quot;??_);_(@_)">
                  <c:v>106.38564745408858</c:v>
                </c:pt>
                <c:pt idx="24" formatCode="_(&quot;$&quot;* #,##0.00000_);_(&quot;$&quot;* \(#,##0.00000\);_(&quot;$&quot;* &quot;-&quot;??_);_(@_)">
                  <c:v>106.39604582726294</c:v>
                </c:pt>
                <c:pt idx="25" formatCode="_(&quot;$&quot;* #,##0.00000_);_(&quot;$&quot;* \(#,##0.00000\);_(&quot;$&quot;* &quot;-&quot;??_);_(@_)">
                  <c:v>106.38565963494156</c:v>
                </c:pt>
                <c:pt idx="26" formatCode="_(&quot;$&quot;* #,##0.00000_);_(&quot;$&quot;* \(#,##0.00000\);_(&quot;$&quot;* &quot;-&quot;??_);_(@_)">
                  <c:v>106.35453132590831</c:v>
                </c:pt>
                <c:pt idx="27" formatCode="_(&quot;$&quot;* #,##0.00000_);_(&quot;$&quot;* \(#,##0.00000\);_(&quot;$&quot;* &quot;-&quot;??_);_(@_)">
                  <c:v>106.30271511443559</c:v>
                </c:pt>
                <c:pt idx="28">
                  <c:v>106.23027689492628</c:v>
                </c:pt>
                <c:pt idx="29">
                  <c:v>106.13729414606279</c:v>
                </c:pt>
                <c:pt idx="30">
                  <c:v>106.02385582460812</c:v>
                </c:pt>
                <c:pt idx="31">
                  <c:v>105.8900622490611</c:v>
                </c:pt>
                <c:pt idx="32">
                  <c:v>105.73602497332959</c:v>
                </c:pt>
                <c:pt idx="33">
                  <c:v>105.56186665064557</c:v>
                </c:pt>
                <c:pt idx="34">
                  <c:v>105.36772088791753</c:v>
                </c:pt>
                <c:pt idx="35">
                  <c:v>105.15373209075436</c:v>
                </c:pt>
                <c:pt idx="36">
                  <c:v>104.92005529938304</c:v>
                </c:pt>
                <c:pt idx="37">
                  <c:v>104.66685601571513</c:v>
                </c:pt>
                <c:pt idx="38">
                  <c:v>104.39431002180133</c:v>
                </c:pt>
                <c:pt idx="39">
                  <c:v>104.1026031899475</c:v>
                </c:pt>
                <c:pt idx="40">
                  <c:v>103.79193128474822</c:v>
                </c:pt>
                <c:pt idx="41">
                  <c:v>103.46249975732964</c:v>
                </c:pt>
                <c:pt idx="42">
                  <c:v>103.11452353207554</c:v>
                </c:pt>
                <c:pt idx="43">
                  <c:v>102.74822678613327</c:v>
                </c:pt>
                <c:pt idx="44">
                  <c:v>102.3638427219967</c:v>
                </c:pt>
                <c:pt idx="45">
                  <c:v>101.96161333347639</c:v>
                </c:pt>
                <c:pt idx="46">
                  <c:v>101.5417891653573</c:v>
                </c:pt>
                <c:pt idx="47">
                  <c:v>101.10462906706775</c:v>
                </c:pt>
                <c:pt idx="48">
                  <c:v>100.65039994067666</c:v>
                </c:pt>
                <c:pt idx="49">
                  <c:v>100.17937648354464</c:v>
                </c:pt>
                <c:pt idx="50">
                  <c:v>99.691840925951254</c:v>
                </c:pt>
                <c:pt idx="51">
                  <c:v>99.188082764041155</c:v>
                </c:pt>
                <c:pt idx="52">
                  <c:v>98.668398488406453</c:v>
                </c:pt>
                <c:pt idx="53">
                  <c:v>98.133091308656134</c:v>
                </c:pt>
                <c:pt idx="54">
                  <c:v>97.582470874297542</c:v>
                </c:pt>
                <c:pt idx="55">
                  <c:v>97.016852992279183</c:v>
                </c:pt>
                <c:pt idx="56">
                  <c:v>96.43655934152136</c:v>
                </c:pt>
                <c:pt idx="57">
                  <c:v>95.841917184787448</c:v>
                </c:pt>
                <c:pt idx="58">
                  <c:v>95.233259078218126</c:v>
                </c:pt>
                <c:pt idx="59">
                  <c:v>94.61092257888582</c:v>
                </c:pt>
                <c:pt idx="60">
                  <c:v>93.975249950685395</c:v>
                </c:pt>
                <c:pt idx="61">
                  <c:v>93.326587868913407</c:v>
                </c:pt>
                <c:pt idx="62">
                  <c:v>92.66528712385589</c:v>
                </c:pt>
                <c:pt idx="63">
                  <c:v>91.991702323720574</c:v>
                </c:pt>
                <c:pt idx="64">
                  <c:v>91.306191597242659</c:v>
                </c:pt>
                <c:pt idx="65">
                  <c:v>90.609116296276227</c:v>
                </c:pt>
                <c:pt idx="66">
                  <c:v>89.900840698707825</c:v>
                </c:pt>
                <c:pt idx="67">
                  <c:v>89.181731711989769</c:v>
                </c:pt>
                <c:pt idx="68">
                  <c:v>88.452158577618775</c:v>
                </c:pt>
                <c:pt idx="69">
                  <c:v>87.712492576850039</c:v>
                </c:pt>
                <c:pt idx="70">
                  <c:v>86.96310673796367</c:v>
                </c:pt>
                <c:pt idx="71">
                  <c:v>86.204375545363831</c:v>
                </c:pt>
                <c:pt idx="72">
                  <c:v>85.436674650804605</c:v>
                </c:pt>
                <c:pt idx="73">
                  <c:v>84.660380587022232</c:v>
                </c:pt>
                <c:pt idx="74">
                  <c:v>83.875870484054417</c:v>
                </c:pt>
                <c:pt idx="75">
                  <c:v>83.083521788505621</c:v>
                </c:pt>
                <c:pt idx="76">
                  <c:v>82.283711986025281</c:v>
                </c:pt>
                <c:pt idx="77">
                  <c:v>81.476818327249546</c:v>
                </c:pt>
                <c:pt idx="78">
                  <c:v>80.663217557456008</c:v>
                </c:pt>
                <c:pt idx="79">
                  <c:v>79.843285650161647</c:v>
                </c:pt>
                <c:pt idx="80">
                  <c:v>79.017397544898827</c:v>
                </c:pt>
                <c:pt idx="81">
                  <c:v>78.185926889388512</c:v>
                </c:pt>
                <c:pt idx="82">
                  <c:v>77.349245786324161</c:v>
                </c:pt>
                <c:pt idx="83">
                  <c:v>76.507724544963878</c:v>
                </c:pt>
                <c:pt idx="84">
                  <c:v>75.661731437736549</c:v>
                </c:pt>
                <c:pt idx="85">
                  <c:v>74.811632462033671</c:v>
                </c:pt>
                <c:pt idx="86">
                  <c:v>73.957791107376607</c:v>
                </c:pt>
                <c:pt idx="87">
                  <c:v>73.100568128113878</c:v>
                </c:pt>
                <c:pt idx="88">
                  <c:v>72.240321321819579</c:v>
                </c:pt>
                <c:pt idx="89">
                  <c:v>71.377405313526637</c:v>
                </c:pt>
                <c:pt idx="90">
                  <c:v>70.512171345947749</c:v>
                </c:pt>
                <c:pt idx="91">
                  <c:v>69.644967075803493</c:v>
                </c:pt>
                <c:pt idx="92">
                  <c:v>68.776136376382013</c:v>
                </c:pt>
                <c:pt idx="93">
                  <c:v>67.906019146440599</c:v>
                </c:pt>
                <c:pt idx="94">
                  <c:v>67.034951125549284</c:v>
                </c:pt>
                <c:pt idx="95">
                  <c:v>66.163263715967304</c:v>
                </c:pt>
                <c:pt idx="96">
                  <c:v>65.291283811135898</c:v>
                </c:pt>
                <c:pt idx="97">
                  <c:v>64.419333630859882</c:v>
                </c:pt>
                <c:pt idx="98">
                  <c:v>63.547730563239824</c:v>
                </c:pt>
                <c:pt idx="99">
                  <c:v>62.676787013410795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7D-473F-B3B5-551AF262F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575744"/>
        <c:axId val="276577664"/>
      </c:scatterChart>
      <c:valAx>
        <c:axId val="276575744"/>
        <c:scaling>
          <c:orientation val="minMax"/>
          <c:max val="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lang="en-IN"/>
                </a:pPr>
                <a:r>
                  <a:rPr lang="en-IN"/>
                  <a:t>Fraction Bet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 lang="en-IN"/>
            </a:pPr>
            <a:endParaRPr lang="en-US"/>
          </a:p>
        </c:txPr>
        <c:crossAx val="276577664"/>
        <c:crosses val="autoZero"/>
        <c:crossBetween val="midCat"/>
        <c:majorUnit val="0.1"/>
      </c:valAx>
      <c:valAx>
        <c:axId val="276577664"/>
        <c:scaling>
          <c:orientation val="minMax"/>
          <c:min val="6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IN"/>
                </a:pPr>
                <a:r>
                  <a:rPr lang="en-IN"/>
                  <a:t>Portfolio Balance</a:t>
                </a:r>
              </a:p>
            </c:rich>
          </c:tx>
          <c:overlay val="0"/>
        </c:title>
        <c:numFmt formatCode="_(&quot;$&quot;* #,##0.00_);_(&quot;$&quot;* \(#,##0.00\);_(&quot;$&quot;* &quot;-&quot;??_);_(@_)" sourceLinked="1"/>
        <c:majorTickMark val="out"/>
        <c:minorTickMark val="none"/>
        <c:tickLblPos val="nextTo"/>
        <c:txPr>
          <a:bodyPr/>
          <a:lstStyle/>
          <a:p>
            <a:pPr>
              <a:defRPr lang="en-IN"/>
            </a:pPr>
            <a:endParaRPr lang="en-US"/>
          </a:p>
        </c:txPr>
        <c:crossAx val="276575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Kelly_SMA!$C$7:$C$106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xVal>
          <c:yVal>
            <c:numRef>
              <c:f>Kelly_SMA!$F$7:$F$106</c:f>
              <c:numCache>
                <c:formatCode>_("$"* #,##0.00_);_("$"* \(#,##0.00\);_("$"* "-"??_);_(@_)</c:formatCode>
                <c:ptCount val="100"/>
                <c:pt idx="0">
                  <c:v>10.216724435898943</c:v>
                </c:pt>
                <c:pt idx="1">
                  <c:v>10.437664890763838</c:v>
                </c:pt>
                <c:pt idx="2">
                  <c:v>10.662892827933524</c:v>
                </c:pt>
                <c:pt idx="3">
                  <c:v>10.892480708822301</c:v>
                </c:pt>
                <c:pt idx="4">
                  <c:v>11.126502002897624</c:v>
                </c:pt>
                <c:pt idx="5">
                  <c:v>11.365031197686893</c:v>
                </c:pt>
                <c:pt idx="6">
                  <c:v>11.608143808815484</c:v>
                </c:pt>
                <c:pt idx="7">
                  <c:v>11.855916390070959</c:v>
                </c:pt>
                <c:pt idx="8">
                  <c:v>12.108426543495669</c:v>
                </c:pt>
                <c:pt idx="9">
                  <c:v>12.365752929504177</c:v>
                </c:pt>
                <c:pt idx="10">
                  <c:v>12.627975277024863</c:v>
                </c:pt>
                <c:pt idx="11">
                  <c:v>12.895174393665293</c:v>
                </c:pt>
                <c:pt idx="12">
                  <c:v>13.167432175897833</c:v>
                </c:pt>
                <c:pt idx="13">
                  <c:v>13.444831619267124</c:v>
                </c:pt>
                <c:pt idx="14">
                  <c:v>13.727456828614553</c:v>
                </c:pt>
                <c:pt idx="15">
                  <c:v>14.015393028321538</c:v>
                </c:pt>
                <c:pt idx="16">
                  <c:v>14.308726572568087</c:v>
                </c:pt>
                <c:pt idx="17">
                  <c:v>14.60754495560513</c:v>
                </c:pt>
                <c:pt idx="18">
                  <c:v>14.911936822041273</c:v>
                </c:pt>
                <c:pt idx="19">
                  <c:v>15.221991977139048</c:v>
                </c:pt>
                <c:pt idx="20">
                  <c:v>15.537801397121999</c:v>
                </c:pt>
                <c:pt idx="21">
                  <c:v>15.859457239490082</c:v>
                </c:pt>
                <c:pt idx="22">
                  <c:v>16.187052853340443</c:v>
                </c:pt>
                <c:pt idx="23">
                  <c:v>16.520682789694384</c:v>
                </c:pt>
                <c:pt idx="24">
                  <c:v>16.860442811826406</c:v>
                </c:pt>
                <c:pt idx="25">
                  <c:v>17.206429905596092</c:v>
                </c:pt>
                <c:pt idx="26">
                  <c:v>17.558742289777484</c:v>
                </c:pt>
                <c:pt idx="27">
                  <c:v>17.917479426388969</c:v>
                </c:pt>
                <c:pt idx="28">
                  <c:v>18.282742031018088</c:v>
                </c:pt>
                <c:pt idx="29">
                  <c:v>18.654632083140108</c:v>
                </c:pt>
                <c:pt idx="30">
                  <c:v>19.033252836431089</c:v>
                </c:pt>
                <c:pt idx="31">
                  <c:v>19.418708829069104</c:v>
                </c:pt>
                <c:pt idx="32">
                  <c:v>19.811105894026891</c:v>
                </c:pt>
                <c:pt idx="33">
                  <c:v>20.210551169348815</c:v>
                </c:pt>
                <c:pt idx="34">
                  <c:v>20.617153108415074</c:v>
                </c:pt>
                <c:pt idx="35">
                  <c:v>21.031021490187495</c:v>
                </c:pt>
                <c:pt idx="36">
                  <c:v>21.452267429435867</c:v>
                </c:pt>
                <c:pt idx="37">
                  <c:v>21.881003386945505</c:v>
                </c:pt>
                <c:pt idx="38">
                  <c:v>22.317343179697961</c:v>
                </c:pt>
                <c:pt idx="39">
                  <c:v>22.761401991030805</c:v>
                </c:pt>
                <c:pt idx="40">
                  <c:v>23.213296380766483</c:v>
                </c:pt>
                <c:pt idx="41">
                  <c:v>23.673144295313492</c:v>
                </c:pt>
                <c:pt idx="42">
                  <c:v>24.141065077736528</c:v>
                </c:pt>
                <c:pt idx="43">
                  <c:v>24.617179477791112</c:v>
                </c:pt>
                <c:pt idx="44">
                  <c:v>25.101609661923643</c:v>
                </c:pt>
                <c:pt idx="45">
                  <c:v>25.594479223232106</c:v>
                </c:pt>
                <c:pt idx="46">
                  <c:v>26.095913191388288</c:v>
                </c:pt>
                <c:pt idx="47">
                  <c:v>26.606038042514072</c:v>
                </c:pt>
                <c:pt idx="48">
                  <c:v>27.124981709015451</c:v>
                </c:pt>
                <c:pt idx="49">
                  <c:v>27.65287358936909</c:v>
                </c:pt>
                <c:pt idx="50">
                  <c:v>28.189844557855743</c:v>
                </c:pt>
                <c:pt idx="51">
                  <c:v>28.736026974246283</c:v>
                </c:pt>
                <c:pt idx="52">
                  <c:v>29.29155469342934</c:v>
                </c:pt>
                <c:pt idx="53">
                  <c:v>29.856563074984983</c:v>
                </c:pt>
                <c:pt idx="54">
                  <c:v>30.431188992695471</c:v>
                </c:pt>
                <c:pt idx="55">
                  <c:v>31.015570843997043</c:v>
                </c:pt>
                <c:pt idx="56">
                  <c:v>31.609848559366952</c:v>
                </c:pt>
                <c:pt idx="57">
                  <c:v>32.214163611641155</c:v>
                </c:pt>
                <c:pt idx="58">
                  <c:v>32.828659025265338</c:v>
                </c:pt>
                <c:pt idx="59">
                  <c:v>33.453479385471724</c:v>
                </c:pt>
                <c:pt idx="60">
                  <c:v>34.088770847383834</c:v>
                </c:pt>
                <c:pt idx="61">
                  <c:v>34.734681145039161</c:v>
                </c:pt>
                <c:pt idx="62">
                  <c:v>35.391359600337637</c:v>
                </c:pt>
                <c:pt idx="63">
                  <c:v>36.058957131903625</c:v>
                </c:pt>
                <c:pt idx="64">
                  <c:v>36.737626263862985</c:v>
                </c:pt>
                <c:pt idx="65">
                  <c:v>37.427521134534054</c:v>
                </c:pt>
                <c:pt idx="66">
                  <c:v>38.128797505025808</c:v>
                </c:pt>
                <c:pt idx="67">
                  <c:v>38.841612767742816</c:v>
                </c:pt>
                <c:pt idx="68">
                  <c:v>39.566125954795332</c:v>
                </c:pt>
                <c:pt idx="69">
                  <c:v>40.302497746308539</c:v>
                </c:pt>
                <c:pt idx="70">
                  <c:v>41.05089047863153</c:v>
                </c:pt>
                <c:pt idx="71">
                  <c:v>41.811468152439339</c:v>
                </c:pt>
                <c:pt idx="72">
                  <c:v>42.584396440730139</c:v>
                </c:pt>
                <c:pt idx="73">
                  <c:v>43.369842696709561</c:v>
                </c:pt>
                <c:pt idx="74">
                  <c:v>44.167975961562369</c:v>
                </c:pt>
                <c:pt idx="75">
                  <c:v>44.978966972110356</c:v>
                </c:pt>
                <c:pt idx="76">
                  <c:v>45.802988168345024</c:v>
                </c:pt>
                <c:pt idx="77">
                  <c:v>46.640213700846019</c:v>
                </c:pt>
                <c:pt idx="78">
                  <c:v>47.490819438067511</c:v>
                </c:pt>
                <c:pt idx="79">
                  <c:v>48.35498297350162</c:v>
                </c:pt>
                <c:pt idx="80">
                  <c:v>49.232883632706205</c:v>
                </c:pt>
                <c:pt idx="81">
                  <c:v>50.124702480202046</c:v>
                </c:pt>
                <c:pt idx="82">
                  <c:v>51.030622326233257</c:v>
                </c:pt>
                <c:pt idx="83">
                  <c:v>51.950827733383008</c:v>
                </c:pt>
                <c:pt idx="84">
                  <c:v>52.885505023053099</c:v>
                </c:pt>
                <c:pt idx="85">
                  <c:v>53.834842281788269</c:v>
                </c:pt>
                <c:pt idx="86">
                  <c:v>54.799029367461749</c:v>
                </c:pt>
                <c:pt idx="87">
                  <c:v>55.778257915298994</c:v>
                </c:pt>
                <c:pt idx="88">
                  <c:v>56.772721343749915</c:v>
                </c:pt>
                <c:pt idx="89">
                  <c:v>57.782614860205925</c:v>
                </c:pt>
                <c:pt idx="90">
                  <c:v>58.808135466545899</c:v>
                </c:pt>
                <c:pt idx="91">
                  <c:v>59.849481964527953</c:v>
                </c:pt>
                <c:pt idx="92">
                  <c:v>60.906854961004427</c:v>
                </c:pt>
                <c:pt idx="93">
                  <c:v>61.980456872970954</c:v>
                </c:pt>
                <c:pt idx="94">
                  <c:v>63.070491932438856</c:v>
                </c:pt>
                <c:pt idx="95">
                  <c:v>64.177166191129288</c:v>
                </c:pt>
                <c:pt idx="96">
                  <c:v>65.300687524991631</c:v>
                </c:pt>
                <c:pt idx="97">
                  <c:v>66.441265638527256</c:v>
                </c:pt>
                <c:pt idx="98">
                  <c:v>67.5991120689403</c:v>
                </c:pt>
                <c:pt idx="99">
                  <c:v>68.774440190083695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29-4C78-9196-BF47C694A3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285120"/>
        <c:axId val="279311872"/>
      </c:scatterChart>
      <c:valAx>
        <c:axId val="279285120"/>
        <c:scaling>
          <c:orientation val="minMax"/>
          <c:max val="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lang="en-IN"/>
                </a:pPr>
                <a:r>
                  <a:rPr lang="en-IN"/>
                  <a:t>Fraction Bet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IN"/>
            </a:pPr>
            <a:endParaRPr lang="en-US"/>
          </a:p>
        </c:txPr>
        <c:crossAx val="279311872"/>
        <c:crosses val="autoZero"/>
        <c:crossBetween val="midCat"/>
        <c:majorUnit val="0.1"/>
      </c:valAx>
      <c:valAx>
        <c:axId val="2793118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IN"/>
                </a:pPr>
                <a:r>
                  <a:rPr lang="en-IN"/>
                  <a:t>TW</a:t>
                </a:r>
              </a:p>
            </c:rich>
          </c:tx>
          <c:overlay val="0"/>
        </c:title>
        <c:numFmt formatCode="_(&quot;$&quot;* #,##0.00_);_(&quot;$&quot;* \(#,##0.00\);_(&quot;$&quot;* &quot;-&quot;??_);_(@_)" sourceLinked="1"/>
        <c:majorTickMark val="out"/>
        <c:minorTickMark val="none"/>
        <c:tickLblPos val="nextTo"/>
        <c:txPr>
          <a:bodyPr/>
          <a:lstStyle/>
          <a:p>
            <a:pPr>
              <a:defRPr lang="en-IN"/>
            </a:pPr>
            <a:endParaRPr lang="en-US"/>
          </a:p>
        </c:txPr>
        <c:crossAx val="279285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552450</xdr:colOff>
      <xdr:row>5</xdr:row>
      <xdr:rowOff>476250</xdr:rowOff>
    </xdr:from>
    <xdr:to>
      <xdr:col>18</xdr:col>
      <xdr:colOff>47625</xdr:colOff>
      <xdr:row>26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4CDFA20-B7B5-4657-BC67-4DE3639C6D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50800</xdr:colOff>
      <xdr:row>5</xdr:row>
      <xdr:rowOff>723900</xdr:rowOff>
    </xdr:from>
    <xdr:to>
      <xdr:col>16</xdr:col>
      <xdr:colOff>155575</xdr:colOff>
      <xdr:row>28</xdr:row>
      <xdr:rowOff>47625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D566FA8-B36B-480B-9417-F83B0C9799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43"/>
  <sheetViews>
    <sheetView zoomScaleNormal="100" workbookViewId="0">
      <selection activeCell="E3" sqref="E3"/>
    </sheetView>
  </sheetViews>
  <sheetFormatPr defaultRowHeight="15" x14ac:dyDescent="0.25"/>
  <cols>
    <col min="1" max="1" width="21.7109375" bestFit="1" customWidth="1"/>
    <col min="2" max="2" width="37.140625" customWidth="1"/>
    <col min="3" max="3" width="10.7109375" customWidth="1"/>
    <col min="4" max="4" width="17" customWidth="1"/>
    <col min="5" max="5" width="17.7109375" customWidth="1"/>
    <col min="6" max="6" width="15.7109375" customWidth="1"/>
    <col min="7" max="7" width="12.7109375" customWidth="1"/>
    <col min="8" max="8" width="11.7109375" customWidth="1"/>
    <col min="9" max="11" width="9.140625" customWidth="1"/>
    <col min="12" max="12" width="13" customWidth="1"/>
    <col min="13" max="16" width="9.140625" customWidth="1"/>
  </cols>
  <sheetData>
    <row r="1" spans="2:12" x14ac:dyDescent="0.25">
      <c r="B1" s="14" t="s">
        <v>83</v>
      </c>
      <c r="D1" s="12" t="s">
        <v>23</v>
      </c>
      <c r="E1" t="s">
        <v>19</v>
      </c>
      <c r="F1" t="s">
        <v>20</v>
      </c>
      <c r="G1" t="s">
        <v>21</v>
      </c>
      <c r="H1" t="s">
        <v>22</v>
      </c>
    </row>
    <row r="2" spans="2:12" x14ac:dyDescent="0.25">
      <c r="B2" s="14" t="s">
        <v>84</v>
      </c>
      <c r="E2" t="s">
        <v>39</v>
      </c>
      <c r="F2" s="12" t="s">
        <v>15</v>
      </c>
      <c r="G2" t="s">
        <v>17</v>
      </c>
      <c r="H2" s="8">
        <f>10000+20</f>
        <v>10020</v>
      </c>
      <c r="J2" s="13">
        <v>100</v>
      </c>
      <c r="K2" s="7">
        <v>0.2</v>
      </c>
    </row>
    <row r="3" spans="2:12" x14ac:dyDescent="0.25">
      <c r="B3" s="12" t="s">
        <v>8</v>
      </c>
      <c r="C3" s="12" t="s">
        <v>7</v>
      </c>
      <c r="E3" t="s">
        <v>66</v>
      </c>
      <c r="J3" t="s">
        <v>27</v>
      </c>
    </row>
    <row r="4" spans="2:12" s="25" customFormat="1" x14ac:dyDescent="0.25">
      <c r="B4" s="25" t="s">
        <v>9</v>
      </c>
      <c r="C4" s="25" t="s">
        <v>10</v>
      </c>
      <c r="D4" s="25" t="s">
        <v>11</v>
      </c>
    </row>
    <row r="6" spans="2:12" x14ac:dyDescent="0.25">
      <c r="J6" t="s">
        <v>7</v>
      </c>
      <c r="K6" t="s">
        <v>16</v>
      </c>
    </row>
    <row r="7" spans="2:12" x14ac:dyDescent="0.25">
      <c r="B7" t="s">
        <v>14</v>
      </c>
      <c r="F7" t="s">
        <v>30</v>
      </c>
      <c r="J7">
        <v>100</v>
      </c>
      <c r="K7" t="s">
        <v>17</v>
      </c>
      <c r="L7" t="s">
        <v>18</v>
      </c>
    </row>
    <row r="8" spans="2:12" x14ac:dyDescent="0.25">
      <c r="B8" s="12" t="s">
        <v>36</v>
      </c>
      <c r="C8" s="12" t="s">
        <v>25</v>
      </c>
      <c r="E8" s="12" t="s">
        <v>36</v>
      </c>
      <c r="F8" s="12" t="s">
        <v>25</v>
      </c>
    </row>
    <row r="9" spans="2:12" x14ac:dyDescent="0.25">
      <c r="B9" t="s">
        <v>12</v>
      </c>
      <c r="C9" t="s">
        <v>40</v>
      </c>
      <c r="E9" t="s">
        <v>24</v>
      </c>
      <c r="F9" t="s">
        <v>43</v>
      </c>
    </row>
    <row r="10" spans="2:12" x14ac:dyDescent="0.25">
      <c r="B10" t="s">
        <v>13</v>
      </c>
      <c r="C10" t="s">
        <v>41</v>
      </c>
      <c r="E10" t="s">
        <v>26</v>
      </c>
      <c r="F10" t="s">
        <v>44</v>
      </c>
    </row>
    <row r="11" spans="2:12" x14ac:dyDescent="0.25">
      <c r="C11" s="15" t="s">
        <v>42</v>
      </c>
      <c r="F11" s="15" t="s">
        <v>45</v>
      </c>
    </row>
    <row r="12" spans="2:12" x14ac:dyDescent="0.25">
      <c r="K12" s="12" t="s">
        <v>55</v>
      </c>
    </row>
    <row r="13" spans="2:12" x14ac:dyDescent="0.25">
      <c r="B13" t="s">
        <v>28</v>
      </c>
      <c r="C13" s="12" t="s">
        <v>42</v>
      </c>
      <c r="F13" s="12" t="s">
        <v>45</v>
      </c>
      <c r="K13" t="s">
        <v>56</v>
      </c>
    </row>
    <row r="14" spans="2:12" x14ac:dyDescent="0.25">
      <c r="B14" t="s">
        <v>9</v>
      </c>
      <c r="C14" t="s">
        <v>10</v>
      </c>
      <c r="D14" t="s">
        <v>11</v>
      </c>
      <c r="K14" t="s">
        <v>57</v>
      </c>
    </row>
    <row r="15" spans="2:12" x14ac:dyDescent="0.25">
      <c r="K15" t="s">
        <v>58</v>
      </c>
    </row>
    <row r="16" spans="2:12" x14ac:dyDescent="0.25">
      <c r="B16" s="12" t="s">
        <v>29</v>
      </c>
      <c r="E16" s="12" t="s">
        <v>31</v>
      </c>
    </row>
    <row r="17" spans="1:13" x14ac:dyDescent="0.25">
      <c r="J17" s="12" t="s">
        <v>69</v>
      </c>
      <c r="K17" s="12" t="s">
        <v>7</v>
      </c>
    </row>
    <row r="18" spans="1:13" x14ac:dyDescent="0.25">
      <c r="B18" t="s">
        <v>36</v>
      </c>
      <c r="C18" s="12" t="s">
        <v>46</v>
      </c>
      <c r="E18" t="s">
        <v>36</v>
      </c>
      <c r="F18" t="s">
        <v>50</v>
      </c>
      <c r="J18" s="10" t="s">
        <v>61</v>
      </c>
      <c r="K18" s="10" t="s">
        <v>59</v>
      </c>
      <c r="L18" s="10"/>
    </row>
    <row r="19" spans="1:13" x14ac:dyDescent="0.25">
      <c r="B19" t="s">
        <v>12</v>
      </c>
      <c r="C19" t="s">
        <v>48</v>
      </c>
      <c r="E19" t="s">
        <v>24</v>
      </c>
      <c r="F19" s="12" t="s">
        <v>64</v>
      </c>
      <c r="J19" s="20" t="s">
        <v>60</v>
      </c>
      <c r="K19" s="20" t="s">
        <v>59</v>
      </c>
      <c r="L19" s="20"/>
      <c r="M19" t="s">
        <v>71</v>
      </c>
    </row>
    <row r="20" spans="1:13" x14ac:dyDescent="0.25">
      <c r="B20" t="s">
        <v>13</v>
      </c>
      <c r="C20" s="12" t="s">
        <v>47</v>
      </c>
      <c r="E20" t="s">
        <v>32</v>
      </c>
      <c r="F20" s="12" t="s">
        <v>65</v>
      </c>
      <c r="J20" s="21" t="s">
        <v>63</v>
      </c>
      <c r="K20" s="22" t="s">
        <v>62</v>
      </c>
      <c r="L20" s="21"/>
      <c r="M20" s="21" t="s">
        <v>70</v>
      </c>
    </row>
    <row r="21" spans="1:13" x14ac:dyDescent="0.25">
      <c r="C21" s="17" t="s">
        <v>49</v>
      </c>
      <c r="D21" s="18"/>
      <c r="F21" s="16" t="s">
        <v>51</v>
      </c>
      <c r="G21" s="19"/>
    </row>
    <row r="23" spans="1:13" x14ac:dyDescent="0.25">
      <c r="B23" s="12" t="s">
        <v>52</v>
      </c>
      <c r="C23" s="12"/>
      <c r="D23" s="12"/>
      <c r="I23" s="12"/>
      <c r="J23" s="12"/>
    </row>
    <row r="24" spans="1:13" x14ac:dyDescent="0.25">
      <c r="B24" s="12" t="s">
        <v>53</v>
      </c>
      <c r="C24" s="12"/>
      <c r="D24" s="12"/>
      <c r="F24" t="s">
        <v>33</v>
      </c>
      <c r="I24" s="12"/>
      <c r="J24" s="12"/>
    </row>
    <row r="25" spans="1:13" x14ac:dyDescent="0.25">
      <c r="F25" t="s">
        <v>34</v>
      </c>
    </row>
    <row r="26" spans="1:13" x14ac:dyDescent="0.25">
      <c r="F26" t="s">
        <v>35</v>
      </c>
    </row>
    <row r="27" spans="1:13" x14ac:dyDescent="0.25">
      <c r="F27" s="12" t="s">
        <v>54</v>
      </c>
      <c r="G27" s="12"/>
      <c r="H27" s="12"/>
      <c r="I27" s="12"/>
      <c r="J27" s="12"/>
    </row>
    <row r="30" spans="1:13" x14ac:dyDescent="0.25">
      <c r="J30" s="12"/>
    </row>
    <row r="31" spans="1:13" x14ac:dyDescent="0.25">
      <c r="A31" s="12" t="s">
        <v>77</v>
      </c>
      <c r="J31" s="12" t="s">
        <v>78</v>
      </c>
      <c r="L31" s="12"/>
      <c r="M31" s="12"/>
    </row>
    <row r="32" spans="1:13" x14ac:dyDescent="0.25">
      <c r="A32" t="s">
        <v>7</v>
      </c>
      <c r="B32">
        <v>10000</v>
      </c>
      <c r="J32" t="s">
        <v>79</v>
      </c>
    </row>
    <row r="33" spans="1:12" x14ac:dyDescent="0.25">
      <c r="A33" t="s">
        <v>72</v>
      </c>
      <c r="B33" s="7">
        <v>0.1</v>
      </c>
      <c r="J33" t="s">
        <v>80</v>
      </c>
    </row>
    <row r="34" spans="1:12" x14ac:dyDescent="0.25">
      <c r="A34" t="s">
        <v>74</v>
      </c>
      <c r="B34" s="7">
        <v>0.2</v>
      </c>
    </row>
    <row r="35" spans="1:12" x14ac:dyDescent="0.25">
      <c r="B35" s="7"/>
      <c r="I35" s="12" t="s">
        <v>81</v>
      </c>
      <c r="J35" s="12" t="s">
        <v>82</v>
      </c>
      <c r="K35" s="12"/>
      <c r="L35" s="12"/>
    </row>
    <row r="36" spans="1:12" x14ac:dyDescent="0.25">
      <c r="A36" t="s">
        <v>36</v>
      </c>
      <c r="B36">
        <f>B32*B33</f>
        <v>1000</v>
      </c>
    </row>
    <row r="37" spans="1:12" x14ac:dyDescent="0.25">
      <c r="A37" t="s">
        <v>73</v>
      </c>
      <c r="B37">
        <f>B36*B34</f>
        <v>200</v>
      </c>
    </row>
    <row r="38" spans="1:12" x14ac:dyDescent="0.25">
      <c r="A38" t="s">
        <v>75</v>
      </c>
      <c r="B38">
        <f>B37+B32</f>
        <v>10200</v>
      </c>
      <c r="C38" t="s">
        <v>59</v>
      </c>
    </row>
    <row r="40" spans="1:12" x14ac:dyDescent="0.25">
      <c r="A40" t="s">
        <v>76</v>
      </c>
    </row>
    <row r="41" spans="1:12" x14ac:dyDescent="0.25">
      <c r="A41" t="s">
        <v>36</v>
      </c>
      <c r="B41">
        <f>B38*B33</f>
        <v>1020</v>
      </c>
    </row>
    <row r="42" spans="1:12" x14ac:dyDescent="0.25">
      <c r="A42" t="s">
        <v>73</v>
      </c>
      <c r="B42">
        <f>B41*B34</f>
        <v>204</v>
      </c>
    </row>
    <row r="43" spans="1:12" x14ac:dyDescent="0.25">
      <c r="A43" t="s">
        <v>75</v>
      </c>
      <c r="B43">
        <f>B42+B38</f>
        <v>10404</v>
      </c>
      <c r="C43" s="17" t="s">
        <v>49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106"/>
  <sheetViews>
    <sheetView tabSelected="1" zoomScaleNormal="100" workbookViewId="0">
      <selection activeCell="X12" sqref="X12"/>
    </sheetView>
  </sheetViews>
  <sheetFormatPr defaultRowHeight="15" x14ac:dyDescent="0.25"/>
  <cols>
    <col min="1" max="1" width="33.140625" customWidth="1"/>
    <col min="6" max="6" width="13.5703125" customWidth="1"/>
  </cols>
  <sheetData>
    <row r="1" spans="1:6" x14ac:dyDescent="0.25">
      <c r="A1" s="1" t="s">
        <v>37</v>
      </c>
      <c r="B1" s="23">
        <v>0.2</v>
      </c>
      <c r="D1" s="7">
        <f>B1</f>
        <v>0.2</v>
      </c>
      <c r="F1" s="12" t="s">
        <v>67</v>
      </c>
    </row>
    <row r="2" spans="1:6" x14ac:dyDescent="0.25">
      <c r="A2" s="3" t="s">
        <v>38</v>
      </c>
      <c r="B2" s="24">
        <v>0.1</v>
      </c>
      <c r="D2" s="7">
        <f>B2</f>
        <v>0.1</v>
      </c>
      <c r="F2" s="12" t="s">
        <v>68</v>
      </c>
    </row>
    <row r="3" spans="1:6" x14ac:dyDescent="0.25">
      <c r="A3" s="3" t="s">
        <v>0</v>
      </c>
      <c r="B3" s="4">
        <v>100</v>
      </c>
    </row>
    <row r="4" spans="1:6" x14ac:dyDescent="0.25">
      <c r="A4" s="3" t="s">
        <v>1</v>
      </c>
      <c r="B4" s="4">
        <v>0.35</v>
      </c>
    </row>
    <row r="5" spans="1:6" x14ac:dyDescent="0.25">
      <c r="A5" s="5" t="s">
        <v>2</v>
      </c>
      <c r="B5" s="6">
        <f>1-B4</f>
        <v>0.65</v>
      </c>
    </row>
    <row r="6" spans="1:6" ht="60" x14ac:dyDescent="0.25">
      <c r="A6" s="8">
        <v>100</v>
      </c>
      <c r="C6" s="11" t="s">
        <v>3</v>
      </c>
      <c r="D6" s="12" t="s">
        <v>4</v>
      </c>
      <c r="E6" s="12" t="s">
        <v>5</v>
      </c>
      <c r="F6" s="12" t="s">
        <v>6</v>
      </c>
    </row>
    <row r="7" spans="1:6" x14ac:dyDescent="0.25">
      <c r="C7" s="7">
        <v>0.01</v>
      </c>
      <c r="D7">
        <f>$B$4*$B$3</f>
        <v>35</v>
      </c>
      <c r="E7">
        <f>$B$5*$B$3</f>
        <v>65</v>
      </c>
      <c r="F7" s="9">
        <f>(1+$B$1*C7)^D7*(1-$B$2*C7)^E7*$A$6</f>
        <v>100.49095842170009</v>
      </c>
    </row>
    <row r="8" spans="1:6" x14ac:dyDescent="0.25">
      <c r="C8" s="7">
        <v>0.02</v>
      </c>
      <c r="D8">
        <f t="shared" ref="D8:D71" si="0">$B$4*$B$3</f>
        <v>35</v>
      </c>
      <c r="E8">
        <f t="shared" ref="E8:E71" si="1">$B$5*$B$3</f>
        <v>65</v>
      </c>
      <c r="F8" s="9">
        <f>(1+$B$1*C8)^D8*(1-$B$2*C8)^E8*$A$6</f>
        <v>100.96367077396953</v>
      </c>
    </row>
    <row r="9" spans="1:6" x14ac:dyDescent="0.25">
      <c r="C9" s="7">
        <v>0.03</v>
      </c>
      <c r="D9">
        <f t="shared" si="0"/>
        <v>35</v>
      </c>
      <c r="E9">
        <f t="shared" si="1"/>
        <v>65</v>
      </c>
      <c r="F9" s="9">
        <f t="shared" ref="F9:F71" si="2">(1+$B$1*C9)^D9*(1-$B$2*C9)^E9*$A$6</f>
        <v>101.41790042651171</v>
      </c>
    </row>
    <row r="10" spans="1:6" x14ac:dyDescent="0.25">
      <c r="C10" s="7">
        <v>0.04</v>
      </c>
      <c r="D10">
        <f t="shared" si="0"/>
        <v>35</v>
      </c>
      <c r="E10">
        <f t="shared" si="1"/>
        <v>65</v>
      </c>
      <c r="F10" s="9">
        <f t="shared" si="2"/>
        <v>101.85342121896738</v>
      </c>
    </row>
    <row r="11" spans="1:6" x14ac:dyDescent="0.25">
      <c r="C11" s="7">
        <v>0.05</v>
      </c>
      <c r="D11">
        <f t="shared" si="0"/>
        <v>35</v>
      </c>
      <c r="E11">
        <f t="shared" si="1"/>
        <v>65</v>
      </c>
      <c r="F11" s="9">
        <f t="shared" si="2"/>
        <v>102.27001764164558</v>
      </c>
    </row>
    <row r="12" spans="1:6" x14ac:dyDescent="0.25">
      <c r="C12" s="7">
        <v>0.06</v>
      </c>
      <c r="D12">
        <f t="shared" si="0"/>
        <v>35</v>
      </c>
      <c r="E12">
        <f t="shared" si="1"/>
        <v>65</v>
      </c>
      <c r="F12" s="9">
        <f t="shared" si="2"/>
        <v>102.66748500597116</v>
      </c>
    </row>
    <row r="13" spans="1:6" x14ac:dyDescent="0.25">
      <c r="C13" s="7">
        <v>7.0000000000000007E-2</v>
      </c>
      <c r="D13">
        <f t="shared" si="0"/>
        <v>35</v>
      </c>
      <c r="E13">
        <f t="shared" si="1"/>
        <v>65</v>
      </c>
      <c r="F13" s="9">
        <f t="shared" si="2"/>
        <v>103.04562960446529</v>
      </c>
    </row>
    <row r="14" spans="1:6" x14ac:dyDescent="0.25">
      <c r="C14" s="7">
        <v>0.08</v>
      </c>
      <c r="D14">
        <f t="shared" si="0"/>
        <v>35</v>
      </c>
      <c r="E14">
        <f t="shared" si="1"/>
        <v>65</v>
      </c>
      <c r="F14" s="9">
        <f t="shared" si="2"/>
        <v>103.40426886010117</v>
      </c>
    </row>
    <row r="15" spans="1:6" x14ac:dyDescent="0.25">
      <c r="C15" s="7">
        <v>0.09</v>
      </c>
      <c r="D15">
        <f t="shared" si="0"/>
        <v>35</v>
      </c>
      <c r="E15">
        <f t="shared" si="1"/>
        <v>65</v>
      </c>
      <c r="F15" s="9">
        <f t="shared" si="2"/>
        <v>103.74323146488543</v>
      </c>
    </row>
    <row r="16" spans="1:6" x14ac:dyDescent="0.25">
      <c r="C16" s="7">
        <v>0.1</v>
      </c>
      <c r="D16">
        <f t="shared" si="0"/>
        <v>35</v>
      </c>
      <c r="E16">
        <f t="shared" si="1"/>
        <v>65</v>
      </c>
      <c r="F16" s="9">
        <f t="shared" si="2"/>
        <v>104.06235750752685</v>
      </c>
    </row>
    <row r="17" spans="3:6" x14ac:dyDescent="0.25">
      <c r="C17" s="7">
        <v>0.11</v>
      </c>
      <c r="D17">
        <f t="shared" si="0"/>
        <v>35</v>
      </c>
      <c r="E17">
        <f t="shared" si="1"/>
        <v>65</v>
      </c>
      <c r="F17" s="9">
        <f t="shared" si="2"/>
        <v>104.36149859008354</v>
      </c>
    </row>
    <row r="18" spans="3:6" x14ac:dyDescent="0.25">
      <c r="C18" s="7">
        <v>0.12</v>
      </c>
      <c r="D18">
        <f t="shared" si="0"/>
        <v>35</v>
      </c>
      <c r="E18">
        <f t="shared" si="1"/>
        <v>65</v>
      </c>
      <c r="F18" s="9">
        <f t="shared" si="2"/>
        <v>104.64051793347026</v>
      </c>
    </row>
    <row r="19" spans="3:6" x14ac:dyDescent="0.25">
      <c r="C19" s="7">
        <v>0.13</v>
      </c>
      <c r="D19">
        <f t="shared" si="0"/>
        <v>35</v>
      </c>
      <c r="E19">
        <f t="shared" si="1"/>
        <v>65</v>
      </c>
      <c r="F19" s="9">
        <f t="shared" si="2"/>
        <v>104.89929047174999</v>
      </c>
    </row>
    <row r="20" spans="3:6" x14ac:dyDescent="0.25">
      <c r="C20" s="7">
        <v>0.14000000000000001</v>
      </c>
      <c r="D20">
        <f t="shared" si="0"/>
        <v>35</v>
      </c>
      <c r="E20">
        <f t="shared" si="1"/>
        <v>65</v>
      </c>
      <c r="F20" s="9">
        <f t="shared" si="2"/>
        <v>105.13770293512583</v>
      </c>
    </row>
    <row r="21" spans="3:6" x14ac:dyDescent="0.25">
      <c r="C21" s="7">
        <v>0.15</v>
      </c>
      <c r="D21">
        <f t="shared" si="0"/>
        <v>35</v>
      </c>
      <c r="E21">
        <f t="shared" si="1"/>
        <v>65</v>
      </c>
      <c r="F21" s="9">
        <f t="shared" si="2"/>
        <v>105.35565392157609</v>
      </c>
    </row>
    <row r="22" spans="3:6" x14ac:dyDescent="0.25">
      <c r="C22" s="7">
        <v>0.16</v>
      </c>
      <c r="D22">
        <f t="shared" si="0"/>
        <v>35</v>
      </c>
      <c r="E22">
        <f t="shared" si="1"/>
        <v>65</v>
      </c>
      <c r="F22" s="9">
        <f t="shared" si="2"/>
        <v>105.55305395708905</v>
      </c>
    </row>
    <row r="23" spans="3:6" x14ac:dyDescent="0.25">
      <c r="C23" s="7">
        <v>0.17</v>
      </c>
      <c r="D23">
        <f t="shared" si="0"/>
        <v>35</v>
      </c>
      <c r="E23">
        <f t="shared" si="1"/>
        <v>65</v>
      </c>
      <c r="F23" s="9">
        <f t="shared" si="2"/>
        <v>105.72982554446817</v>
      </c>
    </row>
    <row r="24" spans="3:6" x14ac:dyDescent="0.25">
      <c r="C24" s="7">
        <v>0.18</v>
      </c>
      <c r="D24">
        <f t="shared" si="0"/>
        <v>35</v>
      </c>
      <c r="E24">
        <f t="shared" si="1"/>
        <v>65</v>
      </c>
      <c r="F24" s="9">
        <f t="shared" si="2"/>
        <v>105.88590320069096</v>
      </c>
    </row>
    <row r="25" spans="3:6" x14ac:dyDescent="0.25">
      <c r="C25" s="7">
        <v>0.19</v>
      </c>
      <c r="D25">
        <f t="shared" si="0"/>
        <v>35</v>
      </c>
      <c r="E25">
        <f t="shared" si="1"/>
        <v>65</v>
      </c>
      <c r="F25" s="9">
        <f t="shared" si="2"/>
        <v>106.02123348281951</v>
      </c>
    </row>
    <row r="26" spans="3:6" x14ac:dyDescent="0.25">
      <c r="C26" s="7">
        <v>0.2</v>
      </c>
      <c r="D26">
        <f t="shared" si="0"/>
        <v>35</v>
      </c>
      <c r="E26">
        <f t="shared" si="1"/>
        <v>65</v>
      </c>
      <c r="F26" s="9">
        <f t="shared" si="2"/>
        <v>106.135775002485</v>
      </c>
    </row>
    <row r="27" spans="3:6" x14ac:dyDescent="0.25">
      <c r="C27" s="7">
        <v>0.21</v>
      </c>
      <c r="D27">
        <f t="shared" si="0"/>
        <v>35</v>
      </c>
      <c r="E27">
        <f t="shared" si="1"/>
        <v>65</v>
      </c>
      <c r="F27" s="9">
        <f t="shared" si="2"/>
        <v>106.22949842896965</v>
      </c>
    </row>
    <row r="28" spans="3:6" x14ac:dyDescent="0.25">
      <c r="C28" s="7">
        <v>0.22</v>
      </c>
      <c r="D28">
        <f t="shared" si="0"/>
        <v>35</v>
      </c>
      <c r="E28">
        <f t="shared" si="1"/>
        <v>65</v>
      </c>
      <c r="F28" s="9">
        <f t="shared" si="2"/>
        <v>106.30238648092796</v>
      </c>
    </row>
    <row r="29" spans="3:6" x14ac:dyDescent="0.25">
      <c r="C29" s="7">
        <v>0.23</v>
      </c>
      <c r="D29">
        <f t="shared" si="0"/>
        <v>35</v>
      </c>
      <c r="E29">
        <f t="shared" si="1"/>
        <v>65</v>
      </c>
      <c r="F29" s="26">
        <f t="shared" si="2"/>
        <v>106.35443390681567</v>
      </c>
    </row>
    <row r="30" spans="3:6" x14ac:dyDescent="0.25">
      <c r="C30" s="7">
        <v>0.24</v>
      </c>
      <c r="D30">
        <f t="shared" si="0"/>
        <v>35</v>
      </c>
      <c r="E30">
        <f t="shared" si="1"/>
        <v>65</v>
      </c>
      <c r="F30" s="26">
        <f t="shared" si="2"/>
        <v>106.38564745408858</v>
      </c>
    </row>
    <row r="31" spans="3:6" s="10" customFormat="1" x14ac:dyDescent="0.25">
      <c r="C31" s="28">
        <v>0.25</v>
      </c>
      <c r="D31" s="10">
        <f t="shared" si="0"/>
        <v>35</v>
      </c>
      <c r="E31" s="10">
        <f t="shared" si="1"/>
        <v>65</v>
      </c>
      <c r="F31" s="27">
        <f t="shared" si="2"/>
        <v>106.39604582726294</v>
      </c>
    </row>
    <row r="32" spans="3:6" x14ac:dyDescent="0.25">
      <c r="C32" s="7">
        <v>0.26</v>
      </c>
      <c r="D32">
        <f t="shared" si="0"/>
        <v>35</v>
      </c>
      <c r="E32">
        <f t="shared" si="1"/>
        <v>65</v>
      </c>
      <c r="F32" s="26">
        <f t="shared" si="2"/>
        <v>106.38565963494156</v>
      </c>
    </row>
    <row r="33" spans="3:6" x14ac:dyDescent="0.25">
      <c r="C33" s="7">
        <v>0.27</v>
      </c>
      <c r="D33">
        <f t="shared" si="0"/>
        <v>35</v>
      </c>
      <c r="E33">
        <f t="shared" si="1"/>
        <v>65</v>
      </c>
      <c r="F33" s="26">
        <f t="shared" si="2"/>
        <v>106.35453132590831</v>
      </c>
    </row>
    <row r="34" spans="3:6" x14ac:dyDescent="0.25">
      <c r="C34" s="7">
        <v>0.28000000000000003</v>
      </c>
      <c r="D34">
        <f t="shared" si="0"/>
        <v>35</v>
      </c>
      <c r="E34">
        <f t="shared" si="1"/>
        <v>65</v>
      </c>
      <c r="F34" s="26">
        <f t="shared" si="2"/>
        <v>106.30271511443559</v>
      </c>
    </row>
    <row r="35" spans="3:6" x14ac:dyDescent="0.25">
      <c r="C35" s="7">
        <v>0.28999999999999998</v>
      </c>
      <c r="D35">
        <f t="shared" si="0"/>
        <v>35</v>
      </c>
      <c r="E35">
        <f t="shared" si="1"/>
        <v>65</v>
      </c>
      <c r="F35" s="9">
        <f t="shared" si="2"/>
        <v>106.23027689492628</v>
      </c>
    </row>
    <row r="36" spans="3:6" x14ac:dyDescent="0.25">
      <c r="C36" s="7">
        <v>0.3</v>
      </c>
      <c r="D36">
        <f t="shared" si="0"/>
        <v>35</v>
      </c>
      <c r="E36">
        <f t="shared" si="1"/>
        <v>65</v>
      </c>
      <c r="F36" s="9">
        <f t="shared" si="2"/>
        <v>106.13729414606279</v>
      </c>
    </row>
    <row r="37" spans="3:6" x14ac:dyDescent="0.25">
      <c r="C37" s="7">
        <v>0.31</v>
      </c>
      <c r="D37">
        <f t="shared" si="0"/>
        <v>35</v>
      </c>
      <c r="E37">
        <f t="shared" si="1"/>
        <v>65</v>
      </c>
      <c r="F37" s="9">
        <f t="shared" si="2"/>
        <v>106.02385582460812</v>
      </c>
    </row>
    <row r="38" spans="3:6" x14ac:dyDescent="0.25">
      <c r="C38" s="7">
        <v>0.32</v>
      </c>
      <c r="D38">
        <f t="shared" si="0"/>
        <v>35</v>
      </c>
      <c r="E38">
        <f t="shared" si="1"/>
        <v>65</v>
      </c>
      <c r="F38" s="9">
        <f t="shared" si="2"/>
        <v>105.8900622490611</v>
      </c>
    </row>
    <row r="39" spans="3:6" x14ac:dyDescent="0.25">
      <c r="C39" s="7">
        <v>0.33</v>
      </c>
      <c r="D39">
        <f t="shared" si="0"/>
        <v>35</v>
      </c>
      <c r="E39">
        <f t="shared" si="1"/>
        <v>65</v>
      </c>
      <c r="F39" s="9">
        <f t="shared" si="2"/>
        <v>105.73602497332959</v>
      </c>
    </row>
    <row r="40" spans="3:6" x14ac:dyDescent="0.25">
      <c r="C40" s="7">
        <v>0.34</v>
      </c>
      <c r="D40">
        <f t="shared" si="0"/>
        <v>35</v>
      </c>
      <c r="E40">
        <f t="shared" si="1"/>
        <v>65</v>
      </c>
      <c r="F40" s="9">
        <f t="shared" si="2"/>
        <v>105.56186665064557</v>
      </c>
    </row>
    <row r="41" spans="3:6" x14ac:dyDescent="0.25">
      <c r="C41" s="7">
        <v>0.35</v>
      </c>
      <c r="D41">
        <f t="shared" si="0"/>
        <v>35</v>
      </c>
      <c r="E41">
        <f t="shared" si="1"/>
        <v>65</v>
      </c>
      <c r="F41" s="9">
        <f t="shared" si="2"/>
        <v>105.36772088791753</v>
      </c>
    </row>
    <row r="42" spans="3:6" x14ac:dyDescent="0.25">
      <c r="C42" s="7">
        <v>0.36</v>
      </c>
      <c r="D42">
        <f t="shared" si="0"/>
        <v>35</v>
      </c>
      <c r="E42">
        <f t="shared" si="1"/>
        <v>65</v>
      </c>
      <c r="F42" s="9">
        <f t="shared" si="2"/>
        <v>105.15373209075436</v>
      </c>
    </row>
    <row r="43" spans="3:6" x14ac:dyDescent="0.25">
      <c r="C43" s="7">
        <v>0.37</v>
      </c>
      <c r="D43">
        <f t="shared" si="0"/>
        <v>35</v>
      </c>
      <c r="E43">
        <f t="shared" si="1"/>
        <v>65</v>
      </c>
      <c r="F43" s="9">
        <f t="shared" si="2"/>
        <v>104.92005529938304</v>
      </c>
    </row>
    <row r="44" spans="3:6" x14ac:dyDescent="0.25">
      <c r="C44" s="7">
        <v>0.38</v>
      </c>
      <c r="D44">
        <f t="shared" si="0"/>
        <v>35</v>
      </c>
      <c r="E44">
        <f t="shared" si="1"/>
        <v>65</v>
      </c>
      <c r="F44" s="9">
        <f t="shared" si="2"/>
        <v>104.66685601571513</v>
      </c>
    </row>
    <row r="45" spans="3:6" x14ac:dyDescent="0.25">
      <c r="C45" s="7">
        <v>0.39</v>
      </c>
      <c r="D45">
        <f t="shared" si="0"/>
        <v>35</v>
      </c>
      <c r="E45">
        <f t="shared" si="1"/>
        <v>65</v>
      </c>
      <c r="F45" s="9">
        <f t="shared" si="2"/>
        <v>104.39431002180133</v>
      </c>
    </row>
    <row r="46" spans="3:6" x14ac:dyDescent="0.25">
      <c r="C46" s="7">
        <v>0.4</v>
      </c>
      <c r="D46">
        <f t="shared" si="0"/>
        <v>35</v>
      </c>
      <c r="E46">
        <f t="shared" si="1"/>
        <v>65</v>
      </c>
      <c r="F46" s="9">
        <f t="shared" si="2"/>
        <v>104.1026031899475</v>
      </c>
    </row>
    <row r="47" spans="3:6" x14ac:dyDescent="0.25">
      <c r="C47" s="7">
        <v>0.41</v>
      </c>
      <c r="D47">
        <f t="shared" si="0"/>
        <v>35</v>
      </c>
      <c r="E47">
        <f t="shared" si="1"/>
        <v>65</v>
      </c>
      <c r="F47" s="9">
        <f t="shared" si="2"/>
        <v>103.79193128474822</v>
      </c>
    </row>
    <row r="48" spans="3:6" x14ac:dyDescent="0.25">
      <c r="C48" s="7">
        <v>0.42</v>
      </c>
      <c r="D48">
        <f t="shared" si="0"/>
        <v>35</v>
      </c>
      <c r="E48">
        <f t="shared" si="1"/>
        <v>65</v>
      </c>
      <c r="F48" s="9">
        <f t="shared" si="2"/>
        <v>103.46249975732964</v>
      </c>
    </row>
    <row r="49" spans="3:6" x14ac:dyDescent="0.25">
      <c r="C49" s="7">
        <v>0.43</v>
      </c>
      <c r="D49">
        <f t="shared" si="0"/>
        <v>35</v>
      </c>
      <c r="E49">
        <f t="shared" si="1"/>
        <v>65</v>
      </c>
      <c r="F49" s="9">
        <f t="shared" si="2"/>
        <v>103.11452353207554</v>
      </c>
    </row>
    <row r="50" spans="3:6" x14ac:dyDescent="0.25">
      <c r="C50" s="7">
        <v>0.44</v>
      </c>
      <c r="D50">
        <f t="shared" si="0"/>
        <v>35</v>
      </c>
      <c r="E50">
        <f t="shared" si="1"/>
        <v>65</v>
      </c>
      <c r="F50" s="9">
        <f t="shared" si="2"/>
        <v>102.74822678613327</v>
      </c>
    </row>
    <row r="51" spans="3:6" x14ac:dyDescent="0.25">
      <c r="C51" s="7">
        <v>0.45</v>
      </c>
      <c r="D51">
        <f t="shared" si="0"/>
        <v>35</v>
      </c>
      <c r="E51">
        <f t="shared" si="1"/>
        <v>65</v>
      </c>
      <c r="F51" s="9">
        <f t="shared" si="2"/>
        <v>102.3638427219967</v>
      </c>
    </row>
    <row r="52" spans="3:6" x14ac:dyDescent="0.25">
      <c r="C52" s="7">
        <v>0.46</v>
      </c>
      <c r="D52">
        <f t="shared" si="0"/>
        <v>35</v>
      </c>
      <c r="E52">
        <f t="shared" si="1"/>
        <v>65</v>
      </c>
      <c r="F52" s="9">
        <f t="shared" si="2"/>
        <v>101.96161333347639</v>
      </c>
    </row>
    <row r="53" spans="3:6" x14ac:dyDescent="0.25">
      <c r="C53" s="7">
        <v>0.47</v>
      </c>
      <c r="D53">
        <f t="shared" si="0"/>
        <v>35</v>
      </c>
      <c r="E53">
        <f t="shared" si="1"/>
        <v>65</v>
      </c>
      <c r="F53" s="9">
        <f t="shared" si="2"/>
        <v>101.5417891653573</v>
      </c>
    </row>
    <row r="54" spans="3:6" x14ac:dyDescent="0.25">
      <c r="C54" s="7">
        <v>0.48</v>
      </c>
      <c r="D54">
        <f t="shared" si="0"/>
        <v>35</v>
      </c>
      <c r="E54">
        <f t="shared" si="1"/>
        <v>65</v>
      </c>
      <c r="F54" s="9">
        <f t="shared" si="2"/>
        <v>101.10462906706775</v>
      </c>
    </row>
    <row r="55" spans="3:6" x14ac:dyDescent="0.25">
      <c r="C55" s="7">
        <v>0.49</v>
      </c>
      <c r="D55">
        <f t="shared" si="0"/>
        <v>35</v>
      </c>
      <c r="E55">
        <f t="shared" si="1"/>
        <v>65</v>
      </c>
      <c r="F55" s="9">
        <f t="shared" si="2"/>
        <v>100.65039994067666</v>
      </c>
    </row>
    <row r="56" spans="3:6" x14ac:dyDescent="0.25">
      <c r="C56" s="7">
        <v>0.5</v>
      </c>
      <c r="D56">
        <f t="shared" si="0"/>
        <v>35</v>
      </c>
      <c r="E56">
        <f t="shared" si="1"/>
        <v>65</v>
      </c>
      <c r="F56" s="9">
        <f t="shared" si="2"/>
        <v>100.17937648354464</v>
      </c>
    </row>
    <row r="57" spans="3:6" x14ac:dyDescent="0.25">
      <c r="C57" s="7">
        <v>0.51</v>
      </c>
      <c r="D57">
        <f t="shared" si="0"/>
        <v>35</v>
      </c>
      <c r="E57">
        <f t="shared" si="1"/>
        <v>65</v>
      </c>
      <c r="F57" s="9">
        <f t="shared" si="2"/>
        <v>99.691840925951254</v>
      </c>
    </row>
    <row r="58" spans="3:6" x14ac:dyDescent="0.25">
      <c r="C58" s="7">
        <v>0.52</v>
      </c>
      <c r="D58">
        <f t="shared" si="0"/>
        <v>35</v>
      </c>
      <c r="E58">
        <f t="shared" si="1"/>
        <v>65</v>
      </c>
      <c r="F58" s="9">
        <f t="shared" si="2"/>
        <v>99.188082764041155</v>
      </c>
    </row>
    <row r="59" spans="3:6" x14ac:dyDescent="0.25">
      <c r="C59" s="7">
        <v>0.53</v>
      </c>
      <c r="D59">
        <f t="shared" si="0"/>
        <v>35</v>
      </c>
      <c r="E59">
        <f t="shared" si="1"/>
        <v>65</v>
      </c>
      <c r="F59" s="9">
        <f t="shared" si="2"/>
        <v>98.668398488406453</v>
      </c>
    </row>
    <row r="60" spans="3:6" x14ac:dyDescent="0.25">
      <c r="C60" s="7">
        <v>0.54</v>
      </c>
      <c r="D60">
        <f t="shared" si="0"/>
        <v>35</v>
      </c>
      <c r="E60">
        <f t="shared" si="1"/>
        <v>65</v>
      </c>
      <c r="F60" s="9">
        <f t="shared" si="2"/>
        <v>98.133091308656134</v>
      </c>
    </row>
    <row r="61" spans="3:6" x14ac:dyDescent="0.25">
      <c r="C61" s="7">
        <v>0.55000000000000004</v>
      </c>
      <c r="D61">
        <f t="shared" si="0"/>
        <v>35</v>
      </c>
      <c r="E61">
        <f t="shared" si="1"/>
        <v>65</v>
      </c>
      <c r="F61" s="9">
        <f t="shared" si="2"/>
        <v>97.582470874297542</v>
      </c>
    </row>
    <row r="62" spans="3:6" x14ac:dyDescent="0.25">
      <c r="C62" s="7">
        <v>0.56000000000000005</v>
      </c>
      <c r="D62">
        <f t="shared" si="0"/>
        <v>35</v>
      </c>
      <c r="E62">
        <f t="shared" si="1"/>
        <v>65</v>
      </c>
      <c r="F62" s="9">
        <f t="shared" si="2"/>
        <v>97.016852992279183</v>
      </c>
    </row>
    <row r="63" spans="3:6" x14ac:dyDescent="0.25">
      <c r="C63" s="7">
        <v>0.56999999999999995</v>
      </c>
      <c r="D63">
        <f t="shared" si="0"/>
        <v>35</v>
      </c>
      <c r="E63">
        <f t="shared" si="1"/>
        <v>65</v>
      </c>
      <c r="F63" s="9">
        <f t="shared" si="2"/>
        <v>96.43655934152136</v>
      </c>
    </row>
    <row r="64" spans="3:6" x14ac:dyDescent="0.25">
      <c r="C64" s="7">
        <v>0.57999999999999996</v>
      </c>
      <c r="D64">
        <f t="shared" si="0"/>
        <v>35</v>
      </c>
      <c r="E64">
        <f t="shared" si="1"/>
        <v>65</v>
      </c>
      <c r="F64" s="9">
        <f t="shared" si="2"/>
        <v>95.841917184787448</v>
      </c>
    </row>
    <row r="65" spans="3:6" x14ac:dyDescent="0.25">
      <c r="C65" s="7">
        <v>0.59</v>
      </c>
      <c r="D65">
        <f t="shared" si="0"/>
        <v>35</v>
      </c>
      <c r="E65">
        <f t="shared" si="1"/>
        <v>65</v>
      </c>
      <c r="F65" s="9">
        <f t="shared" si="2"/>
        <v>95.233259078218126</v>
      </c>
    </row>
    <row r="66" spans="3:6" x14ac:dyDescent="0.25">
      <c r="C66" s="7">
        <v>0.6</v>
      </c>
      <c r="D66">
        <f t="shared" si="0"/>
        <v>35</v>
      </c>
      <c r="E66">
        <f t="shared" si="1"/>
        <v>65</v>
      </c>
      <c r="F66" s="9">
        <f t="shared" si="2"/>
        <v>94.61092257888582</v>
      </c>
    </row>
    <row r="67" spans="3:6" x14ac:dyDescent="0.25">
      <c r="C67" s="7">
        <v>0.61</v>
      </c>
      <c r="D67">
        <f t="shared" si="0"/>
        <v>35</v>
      </c>
      <c r="E67">
        <f t="shared" si="1"/>
        <v>65</v>
      </c>
      <c r="F67" s="9">
        <f t="shared" si="2"/>
        <v>93.975249950685395</v>
      </c>
    </row>
    <row r="68" spans="3:6" x14ac:dyDescent="0.25">
      <c r="C68" s="7">
        <v>0.62</v>
      </c>
      <c r="D68">
        <f t="shared" si="0"/>
        <v>35</v>
      </c>
      <c r="E68">
        <f t="shared" si="1"/>
        <v>65</v>
      </c>
      <c r="F68" s="9">
        <f t="shared" si="2"/>
        <v>93.326587868913407</v>
      </c>
    </row>
    <row r="69" spans="3:6" x14ac:dyDescent="0.25">
      <c r="C69" s="7">
        <v>0.63</v>
      </c>
      <c r="D69">
        <f t="shared" si="0"/>
        <v>35</v>
      </c>
      <c r="E69">
        <f t="shared" si="1"/>
        <v>65</v>
      </c>
      <c r="F69" s="9">
        <f t="shared" si="2"/>
        <v>92.66528712385589</v>
      </c>
    </row>
    <row r="70" spans="3:6" x14ac:dyDescent="0.25">
      <c r="C70" s="7">
        <v>0.64</v>
      </c>
      <c r="D70">
        <f t="shared" si="0"/>
        <v>35</v>
      </c>
      <c r="E70">
        <f t="shared" si="1"/>
        <v>65</v>
      </c>
      <c r="F70" s="9">
        <f t="shared" si="2"/>
        <v>91.991702323720574</v>
      </c>
    </row>
    <row r="71" spans="3:6" x14ac:dyDescent="0.25">
      <c r="C71" s="7">
        <v>0.65</v>
      </c>
      <c r="D71">
        <f t="shared" si="0"/>
        <v>35</v>
      </c>
      <c r="E71">
        <f t="shared" si="1"/>
        <v>65</v>
      </c>
      <c r="F71" s="9">
        <f t="shared" si="2"/>
        <v>91.306191597242659</v>
      </c>
    </row>
    <row r="72" spans="3:6" x14ac:dyDescent="0.25">
      <c r="C72" s="7">
        <v>0.66</v>
      </c>
      <c r="D72">
        <f t="shared" ref="D72:D106" si="3">$B$4*$B$3</f>
        <v>35</v>
      </c>
      <c r="E72">
        <f t="shared" ref="E72:E106" si="4">$B$5*$B$3</f>
        <v>65</v>
      </c>
      <c r="F72" s="9">
        <f t="shared" ref="F72:F106" si="5">(1+$B$1*C72)^D72*(1-$B$2*C72)^E72*$A$6</f>
        <v>90.609116296276227</v>
      </c>
    </row>
    <row r="73" spans="3:6" x14ac:dyDescent="0.25">
      <c r="C73" s="7">
        <v>0.67</v>
      </c>
      <c r="D73">
        <f t="shared" si="3"/>
        <v>35</v>
      </c>
      <c r="E73">
        <f t="shared" si="4"/>
        <v>65</v>
      </c>
      <c r="F73" s="9">
        <f t="shared" si="5"/>
        <v>89.900840698707825</v>
      </c>
    </row>
    <row r="74" spans="3:6" x14ac:dyDescent="0.25">
      <c r="C74" s="7">
        <v>0.68</v>
      </c>
      <c r="D74">
        <f t="shared" si="3"/>
        <v>35</v>
      </c>
      <c r="E74">
        <f t="shared" si="4"/>
        <v>65</v>
      </c>
      <c r="F74" s="9">
        <f t="shared" si="5"/>
        <v>89.181731711989769</v>
      </c>
    </row>
    <row r="75" spans="3:6" x14ac:dyDescent="0.25">
      <c r="C75" s="7">
        <v>0.69</v>
      </c>
      <c r="D75">
        <f t="shared" si="3"/>
        <v>35</v>
      </c>
      <c r="E75">
        <f t="shared" si="4"/>
        <v>65</v>
      </c>
      <c r="F75" s="9">
        <f t="shared" si="5"/>
        <v>88.452158577618775</v>
      </c>
    </row>
    <row r="76" spans="3:6" x14ac:dyDescent="0.25">
      <c r="C76" s="7">
        <v>0.7</v>
      </c>
      <c r="D76">
        <f t="shared" si="3"/>
        <v>35</v>
      </c>
      <c r="E76">
        <f t="shared" si="4"/>
        <v>65</v>
      </c>
      <c r="F76" s="9">
        <f t="shared" si="5"/>
        <v>87.712492576850039</v>
      </c>
    </row>
    <row r="77" spans="3:6" x14ac:dyDescent="0.25">
      <c r="C77" s="7">
        <v>0.71</v>
      </c>
      <c r="D77">
        <f t="shared" si="3"/>
        <v>35</v>
      </c>
      <c r="E77">
        <f t="shared" si="4"/>
        <v>65</v>
      </c>
      <c r="F77" s="9">
        <f t="shared" si="5"/>
        <v>86.96310673796367</v>
      </c>
    </row>
    <row r="78" spans="3:6" x14ac:dyDescent="0.25">
      <c r="C78" s="7">
        <v>0.72</v>
      </c>
      <c r="D78">
        <f t="shared" si="3"/>
        <v>35</v>
      </c>
      <c r="E78">
        <f t="shared" si="4"/>
        <v>65</v>
      </c>
      <c r="F78" s="9">
        <f t="shared" si="5"/>
        <v>86.204375545363831</v>
      </c>
    </row>
    <row r="79" spans="3:6" x14ac:dyDescent="0.25">
      <c r="C79" s="7">
        <v>0.73</v>
      </c>
      <c r="D79">
        <f t="shared" si="3"/>
        <v>35</v>
      </c>
      <c r="E79">
        <f t="shared" si="4"/>
        <v>65</v>
      </c>
      <c r="F79" s="9">
        <f t="shared" si="5"/>
        <v>85.436674650804605</v>
      </c>
    </row>
    <row r="80" spans="3:6" x14ac:dyDescent="0.25">
      <c r="C80" s="7">
        <v>0.74</v>
      </c>
      <c r="D80">
        <f t="shared" si="3"/>
        <v>35</v>
      </c>
      <c r="E80">
        <f t="shared" si="4"/>
        <v>65</v>
      </c>
      <c r="F80" s="9">
        <f t="shared" si="5"/>
        <v>84.660380587022232</v>
      </c>
    </row>
    <row r="81" spans="3:6" x14ac:dyDescent="0.25">
      <c r="C81" s="7">
        <v>0.75</v>
      </c>
      <c r="D81">
        <f t="shared" si="3"/>
        <v>35</v>
      </c>
      <c r="E81">
        <f t="shared" si="4"/>
        <v>65</v>
      </c>
      <c r="F81" s="9">
        <f t="shared" si="5"/>
        <v>83.875870484054417</v>
      </c>
    </row>
    <row r="82" spans="3:6" x14ac:dyDescent="0.25">
      <c r="C82" s="7">
        <v>0.76</v>
      </c>
      <c r="D82">
        <f t="shared" si="3"/>
        <v>35</v>
      </c>
      <c r="E82">
        <f t="shared" si="4"/>
        <v>65</v>
      </c>
      <c r="F82" s="9">
        <f t="shared" si="5"/>
        <v>83.083521788505621</v>
      </c>
    </row>
    <row r="83" spans="3:6" x14ac:dyDescent="0.25">
      <c r="C83" s="7">
        <v>0.77</v>
      </c>
      <c r="D83">
        <f t="shared" si="3"/>
        <v>35</v>
      </c>
      <c r="E83">
        <f t="shared" si="4"/>
        <v>65</v>
      </c>
      <c r="F83" s="9">
        <f t="shared" si="5"/>
        <v>82.283711986025281</v>
      </c>
    </row>
    <row r="84" spans="3:6" x14ac:dyDescent="0.25">
      <c r="C84" s="7">
        <v>0.78</v>
      </c>
      <c r="D84">
        <f t="shared" si="3"/>
        <v>35</v>
      </c>
      <c r="E84">
        <f t="shared" si="4"/>
        <v>65</v>
      </c>
      <c r="F84" s="9">
        <f t="shared" si="5"/>
        <v>81.476818327249546</v>
      </c>
    </row>
    <row r="85" spans="3:6" x14ac:dyDescent="0.25">
      <c r="C85" s="7">
        <v>0.79</v>
      </c>
      <c r="D85">
        <f t="shared" si="3"/>
        <v>35</v>
      </c>
      <c r="E85">
        <f t="shared" si="4"/>
        <v>65</v>
      </c>
      <c r="F85" s="9">
        <f t="shared" si="5"/>
        <v>80.663217557456008</v>
      </c>
    </row>
    <row r="86" spans="3:6" x14ac:dyDescent="0.25">
      <c r="C86" s="7">
        <v>0.8</v>
      </c>
      <c r="D86">
        <f t="shared" si="3"/>
        <v>35</v>
      </c>
      <c r="E86">
        <f t="shared" si="4"/>
        <v>65</v>
      </c>
      <c r="F86" s="9">
        <f t="shared" si="5"/>
        <v>79.843285650161647</v>
      </c>
    </row>
    <row r="87" spans="3:6" x14ac:dyDescent="0.25">
      <c r="C87" s="7">
        <v>0.81</v>
      </c>
      <c r="D87">
        <f t="shared" si="3"/>
        <v>35</v>
      </c>
      <c r="E87">
        <f t="shared" si="4"/>
        <v>65</v>
      </c>
      <c r="F87" s="9">
        <f t="shared" si="5"/>
        <v>79.017397544898827</v>
      </c>
    </row>
    <row r="88" spans="3:6" x14ac:dyDescent="0.25">
      <c r="C88" s="7">
        <v>0.82</v>
      </c>
      <c r="D88">
        <f t="shared" si="3"/>
        <v>35</v>
      </c>
      <c r="E88">
        <f t="shared" si="4"/>
        <v>65</v>
      </c>
      <c r="F88" s="9">
        <f t="shared" si="5"/>
        <v>78.185926889388512</v>
      </c>
    </row>
    <row r="89" spans="3:6" x14ac:dyDescent="0.25">
      <c r="C89" s="7">
        <v>0.83</v>
      </c>
      <c r="D89">
        <f t="shared" si="3"/>
        <v>35</v>
      </c>
      <c r="E89">
        <f t="shared" si="4"/>
        <v>65</v>
      </c>
      <c r="F89" s="9">
        <f t="shared" si="5"/>
        <v>77.349245786324161</v>
      </c>
    </row>
    <row r="90" spans="3:6" x14ac:dyDescent="0.25">
      <c r="C90" s="7">
        <v>0.84</v>
      </c>
      <c r="D90">
        <f t="shared" si="3"/>
        <v>35</v>
      </c>
      <c r="E90">
        <f t="shared" si="4"/>
        <v>65</v>
      </c>
      <c r="F90" s="9">
        <f t="shared" si="5"/>
        <v>76.507724544963878</v>
      </c>
    </row>
    <row r="91" spans="3:6" x14ac:dyDescent="0.25">
      <c r="C91" s="7">
        <v>0.85</v>
      </c>
      <c r="D91">
        <f t="shared" si="3"/>
        <v>35</v>
      </c>
      <c r="E91">
        <f t="shared" si="4"/>
        <v>65</v>
      </c>
      <c r="F91" s="9">
        <f t="shared" si="5"/>
        <v>75.661731437736549</v>
      </c>
    </row>
    <row r="92" spans="3:6" x14ac:dyDescent="0.25">
      <c r="C92" s="7">
        <v>0.86</v>
      </c>
      <c r="D92">
        <f t="shared" si="3"/>
        <v>35</v>
      </c>
      <c r="E92">
        <f t="shared" si="4"/>
        <v>65</v>
      </c>
      <c r="F92" s="9">
        <f t="shared" si="5"/>
        <v>74.811632462033671</v>
      </c>
    </row>
    <row r="93" spans="3:6" x14ac:dyDescent="0.25">
      <c r="C93" s="7">
        <v>0.87</v>
      </c>
      <c r="D93">
        <f t="shared" si="3"/>
        <v>35</v>
      </c>
      <c r="E93">
        <f t="shared" si="4"/>
        <v>65</v>
      </c>
      <c r="F93" s="9">
        <f t="shared" si="5"/>
        <v>73.957791107376607</v>
      </c>
    </row>
    <row r="94" spans="3:6" x14ac:dyDescent="0.25">
      <c r="C94" s="7">
        <v>0.88</v>
      </c>
      <c r="D94">
        <f t="shared" si="3"/>
        <v>35</v>
      </c>
      <c r="E94">
        <f t="shared" si="4"/>
        <v>65</v>
      </c>
      <c r="F94" s="9">
        <f t="shared" si="5"/>
        <v>73.100568128113878</v>
      </c>
    </row>
    <row r="95" spans="3:6" x14ac:dyDescent="0.25">
      <c r="C95" s="7">
        <v>0.89</v>
      </c>
      <c r="D95">
        <f t="shared" si="3"/>
        <v>35</v>
      </c>
      <c r="E95">
        <f t="shared" si="4"/>
        <v>65</v>
      </c>
      <c r="F95" s="9">
        <f t="shared" si="5"/>
        <v>72.240321321819579</v>
      </c>
    </row>
    <row r="96" spans="3:6" x14ac:dyDescent="0.25">
      <c r="C96" s="7">
        <v>0.9</v>
      </c>
      <c r="D96">
        <f t="shared" si="3"/>
        <v>35</v>
      </c>
      <c r="E96">
        <f t="shared" si="4"/>
        <v>65</v>
      </c>
      <c r="F96" s="9">
        <f t="shared" si="5"/>
        <v>71.377405313526637</v>
      </c>
    </row>
    <row r="97" spans="3:6" x14ac:dyDescent="0.25">
      <c r="C97" s="7">
        <v>0.91</v>
      </c>
      <c r="D97">
        <f t="shared" si="3"/>
        <v>35</v>
      </c>
      <c r="E97">
        <f t="shared" si="4"/>
        <v>65</v>
      </c>
      <c r="F97" s="9">
        <f t="shared" si="5"/>
        <v>70.512171345947749</v>
      </c>
    </row>
    <row r="98" spans="3:6" x14ac:dyDescent="0.25">
      <c r="C98" s="7">
        <v>0.92</v>
      </c>
      <c r="D98">
        <f t="shared" si="3"/>
        <v>35</v>
      </c>
      <c r="E98">
        <f t="shared" si="4"/>
        <v>65</v>
      </c>
      <c r="F98" s="9">
        <f t="shared" si="5"/>
        <v>69.644967075803493</v>
      </c>
    </row>
    <row r="99" spans="3:6" x14ac:dyDescent="0.25">
      <c r="C99" s="7">
        <v>0.93</v>
      </c>
      <c r="D99">
        <f t="shared" si="3"/>
        <v>35</v>
      </c>
      <c r="E99">
        <f t="shared" si="4"/>
        <v>65</v>
      </c>
      <c r="F99" s="9">
        <f t="shared" si="5"/>
        <v>68.776136376382013</v>
      </c>
    </row>
    <row r="100" spans="3:6" x14ac:dyDescent="0.25">
      <c r="C100" s="7">
        <v>0.94</v>
      </c>
      <c r="D100">
        <f t="shared" si="3"/>
        <v>35</v>
      </c>
      <c r="E100">
        <f t="shared" si="4"/>
        <v>65</v>
      </c>
      <c r="F100" s="9">
        <f t="shared" si="5"/>
        <v>67.906019146440599</v>
      </c>
    </row>
    <row r="101" spans="3:6" x14ac:dyDescent="0.25">
      <c r="C101" s="7">
        <v>0.95</v>
      </c>
      <c r="D101">
        <f t="shared" si="3"/>
        <v>35</v>
      </c>
      <c r="E101">
        <f t="shared" si="4"/>
        <v>65</v>
      </c>
      <c r="F101" s="9">
        <f t="shared" si="5"/>
        <v>67.034951125549284</v>
      </c>
    </row>
    <row r="102" spans="3:6" x14ac:dyDescent="0.25">
      <c r="C102" s="7">
        <v>0.96</v>
      </c>
      <c r="D102">
        <f t="shared" si="3"/>
        <v>35</v>
      </c>
      <c r="E102">
        <f t="shared" si="4"/>
        <v>65</v>
      </c>
      <c r="F102" s="9">
        <f t="shared" si="5"/>
        <v>66.163263715967304</v>
      </c>
    </row>
    <row r="103" spans="3:6" x14ac:dyDescent="0.25">
      <c r="C103" s="7">
        <v>0.97</v>
      </c>
      <c r="D103">
        <f t="shared" si="3"/>
        <v>35</v>
      </c>
      <c r="E103">
        <f t="shared" si="4"/>
        <v>65</v>
      </c>
      <c r="F103" s="9">
        <f t="shared" si="5"/>
        <v>65.291283811135898</v>
      </c>
    </row>
    <row r="104" spans="3:6" x14ac:dyDescent="0.25">
      <c r="C104" s="7">
        <v>0.98</v>
      </c>
      <c r="D104">
        <f t="shared" si="3"/>
        <v>35</v>
      </c>
      <c r="E104">
        <f t="shared" si="4"/>
        <v>65</v>
      </c>
      <c r="F104" s="9">
        <f t="shared" si="5"/>
        <v>64.419333630859882</v>
      </c>
    </row>
    <row r="105" spans="3:6" x14ac:dyDescent="0.25">
      <c r="C105" s="7">
        <v>0.99</v>
      </c>
      <c r="D105">
        <f t="shared" si="3"/>
        <v>35</v>
      </c>
      <c r="E105">
        <f t="shared" si="4"/>
        <v>65</v>
      </c>
      <c r="F105" s="9">
        <f t="shared" si="5"/>
        <v>63.547730563239824</v>
      </c>
    </row>
    <row r="106" spans="3:6" x14ac:dyDescent="0.25">
      <c r="C106" s="7">
        <v>1</v>
      </c>
      <c r="D106">
        <f t="shared" si="3"/>
        <v>35</v>
      </c>
      <c r="E106">
        <f t="shared" si="4"/>
        <v>65</v>
      </c>
      <c r="F106" s="9">
        <f t="shared" si="5"/>
        <v>62.676787013410795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106"/>
  <sheetViews>
    <sheetView zoomScale="115" zoomScaleNormal="115" workbookViewId="0">
      <selection activeCell="J35" sqref="J35"/>
    </sheetView>
  </sheetViews>
  <sheetFormatPr defaultRowHeight="15" x14ac:dyDescent="0.25"/>
  <cols>
    <col min="1" max="1" width="33.140625" customWidth="1"/>
    <col min="6" max="6" width="12.28515625" bestFit="1" customWidth="1"/>
  </cols>
  <sheetData>
    <row r="1" spans="1:6" x14ac:dyDescent="0.25">
      <c r="A1" s="1" t="s">
        <v>37</v>
      </c>
      <c r="B1" s="2">
        <v>0.1038</v>
      </c>
      <c r="D1" s="7">
        <f>B1</f>
        <v>0.1038</v>
      </c>
      <c r="F1" s="12" t="s">
        <v>67</v>
      </c>
    </row>
    <row r="2" spans="1:6" x14ac:dyDescent="0.25">
      <c r="A2" s="3" t="s">
        <v>38</v>
      </c>
      <c r="B2" s="4">
        <v>2.9000000000000001E-2</v>
      </c>
      <c r="D2" s="7">
        <f>B2</f>
        <v>2.9000000000000001E-2</v>
      </c>
      <c r="F2" s="12" t="s">
        <v>68</v>
      </c>
    </row>
    <row r="3" spans="1:6" x14ac:dyDescent="0.25">
      <c r="A3" s="3" t="s">
        <v>0</v>
      </c>
      <c r="B3" s="4">
        <v>100</v>
      </c>
    </row>
    <row r="4" spans="1:6" x14ac:dyDescent="0.25">
      <c r="A4" s="3" t="s">
        <v>1</v>
      </c>
      <c r="B4" s="4">
        <v>0.38</v>
      </c>
    </row>
    <row r="5" spans="1:6" x14ac:dyDescent="0.25">
      <c r="A5" s="5" t="s">
        <v>2</v>
      </c>
      <c r="B5" s="6">
        <f>1-B4</f>
        <v>0.62</v>
      </c>
    </row>
    <row r="6" spans="1:6" ht="60" x14ac:dyDescent="0.25">
      <c r="A6" s="8">
        <v>10</v>
      </c>
      <c r="C6" s="11" t="s">
        <v>3</v>
      </c>
      <c r="D6" s="12" t="s">
        <v>4</v>
      </c>
      <c r="E6" s="12" t="s">
        <v>5</v>
      </c>
      <c r="F6" s="12" t="s">
        <v>6</v>
      </c>
    </row>
    <row r="7" spans="1:6" x14ac:dyDescent="0.25">
      <c r="C7">
        <v>0.01</v>
      </c>
      <c r="D7">
        <f>$B$4*$B$3</f>
        <v>38</v>
      </c>
      <c r="E7">
        <f>$B$5*$B$3</f>
        <v>62</v>
      </c>
      <c r="F7" s="9">
        <f>(1+$B$1*C7)^D7*(1-$B$2*C7)^E7*$A$6</f>
        <v>10.216724435898943</v>
      </c>
    </row>
    <row r="8" spans="1:6" x14ac:dyDescent="0.25">
      <c r="C8">
        <v>0.02</v>
      </c>
      <c r="D8">
        <f t="shared" ref="D8:D71" si="0">$B$4*$B$3</f>
        <v>38</v>
      </c>
      <c r="E8">
        <f t="shared" ref="E8:E71" si="1">$B$5*$B$3</f>
        <v>62</v>
      </c>
      <c r="F8" s="9">
        <f t="shared" ref="F8:F71" si="2">(1+$B$1*C8)^D8*(1-$B$2*C8)^E8*$A$6</f>
        <v>10.437664890763838</v>
      </c>
    </row>
    <row r="9" spans="1:6" x14ac:dyDescent="0.25">
      <c r="C9">
        <v>0.03</v>
      </c>
      <c r="D9">
        <f t="shared" si="0"/>
        <v>38</v>
      </c>
      <c r="E9">
        <f t="shared" si="1"/>
        <v>62</v>
      </c>
      <c r="F9" s="9">
        <f t="shared" si="2"/>
        <v>10.662892827933524</v>
      </c>
    </row>
    <row r="10" spans="1:6" x14ac:dyDescent="0.25">
      <c r="C10">
        <v>0.04</v>
      </c>
      <c r="D10">
        <f t="shared" si="0"/>
        <v>38</v>
      </c>
      <c r="E10">
        <f t="shared" si="1"/>
        <v>62</v>
      </c>
      <c r="F10" s="9">
        <f t="shared" si="2"/>
        <v>10.892480708822301</v>
      </c>
    </row>
    <row r="11" spans="1:6" x14ac:dyDescent="0.25">
      <c r="C11">
        <v>0.05</v>
      </c>
      <c r="D11">
        <f t="shared" si="0"/>
        <v>38</v>
      </c>
      <c r="E11">
        <f t="shared" si="1"/>
        <v>62</v>
      </c>
      <c r="F11" s="9">
        <f t="shared" si="2"/>
        <v>11.126502002897624</v>
      </c>
    </row>
    <row r="12" spans="1:6" x14ac:dyDescent="0.25">
      <c r="C12">
        <v>0.06</v>
      </c>
      <c r="D12">
        <f t="shared" si="0"/>
        <v>38</v>
      </c>
      <c r="E12">
        <f t="shared" si="1"/>
        <v>62</v>
      </c>
      <c r="F12" s="9">
        <f t="shared" si="2"/>
        <v>11.365031197686893</v>
      </c>
    </row>
    <row r="13" spans="1:6" x14ac:dyDescent="0.25">
      <c r="C13">
        <v>7.0000000000000007E-2</v>
      </c>
      <c r="D13">
        <f t="shared" si="0"/>
        <v>38</v>
      </c>
      <c r="E13">
        <f t="shared" si="1"/>
        <v>62</v>
      </c>
      <c r="F13" s="9">
        <f t="shared" si="2"/>
        <v>11.608143808815484</v>
      </c>
    </row>
    <row r="14" spans="1:6" x14ac:dyDescent="0.25">
      <c r="C14">
        <v>0.08</v>
      </c>
      <c r="D14">
        <f t="shared" si="0"/>
        <v>38</v>
      </c>
      <c r="E14">
        <f t="shared" si="1"/>
        <v>62</v>
      </c>
      <c r="F14" s="9">
        <f t="shared" si="2"/>
        <v>11.855916390070959</v>
      </c>
    </row>
    <row r="15" spans="1:6" x14ac:dyDescent="0.25">
      <c r="C15">
        <v>0.09</v>
      </c>
      <c r="D15">
        <f t="shared" si="0"/>
        <v>38</v>
      </c>
      <c r="E15">
        <f t="shared" si="1"/>
        <v>62</v>
      </c>
      <c r="F15" s="9">
        <f t="shared" si="2"/>
        <v>12.108426543495669</v>
      </c>
    </row>
    <row r="16" spans="1:6" x14ac:dyDescent="0.25">
      <c r="C16">
        <v>0.1</v>
      </c>
      <c r="D16">
        <f t="shared" si="0"/>
        <v>38</v>
      </c>
      <c r="E16">
        <f t="shared" si="1"/>
        <v>62</v>
      </c>
      <c r="F16" s="9">
        <f t="shared" si="2"/>
        <v>12.365752929504177</v>
      </c>
    </row>
    <row r="17" spans="3:6" x14ac:dyDescent="0.25">
      <c r="C17">
        <v>0.11</v>
      </c>
      <c r="D17">
        <f t="shared" si="0"/>
        <v>38</v>
      </c>
      <c r="E17">
        <f t="shared" si="1"/>
        <v>62</v>
      </c>
      <c r="F17" s="9">
        <f t="shared" si="2"/>
        <v>12.627975277024863</v>
      </c>
    </row>
    <row r="18" spans="3:6" x14ac:dyDescent="0.25">
      <c r="C18">
        <v>0.12</v>
      </c>
      <c r="D18">
        <f t="shared" si="0"/>
        <v>38</v>
      </c>
      <c r="E18">
        <f t="shared" si="1"/>
        <v>62</v>
      </c>
      <c r="F18" s="9">
        <f t="shared" si="2"/>
        <v>12.895174393665293</v>
      </c>
    </row>
    <row r="19" spans="3:6" x14ac:dyDescent="0.25">
      <c r="C19">
        <v>0.13</v>
      </c>
      <c r="D19">
        <f t="shared" si="0"/>
        <v>38</v>
      </c>
      <c r="E19">
        <f t="shared" si="1"/>
        <v>62</v>
      </c>
      <c r="F19" s="9">
        <f t="shared" si="2"/>
        <v>13.167432175897833</v>
      </c>
    </row>
    <row r="20" spans="3:6" x14ac:dyDescent="0.25">
      <c r="C20">
        <v>0.14000000000000001</v>
      </c>
      <c r="D20">
        <f t="shared" si="0"/>
        <v>38</v>
      </c>
      <c r="E20">
        <f t="shared" si="1"/>
        <v>62</v>
      </c>
      <c r="F20" s="9">
        <f t="shared" si="2"/>
        <v>13.444831619267124</v>
      </c>
    </row>
    <row r="21" spans="3:6" x14ac:dyDescent="0.25">
      <c r="C21">
        <v>0.15</v>
      </c>
      <c r="D21">
        <f t="shared" si="0"/>
        <v>38</v>
      </c>
      <c r="E21">
        <f t="shared" si="1"/>
        <v>62</v>
      </c>
      <c r="F21" s="9">
        <f t="shared" si="2"/>
        <v>13.727456828614553</v>
      </c>
    </row>
    <row r="22" spans="3:6" x14ac:dyDescent="0.25">
      <c r="C22">
        <v>0.16</v>
      </c>
      <c r="D22">
        <f t="shared" si="0"/>
        <v>38</v>
      </c>
      <c r="E22">
        <f t="shared" si="1"/>
        <v>62</v>
      </c>
      <c r="F22" s="9">
        <f t="shared" si="2"/>
        <v>14.015393028321538</v>
      </c>
    </row>
    <row r="23" spans="3:6" x14ac:dyDescent="0.25">
      <c r="C23">
        <v>0.17</v>
      </c>
      <c r="D23">
        <f t="shared" si="0"/>
        <v>38</v>
      </c>
      <c r="E23">
        <f t="shared" si="1"/>
        <v>62</v>
      </c>
      <c r="F23" s="9">
        <f t="shared" si="2"/>
        <v>14.308726572568087</v>
      </c>
    </row>
    <row r="24" spans="3:6" x14ac:dyDescent="0.25">
      <c r="C24">
        <v>0.18</v>
      </c>
      <c r="D24">
        <f t="shared" si="0"/>
        <v>38</v>
      </c>
      <c r="E24">
        <f t="shared" si="1"/>
        <v>62</v>
      </c>
      <c r="F24" s="9">
        <f t="shared" si="2"/>
        <v>14.60754495560513</v>
      </c>
    </row>
    <row r="25" spans="3:6" x14ac:dyDescent="0.25">
      <c r="C25">
        <v>0.19</v>
      </c>
      <c r="D25">
        <f t="shared" si="0"/>
        <v>38</v>
      </c>
      <c r="E25">
        <f t="shared" si="1"/>
        <v>62</v>
      </c>
      <c r="F25" s="9">
        <f t="shared" si="2"/>
        <v>14.911936822041273</v>
      </c>
    </row>
    <row r="26" spans="3:6" x14ac:dyDescent="0.25">
      <c r="C26">
        <v>0.2</v>
      </c>
      <c r="D26">
        <f t="shared" si="0"/>
        <v>38</v>
      </c>
      <c r="E26">
        <f t="shared" si="1"/>
        <v>62</v>
      </c>
      <c r="F26" s="9">
        <f t="shared" si="2"/>
        <v>15.221991977139048</v>
      </c>
    </row>
    <row r="27" spans="3:6" x14ac:dyDescent="0.25">
      <c r="C27">
        <v>0.21</v>
      </c>
      <c r="D27">
        <f t="shared" si="0"/>
        <v>38</v>
      </c>
      <c r="E27">
        <f t="shared" si="1"/>
        <v>62</v>
      </c>
      <c r="F27" s="9">
        <f t="shared" si="2"/>
        <v>15.537801397121999</v>
      </c>
    </row>
    <row r="28" spans="3:6" x14ac:dyDescent="0.25">
      <c r="C28">
        <v>0.22</v>
      </c>
      <c r="D28">
        <f t="shared" si="0"/>
        <v>38</v>
      </c>
      <c r="E28">
        <f t="shared" si="1"/>
        <v>62</v>
      </c>
      <c r="F28" s="9">
        <f t="shared" si="2"/>
        <v>15.859457239490082</v>
      </c>
    </row>
    <row r="29" spans="3:6" x14ac:dyDescent="0.25">
      <c r="C29">
        <v>0.23</v>
      </c>
      <c r="D29">
        <f t="shared" si="0"/>
        <v>38</v>
      </c>
      <c r="E29">
        <f t="shared" si="1"/>
        <v>62</v>
      </c>
      <c r="F29" s="9">
        <f t="shared" si="2"/>
        <v>16.187052853340443</v>
      </c>
    </row>
    <row r="30" spans="3:6" x14ac:dyDescent="0.25">
      <c r="C30">
        <v>0.24</v>
      </c>
      <c r="D30">
        <f t="shared" si="0"/>
        <v>38</v>
      </c>
      <c r="E30">
        <f t="shared" si="1"/>
        <v>62</v>
      </c>
      <c r="F30" s="9">
        <f t="shared" si="2"/>
        <v>16.520682789694384</v>
      </c>
    </row>
    <row r="31" spans="3:6" x14ac:dyDescent="0.25">
      <c r="C31">
        <v>0.25</v>
      </c>
      <c r="D31">
        <f t="shared" si="0"/>
        <v>38</v>
      </c>
      <c r="E31">
        <f t="shared" si="1"/>
        <v>62</v>
      </c>
      <c r="F31" s="9">
        <f t="shared" si="2"/>
        <v>16.860442811826406</v>
      </c>
    </row>
    <row r="32" spans="3:6" x14ac:dyDescent="0.25">
      <c r="C32">
        <v>0.26</v>
      </c>
      <c r="D32">
        <f t="shared" si="0"/>
        <v>38</v>
      </c>
      <c r="E32">
        <f t="shared" si="1"/>
        <v>62</v>
      </c>
      <c r="F32" s="9">
        <f t="shared" si="2"/>
        <v>17.206429905596092</v>
      </c>
    </row>
    <row r="33" spans="3:6" x14ac:dyDescent="0.25">
      <c r="C33">
        <v>0.27</v>
      </c>
      <c r="D33">
        <f t="shared" si="0"/>
        <v>38</v>
      </c>
      <c r="E33">
        <f t="shared" si="1"/>
        <v>62</v>
      </c>
      <c r="F33" s="9">
        <f t="shared" si="2"/>
        <v>17.558742289777484</v>
      </c>
    </row>
    <row r="34" spans="3:6" x14ac:dyDescent="0.25">
      <c r="C34">
        <v>0.28000000000000003</v>
      </c>
      <c r="D34">
        <f t="shared" si="0"/>
        <v>38</v>
      </c>
      <c r="E34">
        <f t="shared" si="1"/>
        <v>62</v>
      </c>
      <c r="F34" s="9">
        <f t="shared" si="2"/>
        <v>17.917479426388969</v>
      </c>
    </row>
    <row r="35" spans="3:6" x14ac:dyDescent="0.25">
      <c r="C35">
        <v>0.28999999999999998</v>
      </c>
      <c r="D35">
        <f t="shared" si="0"/>
        <v>38</v>
      </c>
      <c r="E35">
        <f t="shared" si="1"/>
        <v>62</v>
      </c>
      <c r="F35" s="9">
        <f t="shared" si="2"/>
        <v>18.282742031018088</v>
      </c>
    </row>
    <row r="36" spans="3:6" x14ac:dyDescent="0.25">
      <c r="C36">
        <v>0.3</v>
      </c>
      <c r="D36">
        <f t="shared" si="0"/>
        <v>38</v>
      </c>
      <c r="E36">
        <f t="shared" si="1"/>
        <v>62</v>
      </c>
      <c r="F36" s="9">
        <f t="shared" si="2"/>
        <v>18.654632083140108</v>
      </c>
    </row>
    <row r="37" spans="3:6" x14ac:dyDescent="0.25">
      <c r="C37">
        <v>0.31</v>
      </c>
      <c r="D37">
        <f t="shared" si="0"/>
        <v>38</v>
      </c>
      <c r="E37">
        <f t="shared" si="1"/>
        <v>62</v>
      </c>
      <c r="F37" s="9">
        <f t="shared" si="2"/>
        <v>19.033252836431089</v>
      </c>
    </row>
    <row r="38" spans="3:6" x14ac:dyDescent="0.25">
      <c r="C38">
        <v>0.32</v>
      </c>
      <c r="D38">
        <f t="shared" si="0"/>
        <v>38</v>
      </c>
      <c r="E38">
        <f t="shared" si="1"/>
        <v>62</v>
      </c>
      <c r="F38" s="9">
        <f t="shared" si="2"/>
        <v>19.418708829069104</v>
      </c>
    </row>
    <row r="39" spans="3:6" x14ac:dyDescent="0.25">
      <c r="C39">
        <v>0.33</v>
      </c>
      <c r="D39">
        <f t="shared" si="0"/>
        <v>38</v>
      </c>
      <c r="E39">
        <f t="shared" si="1"/>
        <v>62</v>
      </c>
      <c r="F39" s="9">
        <f t="shared" si="2"/>
        <v>19.811105894026891</v>
      </c>
    </row>
    <row r="40" spans="3:6" x14ac:dyDescent="0.25">
      <c r="C40">
        <v>0.34</v>
      </c>
      <c r="D40">
        <f t="shared" si="0"/>
        <v>38</v>
      </c>
      <c r="E40">
        <f t="shared" si="1"/>
        <v>62</v>
      </c>
      <c r="F40" s="9">
        <f t="shared" si="2"/>
        <v>20.210551169348815</v>
      </c>
    </row>
    <row r="41" spans="3:6" x14ac:dyDescent="0.25">
      <c r="C41">
        <v>0.35</v>
      </c>
      <c r="D41">
        <f t="shared" si="0"/>
        <v>38</v>
      </c>
      <c r="E41">
        <f t="shared" si="1"/>
        <v>62</v>
      </c>
      <c r="F41" s="9">
        <f t="shared" si="2"/>
        <v>20.617153108415074</v>
      </c>
    </row>
    <row r="42" spans="3:6" x14ac:dyDescent="0.25">
      <c r="C42">
        <v>0.36</v>
      </c>
      <c r="D42">
        <f t="shared" si="0"/>
        <v>38</v>
      </c>
      <c r="E42">
        <f t="shared" si="1"/>
        <v>62</v>
      </c>
      <c r="F42" s="9">
        <f t="shared" si="2"/>
        <v>21.031021490187495</v>
      </c>
    </row>
    <row r="43" spans="3:6" x14ac:dyDescent="0.25">
      <c r="C43">
        <v>0.37</v>
      </c>
      <c r="D43">
        <f t="shared" si="0"/>
        <v>38</v>
      </c>
      <c r="E43">
        <f t="shared" si="1"/>
        <v>62</v>
      </c>
      <c r="F43" s="9">
        <f t="shared" si="2"/>
        <v>21.452267429435867</v>
      </c>
    </row>
    <row r="44" spans="3:6" x14ac:dyDescent="0.25">
      <c r="C44">
        <v>0.38</v>
      </c>
      <c r="D44">
        <f t="shared" si="0"/>
        <v>38</v>
      </c>
      <c r="E44">
        <f t="shared" si="1"/>
        <v>62</v>
      </c>
      <c r="F44" s="9">
        <f t="shared" si="2"/>
        <v>21.881003386945505</v>
      </c>
    </row>
    <row r="45" spans="3:6" x14ac:dyDescent="0.25">
      <c r="C45">
        <v>0.39</v>
      </c>
      <c r="D45">
        <f t="shared" si="0"/>
        <v>38</v>
      </c>
      <c r="E45">
        <f t="shared" si="1"/>
        <v>62</v>
      </c>
      <c r="F45" s="9">
        <f t="shared" si="2"/>
        <v>22.317343179697961</v>
      </c>
    </row>
    <row r="46" spans="3:6" x14ac:dyDescent="0.25">
      <c r="C46">
        <v>0.4</v>
      </c>
      <c r="D46">
        <f t="shared" si="0"/>
        <v>38</v>
      </c>
      <c r="E46">
        <f t="shared" si="1"/>
        <v>62</v>
      </c>
      <c r="F46" s="9">
        <f t="shared" si="2"/>
        <v>22.761401991030805</v>
      </c>
    </row>
    <row r="47" spans="3:6" x14ac:dyDescent="0.25">
      <c r="C47">
        <v>0.41</v>
      </c>
      <c r="D47">
        <f t="shared" si="0"/>
        <v>38</v>
      </c>
      <c r="E47">
        <f t="shared" si="1"/>
        <v>62</v>
      </c>
      <c r="F47" s="9">
        <f t="shared" si="2"/>
        <v>23.213296380766483</v>
      </c>
    </row>
    <row r="48" spans="3:6" x14ac:dyDescent="0.25">
      <c r="C48">
        <v>0.42</v>
      </c>
      <c r="D48">
        <f t="shared" si="0"/>
        <v>38</v>
      </c>
      <c r="E48">
        <f t="shared" si="1"/>
        <v>62</v>
      </c>
      <c r="F48" s="9">
        <f t="shared" si="2"/>
        <v>23.673144295313492</v>
      </c>
    </row>
    <row r="49" spans="3:6" x14ac:dyDescent="0.25">
      <c r="C49">
        <v>0.43</v>
      </c>
      <c r="D49">
        <f t="shared" si="0"/>
        <v>38</v>
      </c>
      <c r="E49">
        <f t="shared" si="1"/>
        <v>62</v>
      </c>
      <c r="F49" s="9">
        <f t="shared" si="2"/>
        <v>24.141065077736528</v>
      </c>
    </row>
    <row r="50" spans="3:6" x14ac:dyDescent="0.25">
      <c r="C50">
        <v>0.44</v>
      </c>
      <c r="D50">
        <f t="shared" si="0"/>
        <v>38</v>
      </c>
      <c r="E50">
        <f t="shared" si="1"/>
        <v>62</v>
      </c>
      <c r="F50" s="9">
        <f t="shared" si="2"/>
        <v>24.617179477791112</v>
      </c>
    </row>
    <row r="51" spans="3:6" x14ac:dyDescent="0.25">
      <c r="C51">
        <v>0.45</v>
      </c>
      <c r="D51">
        <f t="shared" si="0"/>
        <v>38</v>
      </c>
      <c r="E51">
        <f t="shared" si="1"/>
        <v>62</v>
      </c>
      <c r="F51" s="9">
        <f t="shared" si="2"/>
        <v>25.101609661923643</v>
      </c>
    </row>
    <row r="52" spans="3:6" x14ac:dyDescent="0.25">
      <c r="C52">
        <v>0.46</v>
      </c>
      <c r="D52">
        <f t="shared" si="0"/>
        <v>38</v>
      </c>
      <c r="E52">
        <f t="shared" si="1"/>
        <v>62</v>
      </c>
      <c r="F52" s="9">
        <f t="shared" si="2"/>
        <v>25.594479223232106</v>
      </c>
    </row>
    <row r="53" spans="3:6" x14ac:dyDescent="0.25">
      <c r="C53">
        <v>0.47</v>
      </c>
      <c r="D53">
        <f t="shared" si="0"/>
        <v>38</v>
      </c>
      <c r="E53">
        <f t="shared" si="1"/>
        <v>62</v>
      </c>
      <c r="F53" s="9">
        <f t="shared" si="2"/>
        <v>26.095913191388288</v>
      </c>
    </row>
    <row r="54" spans="3:6" x14ac:dyDescent="0.25">
      <c r="C54">
        <v>0.48</v>
      </c>
      <c r="D54">
        <f t="shared" si="0"/>
        <v>38</v>
      </c>
      <c r="E54">
        <f t="shared" si="1"/>
        <v>62</v>
      </c>
      <c r="F54" s="9">
        <f t="shared" si="2"/>
        <v>26.606038042514072</v>
      </c>
    </row>
    <row r="55" spans="3:6" x14ac:dyDescent="0.25">
      <c r="C55">
        <v>0.49</v>
      </c>
      <c r="D55">
        <f t="shared" si="0"/>
        <v>38</v>
      </c>
      <c r="E55">
        <f t="shared" si="1"/>
        <v>62</v>
      </c>
      <c r="F55" s="9">
        <f t="shared" si="2"/>
        <v>27.124981709015451</v>
      </c>
    </row>
    <row r="56" spans="3:6" x14ac:dyDescent="0.25">
      <c r="C56">
        <v>0.5</v>
      </c>
      <c r="D56">
        <f t="shared" si="0"/>
        <v>38</v>
      </c>
      <c r="E56">
        <f t="shared" si="1"/>
        <v>62</v>
      </c>
      <c r="F56" s="9">
        <f t="shared" si="2"/>
        <v>27.65287358936909</v>
      </c>
    </row>
    <row r="57" spans="3:6" x14ac:dyDescent="0.25">
      <c r="C57">
        <v>0.51</v>
      </c>
      <c r="D57">
        <f t="shared" si="0"/>
        <v>38</v>
      </c>
      <c r="E57">
        <f t="shared" si="1"/>
        <v>62</v>
      </c>
      <c r="F57" s="9">
        <f t="shared" si="2"/>
        <v>28.189844557855743</v>
      </c>
    </row>
    <row r="58" spans="3:6" x14ac:dyDescent="0.25">
      <c r="C58">
        <v>0.52</v>
      </c>
      <c r="D58">
        <f t="shared" si="0"/>
        <v>38</v>
      </c>
      <c r="E58">
        <f t="shared" si="1"/>
        <v>62</v>
      </c>
      <c r="F58" s="9">
        <f t="shared" si="2"/>
        <v>28.736026974246283</v>
      </c>
    </row>
    <row r="59" spans="3:6" x14ac:dyDescent="0.25">
      <c r="C59">
        <v>0.53</v>
      </c>
      <c r="D59">
        <f t="shared" si="0"/>
        <v>38</v>
      </c>
      <c r="E59">
        <f t="shared" si="1"/>
        <v>62</v>
      </c>
      <c r="F59" s="9">
        <f t="shared" si="2"/>
        <v>29.29155469342934</v>
      </c>
    </row>
    <row r="60" spans="3:6" x14ac:dyDescent="0.25">
      <c r="C60">
        <v>0.54</v>
      </c>
      <c r="D60">
        <f t="shared" si="0"/>
        <v>38</v>
      </c>
      <c r="E60">
        <f t="shared" si="1"/>
        <v>62</v>
      </c>
      <c r="F60" s="9">
        <f t="shared" si="2"/>
        <v>29.856563074984983</v>
      </c>
    </row>
    <row r="61" spans="3:6" x14ac:dyDescent="0.25">
      <c r="C61">
        <v>0.55000000000000004</v>
      </c>
      <c r="D61">
        <f t="shared" si="0"/>
        <v>38</v>
      </c>
      <c r="E61">
        <f t="shared" si="1"/>
        <v>62</v>
      </c>
      <c r="F61" s="9">
        <f t="shared" si="2"/>
        <v>30.431188992695471</v>
      </c>
    </row>
    <row r="62" spans="3:6" x14ac:dyDescent="0.25">
      <c r="C62">
        <v>0.56000000000000005</v>
      </c>
      <c r="D62">
        <f t="shared" si="0"/>
        <v>38</v>
      </c>
      <c r="E62">
        <f t="shared" si="1"/>
        <v>62</v>
      </c>
      <c r="F62" s="9">
        <f t="shared" si="2"/>
        <v>31.015570843997043</v>
      </c>
    </row>
    <row r="63" spans="3:6" x14ac:dyDescent="0.25">
      <c r="C63">
        <v>0.56999999999999995</v>
      </c>
      <c r="D63">
        <f t="shared" si="0"/>
        <v>38</v>
      </c>
      <c r="E63">
        <f t="shared" si="1"/>
        <v>62</v>
      </c>
      <c r="F63" s="9">
        <f t="shared" si="2"/>
        <v>31.609848559366952</v>
      </c>
    </row>
    <row r="64" spans="3:6" x14ac:dyDescent="0.25">
      <c r="C64">
        <v>0.57999999999999996</v>
      </c>
      <c r="D64">
        <f t="shared" si="0"/>
        <v>38</v>
      </c>
      <c r="E64">
        <f t="shared" si="1"/>
        <v>62</v>
      </c>
      <c r="F64" s="9">
        <f t="shared" si="2"/>
        <v>32.214163611641155</v>
      </c>
    </row>
    <row r="65" spans="3:6" x14ac:dyDescent="0.25">
      <c r="C65">
        <v>0.59</v>
      </c>
      <c r="D65">
        <f t="shared" si="0"/>
        <v>38</v>
      </c>
      <c r="E65">
        <f t="shared" si="1"/>
        <v>62</v>
      </c>
      <c r="F65" s="9">
        <f t="shared" si="2"/>
        <v>32.828659025265338</v>
      </c>
    </row>
    <row r="66" spans="3:6" x14ac:dyDescent="0.25">
      <c r="C66">
        <v>0.6</v>
      </c>
      <c r="D66">
        <f t="shared" si="0"/>
        <v>38</v>
      </c>
      <c r="E66">
        <f t="shared" si="1"/>
        <v>62</v>
      </c>
      <c r="F66" s="9">
        <f t="shared" si="2"/>
        <v>33.453479385471724</v>
      </c>
    </row>
    <row r="67" spans="3:6" x14ac:dyDescent="0.25">
      <c r="C67">
        <v>0.61</v>
      </c>
      <c r="D67">
        <f t="shared" si="0"/>
        <v>38</v>
      </c>
      <c r="E67">
        <f t="shared" si="1"/>
        <v>62</v>
      </c>
      <c r="F67" s="9">
        <f t="shared" si="2"/>
        <v>34.088770847383834</v>
      </c>
    </row>
    <row r="68" spans="3:6" x14ac:dyDescent="0.25">
      <c r="C68">
        <v>0.62</v>
      </c>
      <c r="D68">
        <f t="shared" si="0"/>
        <v>38</v>
      </c>
      <c r="E68">
        <f t="shared" si="1"/>
        <v>62</v>
      </c>
      <c r="F68" s="9">
        <f t="shared" si="2"/>
        <v>34.734681145039161</v>
      </c>
    </row>
    <row r="69" spans="3:6" x14ac:dyDescent="0.25">
      <c r="C69">
        <v>0.63</v>
      </c>
      <c r="D69">
        <f t="shared" si="0"/>
        <v>38</v>
      </c>
      <c r="E69">
        <f t="shared" si="1"/>
        <v>62</v>
      </c>
      <c r="F69" s="9">
        <f t="shared" si="2"/>
        <v>35.391359600337637</v>
      </c>
    </row>
    <row r="70" spans="3:6" x14ac:dyDescent="0.25">
      <c r="C70">
        <v>0.64</v>
      </c>
      <c r="D70">
        <f t="shared" si="0"/>
        <v>38</v>
      </c>
      <c r="E70">
        <f t="shared" si="1"/>
        <v>62</v>
      </c>
      <c r="F70" s="9">
        <f t="shared" si="2"/>
        <v>36.058957131903625</v>
      </c>
    </row>
    <row r="71" spans="3:6" x14ac:dyDescent="0.25">
      <c r="C71">
        <v>0.65</v>
      </c>
      <c r="D71">
        <f t="shared" si="0"/>
        <v>38</v>
      </c>
      <c r="E71">
        <f t="shared" si="1"/>
        <v>62</v>
      </c>
      <c r="F71" s="9">
        <f t="shared" si="2"/>
        <v>36.737626263862985</v>
      </c>
    </row>
    <row r="72" spans="3:6" x14ac:dyDescent="0.25">
      <c r="C72">
        <v>0.66</v>
      </c>
      <c r="D72">
        <f t="shared" ref="D72:D106" si="3">$B$4*$B$3</f>
        <v>38</v>
      </c>
      <c r="E72">
        <f t="shared" ref="E72:E106" si="4">$B$5*$B$3</f>
        <v>62</v>
      </c>
      <c r="F72" s="9">
        <f t="shared" ref="F72:F106" si="5">(1+$B$1*C72)^D72*(1-$B$2*C72)^E72*$A$6</f>
        <v>37.427521134534054</v>
      </c>
    </row>
    <row r="73" spans="3:6" x14ac:dyDescent="0.25">
      <c r="C73">
        <v>0.67</v>
      </c>
      <c r="D73">
        <f t="shared" si="3"/>
        <v>38</v>
      </c>
      <c r="E73">
        <f t="shared" si="4"/>
        <v>62</v>
      </c>
      <c r="F73" s="9">
        <f t="shared" si="5"/>
        <v>38.128797505025808</v>
      </c>
    </row>
    <row r="74" spans="3:6" x14ac:dyDescent="0.25">
      <c r="C74">
        <v>0.68</v>
      </c>
      <c r="D74">
        <f t="shared" si="3"/>
        <v>38</v>
      </c>
      <c r="E74">
        <f t="shared" si="4"/>
        <v>62</v>
      </c>
      <c r="F74" s="9">
        <f t="shared" si="5"/>
        <v>38.841612767742816</v>
      </c>
    </row>
    <row r="75" spans="3:6" x14ac:dyDescent="0.25">
      <c r="C75">
        <v>0.69</v>
      </c>
      <c r="D75">
        <f t="shared" si="3"/>
        <v>38</v>
      </c>
      <c r="E75">
        <f t="shared" si="4"/>
        <v>62</v>
      </c>
      <c r="F75" s="9">
        <f t="shared" si="5"/>
        <v>39.566125954795332</v>
      </c>
    </row>
    <row r="76" spans="3:6" x14ac:dyDescent="0.25">
      <c r="C76">
        <v>0.7</v>
      </c>
      <c r="D76">
        <f t="shared" si="3"/>
        <v>38</v>
      </c>
      <c r="E76">
        <f t="shared" si="4"/>
        <v>62</v>
      </c>
      <c r="F76" s="9">
        <f t="shared" si="5"/>
        <v>40.302497746308539</v>
      </c>
    </row>
    <row r="77" spans="3:6" x14ac:dyDescent="0.25">
      <c r="C77">
        <v>0.71</v>
      </c>
      <c r="D77">
        <f t="shared" si="3"/>
        <v>38</v>
      </c>
      <c r="E77">
        <f t="shared" si="4"/>
        <v>62</v>
      </c>
      <c r="F77" s="9">
        <f t="shared" si="5"/>
        <v>41.05089047863153</v>
      </c>
    </row>
    <row r="78" spans="3:6" x14ac:dyDescent="0.25">
      <c r="C78">
        <v>0.72</v>
      </c>
      <c r="D78">
        <f t="shared" si="3"/>
        <v>38</v>
      </c>
      <c r="E78">
        <f t="shared" si="4"/>
        <v>62</v>
      </c>
      <c r="F78" s="9">
        <f t="shared" si="5"/>
        <v>41.811468152439339</v>
      </c>
    </row>
    <row r="79" spans="3:6" x14ac:dyDescent="0.25">
      <c r="C79">
        <v>0.73</v>
      </c>
      <c r="D79">
        <f t="shared" si="3"/>
        <v>38</v>
      </c>
      <c r="E79">
        <f t="shared" si="4"/>
        <v>62</v>
      </c>
      <c r="F79" s="9">
        <f t="shared" si="5"/>
        <v>42.584396440730139</v>
      </c>
    </row>
    <row r="80" spans="3:6" x14ac:dyDescent="0.25">
      <c r="C80">
        <v>0.74</v>
      </c>
      <c r="D80">
        <f t="shared" si="3"/>
        <v>38</v>
      </c>
      <c r="E80">
        <f t="shared" si="4"/>
        <v>62</v>
      </c>
      <c r="F80" s="9">
        <f t="shared" si="5"/>
        <v>43.369842696709561</v>
      </c>
    </row>
    <row r="81" spans="3:6" x14ac:dyDescent="0.25">
      <c r="C81">
        <v>0.75</v>
      </c>
      <c r="D81">
        <f t="shared" si="3"/>
        <v>38</v>
      </c>
      <c r="E81">
        <f t="shared" si="4"/>
        <v>62</v>
      </c>
      <c r="F81" s="9">
        <f t="shared" si="5"/>
        <v>44.167975961562369</v>
      </c>
    </row>
    <row r="82" spans="3:6" x14ac:dyDescent="0.25">
      <c r="C82">
        <v>0.76</v>
      </c>
      <c r="D82">
        <f t="shared" si="3"/>
        <v>38</v>
      </c>
      <c r="E82">
        <f t="shared" si="4"/>
        <v>62</v>
      </c>
      <c r="F82" s="9">
        <f t="shared" si="5"/>
        <v>44.978966972110356</v>
      </c>
    </row>
    <row r="83" spans="3:6" x14ac:dyDescent="0.25">
      <c r="C83">
        <v>0.77</v>
      </c>
      <c r="D83">
        <f t="shared" si="3"/>
        <v>38</v>
      </c>
      <c r="E83">
        <f t="shared" si="4"/>
        <v>62</v>
      </c>
      <c r="F83" s="9">
        <f t="shared" si="5"/>
        <v>45.802988168345024</v>
      </c>
    </row>
    <row r="84" spans="3:6" x14ac:dyDescent="0.25">
      <c r="C84">
        <v>0.78</v>
      </c>
      <c r="D84">
        <f t="shared" si="3"/>
        <v>38</v>
      </c>
      <c r="E84">
        <f t="shared" si="4"/>
        <v>62</v>
      </c>
      <c r="F84" s="9">
        <f t="shared" si="5"/>
        <v>46.640213700846019</v>
      </c>
    </row>
    <row r="85" spans="3:6" x14ac:dyDescent="0.25">
      <c r="C85">
        <v>0.79</v>
      </c>
      <c r="D85">
        <f t="shared" si="3"/>
        <v>38</v>
      </c>
      <c r="E85">
        <f t="shared" si="4"/>
        <v>62</v>
      </c>
      <c r="F85" s="9">
        <f t="shared" si="5"/>
        <v>47.490819438067511</v>
      </c>
    </row>
    <row r="86" spans="3:6" x14ac:dyDescent="0.25">
      <c r="C86">
        <v>0.8</v>
      </c>
      <c r="D86">
        <f t="shared" si="3"/>
        <v>38</v>
      </c>
      <c r="E86">
        <f t="shared" si="4"/>
        <v>62</v>
      </c>
      <c r="F86" s="9">
        <f t="shared" si="5"/>
        <v>48.35498297350162</v>
      </c>
    </row>
    <row r="87" spans="3:6" x14ac:dyDescent="0.25">
      <c r="C87">
        <v>0.81</v>
      </c>
      <c r="D87">
        <f t="shared" si="3"/>
        <v>38</v>
      </c>
      <c r="E87">
        <f t="shared" si="4"/>
        <v>62</v>
      </c>
      <c r="F87" s="9">
        <f t="shared" si="5"/>
        <v>49.232883632706205</v>
      </c>
    </row>
    <row r="88" spans="3:6" x14ac:dyDescent="0.25">
      <c r="C88">
        <v>0.82</v>
      </c>
      <c r="D88">
        <f t="shared" si="3"/>
        <v>38</v>
      </c>
      <c r="E88">
        <f t="shared" si="4"/>
        <v>62</v>
      </c>
      <c r="F88" s="9">
        <f t="shared" si="5"/>
        <v>50.124702480202046</v>
      </c>
    </row>
    <row r="89" spans="3:6" x14ac:dyDescent="0.25">
      <c r="C89">
        <v>0.83</v>
      </c>
      <c r="D89">
        <f t="shared" si="3"/>
        <v>38</v>
      </c>
      <c r="E89">
        <f t="shared" si="4"/>
        <v>62</v>
      </c>
      <c r="F89" s="9">
        <f t="shared" si="5"/>
        <v>51.030622326233257</v>
      </c>
    </row>
    <row r="90" spans="3:6" x14ac:dyDescent="0.25">
      <c r="C90">
        <v>0.84</v>
      </c>
      <c r="D90">
        <f t="shared" si="3"/>
        <v>38</v>
      </c>
      <c r="E90">
        <f t="shared" si="4"/>
        <v>62</v>
      </c>
      <c r="F90" s="9">
        <f t="shared" si="5"/>
        <v>51.950827733383008</v>
      </c>
    </row>
    <row r="91" spans="3:6" x14ac:dyDescent="0.25">
      <c r="C91">
        <v>0.85</v>
      </c>
      <c r="D91">
        <f t="shared" si="3"/>
        <v>38</v>
      </c>
      <c r="E91">
        <f t="shared" si="4"/>
        <v>62</v>
      </c>
      <c r="F91" s="9">
        <f t="shared" si="5"/>
        <v>52.885505023053099</v>
      </c>
    </row>
    <row r="92" spans="3:6" x14ac:dyDescent="0.25">
      <c r="C92">
        <v>0.86</v>
      </c>
      <c r="D92">
        <f t="shared" si="3"/>
        <v>38</v>
      </c>
      <c r="E92">
        <f t="shared" si="4"/>
        <v>62</v>
      </c>
      <c r="F92" s="9">
        <f t="shared" si="5"/>
        <v>53.834842281788269</v>
      </c>
    </row>
    <row r="93" spans="3:6" x14ac:dyDescent="0.25">
      <c r="C93">
        <v>0.87</v>
      </c>
      <c r="D93">
        <f t="shared" si="3"/>
        <v>38</v>
      </c>
      <c r="E93">
        <f t="shared" si="4"/>
        <v>62</v>
      </c>
      <c r="F93" s="9">
        <f t="shared" si="5"/>
        <v>54.799029367461749</v>
      </c>
    </row>
    <row r="94" spans="3:6" x14ac:dyDescent="0.25">
      <c r="C94">
        <v>0.88</v>
      </c>
      <c r="D94">
        <f t="shared" si="3"/>
        <v>38</v>
      </c>
      <c r="E94">
        <f t="shared" si="4"/>
        <v>62</v>
      </c>
      <c r="F94" s="9">
        <f t="shared" si="5"/>
        <v>55.778257915298994</v>
      </c>
    </row>
    <row r="95" spans="3:6" x14ac:dyDescent="0.25">
      <c r="C95">
        <v>0.89</v>
      </c>
      <c r="D95">
        <f t="shared" si="3"/>
        <v>38</v>
      </c>
      <c r="E95">
        <f t="shared" si="4"/>
        <v>62</v>
      </c>
      <c r="F95" s="9">
        <f t="shared" si="5"/>
        <v>56.772721343749915</v>
      </c>
    </row>
    <row r="96" spans="3:6" x14ac:dyDescent="0.25">
      <c r="C96">
        <v>0.9</v>
      </c>
      <c r="D96">
        <f t="shared" si="3"/>
        <v>38</v>
      </c>
      <c r="E96">
        <f t="shared" si="4"/>
        <v>62</v>
      </c>
      <c r="F96" s="9">
        <f t="shared" si="5"/>
        <v>57.782614860205925</v>
      </c>
    </row>
    <row r="97" spans="3:6" x14ac:dyDescent="0.25">
      <c r="C97">
        <v>0.91</v>
      </c>
      <c r="D97">
        <f t="shared" si="3"/>
        <v>38</v>
      </c>
      <c r="E97">
        <f t="shared" si="4"/>
        <v>62</v>
      </c>
      <c r="F97" s="9">
        <f t="shared" si="5"/>
        <v>58.808135466545899</v>
      </c>
    </row>
    <row r="98" spans="3:6" x14ac:dyDescent="0.25">
      <c r="C98">
        <v>0.92</v>
      </c>
      <c r="D98">
        <f t="shared" si="3"/>
        <v>38</v>
      </c>
      <c r="E98">
        <f t="shared" si="4"/>
        <v>62</v>
      </c>
      <c r="F98" s="9">
        <f t="shared" si="5"/>
        <v>59.849481964527953</v>
      </c>
    </row>
    <row r="99" spans="3:6" x14ac:dyDescent="0.25">
      <c r="C99">
        <v>0.93</v>
      </c>
      <c r="D99">
        <f t="shared" si="3"/>
        <v>38</v>
      </c>
      <c r="E99">
        <f t="shared" si="4"/>
        <v>62</v>
      </c>
      <c r="F99" s="9">
        <f t="shared" si="5"/>
        <v>60.906854961004427</v>
      </c>
    </row>
    <row r="100" spans="3:6" x14ac:dyDescent="0.25">
      <c r="C100">
        <v>0.94</v>
      </c>
      <c r="D100">
        <f t="shared" si="3"/>
        <v>38</v>
      </c>
      <c r="E100">
        <f t="shared" si="4"/>
        <v>62</v>
      </c>
      <c r="F100" s="9">
        <f t="shared" si="5"/>
        <v>61.980456872970954</v>
      </c>
    </row>
    <row r="101" spans="3:6" x14ac:dyDescent="0.25">
      <c r="C101">
        <v>0.95</v>
      </c>
      <c r="D101">
        <f t="shared" si="3"/>
        <v>38</v>
      </c>
      <c r="E101">
        <f t="shared" si="4"/>
        <v>62</v>
      </c>
      <c r="F101" s="9">
        <f t="shared" si="5"/>
        <v>63.070491932438856</v>
      </c>
    </row>
    <row r="102" spans="3:6" x14ac:dyDescent="0.25">
      <c r="C102">
        <v>0.96</v>
      </c>
      <c r="D102">
        <f t="shared" si="3"/>
        <v>38</v>
      </c>
      <c r="E102">
        <f t="shared" si="4"/>
        <v>62</v>
      </c>
      <c r="F102" s="9">
        <f t="shared" si="5"/>
        <v>64.177166191129288</v>
      </c>
    </row>
    <row r="103" spans="3:6" x14ac:dyDescent="0.25">
      <c r="C103">
        <v>0.97</v>
      </c>
      <c r="D103">
        <f t="shared" si="3"/>
        <v>38</v>
      </c>
      <c r="E103">
        <f t="shared" si="4"/>
        <v>62</v>
      </c>
      <c r="F103" s="9">
        <f t="shared" si="5"/>
        <v>65.300687524991631</v>
      </c>
    </row>
    <row r="104" spans="3:6" x14ac:dyDescent="0.25">
      <c r="C104">
        <v>0.98</v>
      </c>
      <c r="D104">
        <f t="shared" si="3"/>
        <v>38</v>
      </c>
      <c r="E104">
        <f t="shared" si="4"/>
        <v>62</v>
      </c>
      <c r="F104" s="9">
        <f t="shared" si="5"/>
        <v>66.441265638527256</v>
      </c>
    </row>
    <row r="105" spans="3:6" x14ac:dyDescent="0.25">
      <c r="C105">
        <v>0.99</v>
      </c>
      <c r="D105">
        <f t="shared" si="3"/>
        <v>38</v>
      </c>
      <c r="E105">
        <f t="shared" si="4"/>
        <v>62</v>
      </c>
      <c r="F105" s="9">
        <f t="shared" si="5"/>
        <v>67.5991120689403</v>
      </c>
    </row>
    <row r="106" spans="3:6" x14ac:dyDescent="0.25">
      <c r="C106">
        <v>1</v>
      </c>
      <c r="D106">
        <f t="shared" si="3"/>
        <v>38</v>
      </c>
      <c r="E106">
        <f t="shared" si="4"/>
        <v>62</v>
      </c>
      <c r="F106" s="9">
        <f t="shared" si="5"/>
        <v>68.774440190083695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Working</vt:lpstr>
      <vt:lpstr>Kelly</vt:lpstr>
      <vt:lpstr>Kelly_SMA</vt:lpstr>
      <vt:lpstr>Sheet3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Nitin Aggarwal</dc:creator>
  <cp:keywords/>
  <dc:description/>
  <cp:lastModifiedBy>Nicholas Burgess</cp:lastModifiedBy>
  <cp:revision/>
  <dcterms:created xsi:type="dcterms:W3CDTF">2018-02-04T14:26:48Z</dcterms:created>
  <dcterms:modified xsi:type="dcterms:W3CDTF">2023-08-11T11:29:04Z</dcterms:modified>
  <cp:category/>
  <cp:contentStatus/>
</cp:coreProperties>
</file>