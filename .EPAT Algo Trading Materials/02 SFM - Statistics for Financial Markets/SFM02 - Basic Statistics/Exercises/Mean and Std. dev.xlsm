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6675" windowHeight="12135" activeTab="1"/>
  </bookViews>
  <sheets>
    <sheet name="Mean_Std dev" sheetId="1" r:id="rId1"/>
    <sheet name="Normal Distribution" sheetId="3" r:id="rId2"/>
    <sheet name="Sheet1" sheetId="4" r:id="rId3"/>
    <sheet name="Mean_Std dev (2)" sheetId="5" r:id="rId4"/>
  </sheets>
  <calcPr calcId="144525"/>
</workbook>
</file>

<file path=xl/calcChain.xml><?xml version="1.0" encoding="utf-8"?>
<calcChain xmlns="http://schemas.openxmlformats.org/spreadsheetml/2006/main">
  <c r="C15" i="1" l="1"/>
  <c r="A25" i="5" l="1"/>
  <c r="A23" i="1" l="1"/>
  <c r="E20" i="3" l="1" a="1"/>
  <c r="E20" i="3" s="1"/>
  <c r="E26" i="3" l="1"/>
  <c r="E22" i="3"/>
  <c r="E27" i="3"/>
  <c r="E23" i="3"/>
  <c r="E25" i="3"/>
  <c r="E21" i="3"/>
  <c r="E28" i="3"/>
  <c r="E24" i="3"/>
  <c r="C9" i="1"/>
  <c r="A23" i="5" l="1"/>
  <c r="D15" i="5"/>
  <c r="F15" i="5" s="1"/>
  <c r="C15" i="5"/>
  <c r="G7" i="5" s="1"/>
  <c r="B15" i="5"/>
  <c r="D14" i="5"/>
  <c r="F14" i="5" s="1"/>
  <c r="B14" i="5"/>
  <c r="C9" i="5"/>
  <c r="B9" i="5"/>
  <c r="C8" i="5"/>
  <c r="B8" i="5"/>
  <c r="G6" i="5"/>
  <c r="B19" i="5" l="1"/>
  <c r="G4" i="5"/>
  <c r="G5" i="5"/>
  <c r="B20" i="5"/>
  <c r="B25" i="5"/>
  <c r="B18" i="5"/>
  <c r="G3" i="5"/>
  <c r="D21" i="3"/>
  <c r="D22" i="3" s="1"/>
  <c r="G8" i="5" l="1"/>
  <c r="G9" i="5"/>
  <c r="D23" i="3"/>
  <c r="D24" i="3" s="1"/>
  <c r="D25" i="3" s="1"/>
  <c r="D26" i="3" s="1"/>
  <c r="D27" i="3" s="1"/>
  <c r="D28" i="3" s="1"/>
  <c r="B54" i="3" l="1"/>
  <c r="B55" i="3" l="1"/>
  <c r="B4" i="3" s="1"/>
  <c r="B3" i="3"/>
  <c r="A21" i="3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B14" i="1" l="1"/>
  <c r="C8" i="1" l="1"/>
  <c r="B8" i="1"/>
  <c r="B9" i="1"/>
  <c r="B25" i="1" l="1"/>
  <c r="A25" i="1"/>
  <c r="G4" i="1" l="1"/>
  <c r="G7" i="1"/>
  <c r="G3" i="1"/>
  <c r="G5" i="1"/>
  <c r="G6" i="1"/>
  <c r="D15" i="1"/>
  <c r="F15" i="1" s="1"/>
  <c r="D14" i="1"/>
  <c r="F14" i="1" s="1"/>
  <c r="B19" i="1" s="1"/>
  <c r="B15" i="1"/>
  <c r="B18" i="1" s="1"/>
  <c r="G8" i="1" l="1"/>
  <c r="G9" i="1"/>
  <c r="B20" i="1"/>
</calcChain>
</file>

<file path=xl/sharedStrings.xml><?xml version="1.0" encoding="utf-8"?>
<sst xmlns="http://schemas.openxmlformats.org/spreadsheetml/2006/main" count="76" uniqueCount="45">
  <si>
    <t>Stock</t>
  </si>
  <si>
    <t>Microsoft</t>
  </si>
  <si>
    <t>Google</t>
  </si>
  <si>
    <t>Fraction of wealth invested</t>
  </si>
  <si>
    <t>Returns of portfolio</t>
  </si>
  <si>
    <t>Std dev of returns</t>
  </si>
  <si>
    <t>Year 1</t>
  </si>
  <si>
    <t>Year 2</t>
  </si>
  <si>
    <t>Year 3</t>
  </si>
  <si>
    <t>Year 4</t>
  </si>
  <si>
    <t>Year 5</t>
  </si>
  <si>
    <t>Covariance</t>
  </si>
  <si>
    <t>Correlation</t>
  </si>
  <si>
    <t>MICROSOFT</t>
  </si>
  <si>
    <t>Assuming that the returns of Microsoft are normally distributed:</t>
  </si>
  <si>
    <t xml:space="preserve">This means: There is a 68.2% probability that the returns will lie between -1 std and +1 std dev </t>
  </si>
  <si>
    <t>Variance of portfolio</t>
  </si>
  <si>
    <t>Std dev of portfolio</t>
  </si>
  <si>
    <t>Variance</t>
  </si>
  <si>
    <t>Cov/std X /std Y</t>
  </si>
  <si>
    <t>Std. Dev.</t>
  </si>
  <si>
    <t>PORTFOLIO</t>
  </si>
  <si>
    <t>Mean</t>
  </si>
  <si>
    <t>Normal Distribution</t>
  </si>
  <si>
    <t>=F14*C14^2+F15*C15^2+2*C14*C15*A25*D14*D15</t>
  </si>
  <si>
    <t>Exp. Returns</t>
  </si>
  <si>
    <t>Std Dev</t>
  </si>
  <si>
    <t>If Microsoft is trading at $100 at the start of the year, then at the end of year 1:</t>
  </si>
  <si>
    <t>RETURNS</t>
  </si>
  <si>
    <t>Year</t>
  </si>
  <si>
    <t>Return</t>
  </si>
  <si>
    <t>Range</t>
  </si>
  <si>
    <t>Frequency</t>
  </si>
  <si>
    <t>Therefore, there is a 68.2% prob that the returns will lie between 11%-6% and 11%+6% (5% and 17%)</t>
  </si>
  <si>
    <t>Therefore, there is a 95% prob that the returns will lie between 11%-2*6% and 11%+2*6% (-1% and 23%)</t>
  </si>
  <si>
    <t>It is expected that there is a 68.2% chance that Microsoft will be trading between: $105 and $117</t>
  </si>
  <si>
    <t>It is expected that there is a 95% chance that Microsoft will be trading between: $99 and $123</t>
  </si>
  <si>
    <t>=B14*C14+B15*C15</t>
  </si>
  <si>
    <t>Yearly Returns of portfolio</t>
  </si>
  <si>
    <t>Average Returns</t>
  </si>
  <si>
    <t>=[F14*C14^2+F15*C15^2]+2*C14*C15*A25*D14*D15</t>
  </si>
  <si>
    <t>The returns will lie between mu - 1*sigma and mu +1*sigma for 68%</t>
  </si>
  <si>
    <t>The returns will lie between mu - 2*sigma and mu +2*sigma for 95%</t>
  </si>
  <si>
    <t>Yearly Std dev. or sigma</t>
  </si>
  <si>
    <t>Mean Returns, 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</si>
</sst>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0.000%"/>
    <numFmt numFmtId="166" formatCode="0.0000"/>
    <numFmt numFmtId="167" formatCode="0.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9" fontId="0" fillId="0" borderId="0" xfId="0" applyNumberFormat="1"/>
    <xf numFmtId="0" fontId="2" fillId="0" borderId="0" xfId="0" applyFont="1"/>
    <xf numFmtId="164" fontId="0" fillId="0" borderId="0" xfId="1" applyNumberFormat="1" applyFont="1"/>
    <xf numFmtId="0" fontId="2" fillId="0" borderId="0" xfId="0" applyFont="1" applyAlignment="1">
      <alignment horizontal="center"/>
    </xf>
    <xf numFmtId="164" fontId="0" fillId="0" borderId="0" xfId="0" applyNumberFormat="1"/>
    <xf numFmtId="164" fontId="2" fillId="0" borderId="0" xfId="1" applyNumberFormat="1" applyFont="1"/>
    <xf numFmtId="0" fontId="2" fillId="2" borderId="0" xfId="0" applyFont="1" applyFill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165" fontId="0" fillId="0" borderId="0" xfId="1" applyNumberFormat="1" applyFont="1"/>
    <xf numFmtId="10" fontId="2" fillId="2" borderId="0" xfId="1" applyNumberFormat="1" applyFont="1" applyFill="1"/>
    <xf numFmtId="0" fontId="2" fillId="0" borderId="1" xfId="0" applyFont="1" applyBorder="1"/>
    <xf numFmtId="9" fontId="0" fillId="0" borderId="1" xfId="0" applyNumberFormat="1" applyBorder="1"/>
    <xf numFmtId="164" fontId="2" fillId="0" borderId="0" xfId="0" applyNumberFormat="1" applyFont="1"/>
    <xf numFmtId="166" fontId="0" fillId="0" borderId="0" xfId="0" applyNumberFormat="1" applyFont="1"/>
    <xf numFmtId="0" fontId="2" fillId="0" borderId="0" xfId="0" applyFont="1" applyBorder="1"/>
    <xf numFmtId="9" fontId="2" fillId="0" borderId="0" xfId="0" applyNumberFormat="1" applyFont="1" applyBorder="1"/>
    <xf numFmtId="0" fontId="2" fillId="4" borderId="0" xfId="0" applyFont="1" applyFill="1"/>
    <xf numFmtId="0" fontId="0" fillId="4" borderId="0" xfId="0" applyFill="1"/>
    <xf numFmtId="9" fontId="0" fillId="4" borderId="0" xfId="0" applyNumberFormat="1" applyFill="1"/>
    <xf numFmtId="164" fontId="0" fillId="4" borderId="0" xfId="1" applyNumberFormat="1" applyFont="1" applyFill="1"/>
    <xf numFmtId="165" fontId="0" fillId="4" borderId="0" xfId="1" applyNumberFormat="1" applyFont="1" applyFill="1"/>
    <xf numFmtId="165" fontId="0" fillId="0" borderId="0" xfId="1" applyNumberFormat="1" applyFont="1" applyFill="1"/>
    <xf numFmtId="167" fontId="0" fillId="0" borderId="0" xfId="0" quotePrefix="1" applyNumberFormat="1"/>
    <xf numFmtId="9" fontId="0" fillId="0" borderId="0" xfId="1" applyFont="1"/>
    <xf numFmtId="10" fontId="2" fillId="0" borderId="0" xfId="0" applyNumberFormat="1" applyFont="1"/>
    <xf numFmtId="9" fontId="0" fillId="0" borderId="1" xfId="1" applyFont="1" applyBorder="1"/>
    <xf numFmtId="0" fontId="2" fillId="0" borderId="0" xfId="0" applyFont="1" applyFill="1" applyBorder="1"/>
    <xf numFmtId="0" fontId="0" fillId="0" borderId="0" xfId="0" applyFill="1" applyBorder="1"/>
    <xf numFmtId="9" fontId="0" fillId="0" borderId="0" xfId="1" applyNumberFormat="1" applyFont="1" applyFill="1" applyBorder="1"/>
    <xf numFmtId="164" fontId="2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0" xfId="0" applyNumberFormat="1"/>
    <xf numFmtId="9" fontId="2" fillId="0" borderId="0" xfId="1" applyNumberFormat="1" applyFont="1"/>
    <xf numFmtId="0" fontId="0" fillId="0" borderId="0" xfId="0" quotePrefix="1"/>
    <xf numFmtId="9" fontId="2" fillId="0" borderId="0" xfId="1" applyFont="1"/>
    <xf numFmtId="9" fontId="2" fillId="0" borderId="0" xfId="0" applyNumberFormat="1" applyFont="1"/>
    <xf numFmtId="0" fontId="2" fillId="0" borderId="0" xfId="0" applyFont="1" applyAlignment="1">
      <alignment horizontal="center"/>
    </xf>
    <xf numFmtId="9" fontId="2" fillId="2" borderId="0" xfId="1" applyNumberFormat="1" applyFont="1" applyFill="1"/>
    <xf numFmtId="165" fontId="2" fillId="0" borderId="0" xfId="0" applyNumberFormat="1" applyFont="1"/>
    <xf numFmtId="164" fontId="0" fillId="0" borderId="1" xfId="1" applyNumberFormat="1" applyFont="1" applyBorder="1"/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'Normal Distribution'!$D$20:$D$28</c:f>
              <c:numCache>
                <c:formatCode>0.00%</c:formatCode>
                <c:ptCount val="9"/>
                <c:pt idx="0" formatCode="0%">
                  <c:v>-0.1</c:v>
                </c:pt>
                <c:pt idx="1">
                  <c:v>-0.05</c:v>
                </c:pt>
                <c:pt idx="2">
                  <c:v>0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</c:numCache>
            </c:numRef>
          </c:xVal>
          <c:yVal>
            <c:numRef>
              <c:f>'Normal Distribution'!$E$20:$E$28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10</c:v>
                </c:pt>
                <c:pt idx="5">
                  <c:v>11</c:v>
                </c:pt>
                <c:pt idx="6">
                  <c:v>7</c:v>
                </c:pt>
                <c:pt idx="7">
                  <c:v>2</c:v>
                </c:pt>
                <c:pt idx="8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01504"/>
        <c:axId val="42903040"/>
      </c:scatterChart>
      <c:valAx>
        <c:axId val="4290150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42903040"/>
        <c:crosses val="autoZero"/>
        <c:crossBetween val="midCat"/>
      </c:valAx>
      <c:valAx>
        <c:axId val="4290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01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400050</xdr:colOff>
      <xdr:row>34</xdr:row>
      <xdr:rowOff>50800</xdr:rowOff>
    </xdr:from>
    <xdr:to>
      <xdr:col>10</xdr:col>
      <xdr:colOff>95250</xdr:colOff>
      <xdr:row>48</xdr:row>
      <xdr:rowOff>127000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6"/>
  <sheetViews>
    <sheetView zoomScale="180" zoomScaleNormal="180" workbookViewId="0">
      <selection activeCell="B3" sqref="B3:B8"/>
    </sheetView>
  </sheetViews>
  <sheetFormatPr defaultRowHeight="15" x14ac:dyDescent="0.25"/>
  <cols>
    <col min="1" max="1" width="18.7109375" bestFit="1" customWidth="1"/>
    <col min="2" max="2" width="11.5703125" customWidth="1"/>
    <col min="3" max="3" width="25.7109375" customWidth="1"/>
    <col min="4" max="4" width="9.140625" customWidth="1"/>
    <col min="5" max="5" width="15.42578125" customWidth="1"/>
    <col min="6" max="6" width="9.140625" customWidth="1"/>
    <col min="7" max="7" width="23" customWidth="1"/>
    <col min="8" max="10" width="9.140625" customWidth="1"/>
  </cols>
  <sheetData>
    <row r="1" spans="1:9" x14ac:dyDescent="0.25">
      <c r="B1" s="43" t="s">
        <v>28</v>
      </c>
      <c r="C1" s="43"/>
    </row>
    <row r="2" spans="1:9" x14ac:dyDescent="0.25">
      <c r="B2" s="2" t="s">
        <v>1</v>
      </c>
      <c r="C2" s="4" t="s">
        <v>2</v>
      </c>
      <c r="D2" s="2"/>
      <c r="E2" s="29"/>
      <c r="F2" s="30"/>
      <c r="G2" s="2" t="s">
        <v>38</v>
      </c>
    </row>
    <row r="3" spans="1:9" x14ac:dyDescent="0.25">
      <c r="A3" s="2" t="s">
        <v>6</v>
      </c>
      <c r="B3" s="1">
        <v>0.11</v>
      </c>
      <c r="C3" s="1">
        <v>0.12</v>
      </c>
      <c r="D3" s="1"/>
      <c r="E3" s="31"/>
      <c r="F3" s="30"/>
      <c r="G3" s="3">
        <f>B3*$C$14+C3*$C$15</f>
        <v>0.113</v>
      </c>
    </row>
    <row r="4" spans="1:9" x14ac:dyDescent="0.25">
      <c r="A4" s="2" t="s">
        <v>7</v>
      </c>
      <c r="B4" s="1">
        <v>0.03</v>
      </c>
      <c r="C4" s="1">
        <v>-0.04</v>
      </c>
      <c r="D4" s="1"/>
      <c r="E4" s="31"/>
      <c r="F4" s="30"/>
      <c r="G4" s="3">
        <f>B4*$C$14+C4*$C$15</f>
        <v>8.9999999999999959E-3</v>
      </c>
      <c r="I4" s="2"/>
    </row>
    <row r="5" spans="1:9" x14ac:dyDescent="0.25">
      <c r="A5" s="2" t="s">
        <v>8</v>
      </c>
      <c r="B5" s="1">
        <v>0.15</v>
      </c>
      <c r="C5" s="1">
        <v>0.21</v>
      </c>
      <c r="D5" s="1"/>
      <c r="E5" s="31"/>
      <c r="F5" s="29"/>
      <c r="G5" s="3">
        <f>B5*$C$14+C5*$C$15</f>
        <v>0.16799999999999998</v>
      </c>
    </row>
    <row r="6" spans="1:9" x14ac:dyDescent="0.25">
      <c r="A6" s="2" t="s">
        <v>9</v>
      </c>
      <c r="B6" s="1">
        <v>0.183</v>
      </c>
      <c r="C6" s="1">
        <v>0.13</v>
      </c>
      <c r="D6" s="1"/>
      <c r="E6" s="31"/>
      <c r="F6" s="30"/>
      <c r="G6" s="3">
        <f>B6*$C$14+C6*$C$15</f>
        <v>0.1671</v>
      </c>
    </row>
    <row r="7" spans="1:9" x14ac:dyDescent="0.25">
      <c r="A7" s="13" t="s">
        <v>10</v>
      </c>
      <c r="B7" s="14">
        <v>0.08</v>
      </c>
      <c r="C7" s="14">
        <v>0.25</v>
      </c>
      <c r="D7" s="1"/>
      <c r="E7" s="31"/>
      <c r="F7" s="30"/>
      <c r="G7" s="42">
        <f>B7*$C$14+C7*$C$15</f>
        <v>0.13100000000000001</v>
      </c>
    </row>
    <row r="8" spans="1:9" x14ac:dyDescent="0.25">
      <c r="A8" s="17" t="s">
        <v>22</v>
      </c>
      <c r="B8" s="18">
        <f>AVERAGE(B3:B7)</f>
        <v>0.1106</v>
      </c>
      <c r="C8" s="18">
        <f>AVERAGE(C3:C7)</f>
        <v>0.13399999999999998</v>
      </c>
      <c r="D8" s="18"/>
      <c r="E8" s="32"/>
      <c r="F8" s="30"/>
      <c r="G8" s="18">
        <f>AVERAGE(G3:G7)</f>
        <v>0.11761999999999999</v>
      </c>
    </row>
    <row r="9" spans="1:9" x14ac:dyDescent="0.25">
      <c r="A9" s="2" t="s">
        <v>20</v>
      </c>
      <c r="B9" s="15">
        <f>_xlfn.STDEV.S(B3:B7)</f>
        <v>5.9638913470988028E-2</v>
      </c>
      <c r="C9" s="15">
        <f>_xlfn.STDEV.S(C3:C7)</f>
        <v>0.1114899098573499</v>
      </c>
      <c r="D9" s="15"/>
      <c r="E9" s="33"/>
      <c r="F9" s="30"/>
      <c r="G9" s="41">
        <f>_xlfn.STDEV.S(G3:G7)</f>
        <v>6.5163425324333613E-2</v>
      </c>
      <c r="H9" s="2" t="s">
        <v>26</v>
      </c>
    </row>
    <row r="10" spans="1:9" x14ac:dyDescent="0.25">
      <c r="A10" s="2"/>
      <c r="B10" s="1"/>
      <c r="C10" s="1"/>
      <c r="E10" s="30"/>
      <c r="F10" s="30"/>
    </row>
    <row r="11" spans="1:9" ht="15" customHeight="1" x14ac:dyDescent="0.25"/>
    <row r="12" spans="1:9" ht="15" customHeight="1" x14ac:dyDescent="0.25">
      <c r="A12" s="19" t="s">
        <v>21</v>
      </c>
      <c r="B12" s="20"/>
      <c r="C12" s="20"/>
      <c r="D12" s="20"/>
      <c r="E12" s="20"/>
      <c r="F12" s="20"/>
    </row>
    <row r="13" spans="1:9" ht="15" customHeight="1" x14ac:dyDescent="0.25">
      <c r="A13" s="19" t="s">
        <v>0</v>
      </c>
      <c r="B13" s="19" t="s">
        <v>25</v>
      </c>
      <c r="C13" s="19" t="s">
        <v>3</v>
      </c>
      <c r="D13" s="19" t="s">
        <v>5</v>
      </c>
      <c r="E13" s="20"/>
      <c r="F13" s="19" t="s">
        <v>18</v>
      </c>
      <c r="G13" s="2"/>
    </row>
    <row r="14" spans="1:9" ht="15" customHeight="1" x14ac:dyDescent="0.25">
      <c r="A14" s="20" t="s">
        <v>1</v>
      </c>
      <c r="B14" s="21">
        <f>AVERAGE(B3:B7)</f>
        <v>0.1106</v>
      </c>
      <c r="C14" s="20">
        <v>0.7</v>
      </c>
      <c r="D14" s="22">
        <f>_xlfn.STDEV.S(B3:B7)</f>
        <v>5.9638913470988028E-2</v>
      </c>
      <c r="E14" s="19"/>
      <c r="F14" s="20">
        <f>D14^2</f>
        <v>3.5567999999999971E-3</v>
      </c>
    </row>
    <row r="15" spans="1:9" ht="15" customHeight="1" x14ac:dyDescent="0.25">
      <c r="A15" s="20" t="s">
        <v>2</v>
      </c>
      <c r="B15" s="21">
        <f>AVERAGE(C3:C7)</f>
        <v>0.13399999999999998</v>
      </c>
      <c r="C15" s="20">
        <f>1-C14</f>
        <v>0.30000000000000004</v>
      </c>
      <c r="D15" s="22">
        <f>_xlfn.STDEV.S(C3:C7)</f>
        <v>0.1114899098573499</v>
      </c>
      <c r="E15" s="20"/>
      <c r="F15" s="20">
        <f>D15^2</f>
        <v>1.2430000000000005E-2</v>
      </c>
    </row>
    <row r="16" spans="1:9" ht="15" customHeight="1" x14ac:dyDescent="0.25"/>
    <row r="17" spans="1:7" ht="15" customHeight="1" x14ac:dyDescent="0.25"/>
    <row r="18" spans="1:7" ht="15" customHeight="1" x14ac:dyDescent="0.25">
      <c r="A18" s="7" t="s">
        <v>4</v>
      </c>
      <c r="B18" s="40">
        <f>B14*C14+B15*C15</f>
        <v>0.11762</v>
      </c>
      <c r="C18" s="36" t="s">
        <v>37</v>
      </c>
    </row>
    <row r="19" spans="1:7" ht="15" customHeight="1" x14ac:dyDescent="0.25">
      <c r="A19" t="s">
        <v>16</v>
      </c>
      <c r="B19" s="11">
        <f>F14*C14^2+F15*C15^2+2*C14*C15*A25*D14*D15</f>
        <v>4.2462719999999997E-3</v>
      </c>
      <c r="C19" s="25" t="s">
        <v>40</v>
      </c>
      <c r="G19" s="6"/>
    </row>
    <row r="20" spans="1:7" ht="15" customHeight="1" x14ac:dyDescent="0.25">
      <c r="A20" t="s">
        <v>17</v>
      </c>
      <c r="B20" s="23">
        <f>SQRT(B19)</f>
        <v>6.5163425324333585E-2</v>
      </c>
    </row>
    <row r="21" spans="1:7" ht="15" customHeight="1" x14ac:dyDescent="0.25">
      <c r="B21" s="24"/>
    </row>
    <row r="22" spans="1:7" ht="15" customHeight="1" x14ac:dyDescent="0.25">
      <c r="A22" s="2" t="s">
        <v>11</v>
      </c>
      <c r="B22" s="1"/>
      <c r="C22" s="1"/>
    </row>
    <row r="23" spans="1:7" ht="15" customHeight="1" x14ac:dyDescent="0.25">
      <c r="A23" s="16">
        <f>_xlfn.COVARIANCE.S(B3:B7,C3:C7)</f>
        <v>3.2970000000000005E-3</v>
      </c>
      <c r="B23" s="1"/>
      <c r="C23" s="1"/>
    </row>
    <row r="24" spans="1:7" ht="15" customHeight="1" x14ac:dyDescent="0.25">
      <c r="A24" s="2" t="s">
        <v>12</v>
      </c>
      <c r="B24" s="2" t="s">
        <v>19</v>
      </c>
      <c r="C24" s="1"/>
    </row>
    <row r="25" spans="1:7" ht="15" customHeight="1" x14ac:dyDescent="0.25">
      <c r="A25" s="16">
        <f>CORREL(B3:B7,C3:C7)</f>
        <v>0.49585381635613912</v>
      </c>
      <c r="B25" s="16">
        <f>A23/B9/C9</f>
        <v>0.49585381635613907</v>
      </c>
      <c r="C25" s="1"/>
    </row>
    <row r="26" spans="1:7" ht="15" customHeight="1" x14ac:dyDescent="0.25">
      <c r="A26" s="16"/>
      <c r="B26" s="16"/>
      <c r="C26" s="1"/>
    </row>
  </sheetData>
  <mergeCells count="1">
    <mergeCell ref="B1:C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5"/>
  <sheetViews>
    <sheetView tabSelected="1" topLeftCell="A31" zoomScale="150" zoomScaleNormal="150" workbookViewId="0">
      <selection activeCell="N40" sqref="N40"/>
    </sheetView>
  </sheetViews>
  <sheetFormatPr defaultRowHeight="15" x14ac:dyDescent="0.25"/>
  <cols>
    <col min="1" max="1" width="24.140625" customWidth="1"/>
    <col min="2" max="2" width="18.28515625" customWidth="1"/>
  </cols>
  <sheetData>
    <row r="1" spans="1:9" x14ac:dyDescent="0.25">
      <c r="A1" s="2" t="s">
        <v>23</v>
      </c>
      <c r="B1" s="3"/>
    </row>
    <row r="2" spans="1:9" x14ac:dyDescent="0.25">
      <c r="A2" s="2" t="s">
        <v>13</v>
      </c>
      <c r="B2" s="3"/>
    </row>
    <row r="3" spans="1:9" x14ac:dyDescent="0.25">
      <c r="A3" s="2" t="s">
        <v>44</v>
      </c>
      <c r="B3" s="35">
        <f>B54</f>
        <v>0.11280643052436179</v>
      </c>
    </row>
    <row r="4" spans="1:9" x14ac:dyDescent="0.25">
      <c r="A4" s="2" t="s">
        <v>43</v>
      </c>
      <c r="B4" s="35">
        <f>B55</f>
        <v>5.7659985892917265E-2</v>
      </c>
      <c r="I4" t="s">
        <v>41</v>
      </c>
    </row>
    <row r="5" spans="1:9" x14ac:dyDescent="0.25">
      <c r="B5" s="5"/>
      <c r="I5" t="s">
        <v>42</v>
      </c>
    </row>
    <row r="6" spans="1:9" x14ac:dyDescent="0.25">
      <c r="A6" t="s">
        <v>14</v>
      </c>
    </row>
    <row r="7" spans="1:9" x14ac:dyDescent="0.25">
      <c r="A7" s="2"/>
      <c r="B7" s="2"/>
    </row>
    <row r="8" spans="1:9" x14ac:dyDescent="0.25">
      <c r="A8" t="s">
        <v>15</v>
      </c>
    </row>
    <row r="9" spans="1:9" x14ac:dyDescent="0.25">
      <c r="B9" s="7" t="s">
        <v>33</v>
      </c>
      <c r="C9" s="8"/>
      <c r="D9" s="8"/>
      <c r="E9" s="8"/>
      <c r="F9" s="8"/>
      <c r="G9" s="8"/>
    </row>
    <row r="10" spans="1:9" x14ac:dyDescent="0.25">
      <c r="B10" s="9" t="s">
        <v>34</v>
      </c>
      <c r="C10" s="10"/>
      <c r="D10" s="10"/>
      <c r="E10" s="10"/>
      <c r="F10" s="10"/>
      <c r="G10" s="10"/>
    </row>
    <row r="13" spans="1:9" x14ac:dyDescent="0.25">
      <c r="A13" s="2" t="s">
        <v>27</v>
      </c>
    </row>
    <row r="14" spans="1:9" x14ac:dyDescent="0.25">
      <c r="A14" s="8" t="s">
        <v>35</v>
      </c>
      <c r="B14" s="8"/>
      <c r="C14" s="8"/>
      <c r="D14" s="8"/>
      <c r="E14" s="8"/>
      <c r="F14" s="8"/>
      <c r="G14" s="8"/>
      <c r="H14" s="8"/>
      <c r="I14" s="8"/>
    </row>
    <row r="15" spans="1:9" x14ac:dyDescent="0.25">
      <c r="A15" s="8" t="s">
        <v>36</v>
      </c>
      <c r="B15" s="8"/>
      <c r="C15" s="8"/>
      <c r="D15" s="8"/>
      <c r="E15" s="8"/>
      <c r="F15" s="8"/>
      <c r="G15" s="8"/>
      <c r="H15" s="8"/>
      <c r="I15" s="8"/>
    </row>
    <row r="18" spans="1:5" x14ac:dyDescent="0.25">
      <c r="A18" s="2" t="s">
        <v>1</v>
      </c>
    </row>
    <row r="19" spans="1:5" x14ac:dyDescent="0.25">
      <c r="A19" s="2" t="s">
        <v>29</v>
      </c>
      <c r="B19" s="2" t="s">
        <v>30</v>
      </c>
      <c r="D19" t="s">
        <v>31</v>
      </c>
      <c r="E19" t="s">
        <v>32</v>
      </c>
    </row>
    <row r="20" spans="1:5" x14ac:dyDescent="0.25">
      <c r="A20">
        <v>1</v>
      </c>
      <c r="B20" s="3">
        <v>0.16071183533253686</v>
      </c>
      <c r="D20" s="1">
        <v>-0.1</v>
      </c>
      <c r="E20">
        <f t="array" ref="E20:E28">FREQUENCY(B20:B53,D20:D28)</f>
        <v>0</v>
      </c>
    </row>
    <row r="21" spans="1:5" x14ac:dyDescent="0.25">
      <c r="A21">
        <f>A20+1</f>
        <v>2</v>
      </c>
      <c r="B21" s="3">
        <v>0.12629246360292035</v>
      </c>
      <c r="D21" s="34">
        <f>D20+5%</f>
        <v>-0.05</v>
      </c>
      <c r="E21">
        <v>0</v>
      </c>
    </row>
    <row r="22" spans="1:5" x14ac:dyDescent="0.25">
      <c r="A22">
        <f t="shared" ref="A22:A53" si="0">A21+1</f>
        <v>3</v>
      </c>
      <c r="B22" s="3">
        <v>0.15405274432088012</v>
      </c>
      <c r="D22" s="34">
        <f t="shared" ref="D22:D28" si="1">D21+5%</f>
        <v>0</v>
      </c>
      <c r="E22">
        <v>1</v>
      </c>
    </row>
    <row r="23" spans="1:5" x14ac:dyDescent="0.25">
      <c r="A23">
        <f t="shared" si="0"/>
        <v>4</v>
      </c>
      <c r="B23" s="3">
        <v>0.13493372673280773</v>
      </c>
      <c r="D23" s="34">
        <f t="shared" si="1"/>
        <v>0.05</v>
      </c>
      <c r="E23">
        <v>3</v>
      </c>
    </row>
    <row r="24" spans="1:5" x14ac:dyDescent="0.25">
      <c r="A24">
        <f t="shared" si="0"/>
        <v>5</v>
      </c>
      <c r="B24" s="3">
        <v>7.0092286726817943E-2</v>
      </c>
      <c r="D24" s="34">
        <f t="shared" si="1"/>
        <v>0.1</v>
      </c>
      <c r="E24">
        <v>10</v>
      </c>
    </row>
    <row r="25" spans="1:5" x14ac:dyDescent="0.25">
      <c r="A25">
        <f t="shared" si="0"/>
        <v>6</v>
      </c>
      <c r="B25" s="3">
        <v>0.15085910095245841</v>
      </c>
      <c r="D25" s="34">
        <f t="shared" si="1"/>
        <v>0.15000000000000002</v>
      </c>
      <c r="E25">
        <v>11</v>
      </c>
    </row>
    <row r="26" spans="1:5" x14ac:dyDescent="0.25">
      <c r="A26">
        <f t="shared" si="0"/>
        <v>7</v>
      </c>
      <c r="B26" s="3">
        <v>8.4443377154878804E-2</v>
      </c>
      <c r="D26" s="34">
        <f t="shared" si="1"/>
        <v>0.2</v>
      </c>
      <c r="E26">
        <v>7</v>
      </c>
    </row>
    <row r="27" spans="1:5" x14ac:dyDescent="0.25">
      <c r="A27">
        <f t="shared" si="0"/>
        <v>8</v>
      </c>
      <c r="B27" s="3">
        <v>0.17177849253148103</v>
      </c>
      <c r="D27" s="34">
        <f t="shared" si="1"/>
        <v>0.25</v>
      </c>
      <c r="E27">
        <v>2</v>
      </c>
    </row>
    <row r="28" spans="1:5" x14ac:dyDescent="0.25">
      <c r="A28">
        <f t="shared" si="0"/>
        <v>9</v>
      </c>
      <c r="B28" s="3">
        <v>0.11919681889820011</v>
      </c>
      <c r="D28" s="34">
        <f t="shared" si="1"/>
        <v>0.3</v>
      </c>
      <c r="E28">
        <v>0</v>
      </c>
    </row>
    <row r="29" spans="1:5" x14ac:dyDescent="0.25">
      <c r="A29">
        <f t="shared" si="0"/>
        <v>10</v>
      </c>
      <c r="B29" s="3">
        <v>0.1125</v>
      </c>
      <c r="D29" s="34"/>
    </row>
    <row r="30" spans="1:5" x14ac:dyDescent="0.25">
      <c r="A30">
        <f t="shared" si="0"/>
        <v>11</v>
      </c>
      <c r="B30" s="3">
        <v>0.1654863871921812</v>
      </c>
      <c r="D30" s="34"/>
    </row>
    <row r="31" spans="1:5" x14ac:dyDescent="0.25">
      <c r="A31">
        <f t="shared" si="0"/>
        <v>12</v>
      </c>
      <c r="B31" s="3">
        <v>2.3E-2</v>
      </c>
      <c r="D31" s="34"/>
    </row>
    <row r="32" spans="1:5" x14ac:dyDescent="0.25">
      <c r="A32">
        <f t="shared" si="0"/>
        <v>13</v>
      </c>
      <c r="B32" s="3">
        <v>0.10626645244562527</v>
      </c>
      <c r="D32" s="34"/>
    </row>
    <row r="33" spans="1:4" x14ac:dyDescent="0.25">
      <c r="A33">
        <f t="shared" si="0"/>
        <v>14</v>
      </c>
      <c r="B33" s="3">
        <v>9.177203841642366E-2</v>
      </c>
      <c r="D33" s="34"/>
    </row>
    <row r="34" spans="1:4" x14ac:dyDescent="0.25">
      <c r="A34">
        <f t="shared" si="0"/>
        <v>15</v>
      </c>
      <c r="B34" s="3">
        <v>-3.3625369123994553E-2</v>
      </c>
      <c r="D34" s="34"/>
    </row>
    <row r="35" spans="1:4" x14ac:dyDescent="0.25">
      <c r="A35">
        <f t="shared" si="0"/>
        <v>16</v>
      </c>
      <c r="B35" s="3">
        <v>1.2E-2</v>
      </c>
      <c r="D35" s="34"/>
    </row>
    <row r="36" spans="1:4" x14ac:dyDescent="0.25">
      <c r="A36">
        <f t="shared" si="0"/>
        <v>17</v>
      </c>
      <c r="B36" s="3">
        <v>1.2E-2</v>
      </c>
      <c r="D36" s="34"/>
    </row>
    <row r="37" spans="1:4" x14ac:dyDescent="0.25">
      <c r="A37">
        <f t="shared" si="0"/>
        <v>18</v>
      </c>
      <c r="B37" s="3">
        <v>7.6711657106760561E-2</v>
      </c>
      <c r="D37" s="34"/>
    </row>
    <row r="38" spans="1:4" x14ac:dyDescent="0.25">
      <c r="A38">
        <f t="shared" si="0"/>
        <v>19</v>
      </c>
      <c r="B38" s="3">
        <v>0.24199999999999999</v>
      </c>
      <c r="D38" s="34"/>
    </row>
    <row r="39" spans="1:4" x14ac:dyDescent="0.25">
      <c r="A39">
        <f t="shared" si="0"/>
        <v>20</v>
      </c>
      <c r="B39" s="3">
        <v>5.1210168445414483E-2</v>
      </c>
    </row>
    <row r="40" spans="1:4" x14ac:dyDescent="0.25">
      <c r="A40">
        <f t="shared" si="0"/>
        <v>21</v>
      </c>
      <c r="B40" s="3">
        <v>8.8089728096573894E-2</v>
      </c>
    </row>
    <row r="41" spans="1:4" x14ac:dyDescent="0.25">
      <c r="A41">
        <f t="shared" si="0"/>
        <v>22</v>
      </c>
      <c r="B41" s="3">
        <v>9.589103034827115E-2</v>
      </c>
    </row>
    <row r="42" spans="1:4" x14ac:dyDescent="0.25">
      <c r="A42">
        <f t="shared" si="0"/>
        <v>23</v>
      </c>
      <c r="B42" s="3">
        <v>0.21351431618589556</v>
      </c>
    </row>
    <row r="43" spans="1:4" x14ac:dyDescent="0.25">
      <c r="A43">
        <f t="shared" si="0"/>
        <v>24</v>
      </c>
      <c r="B43" s="3">
        <v>0.14787430885098427</v>
      </c>
    </row>
    <row r="44" spans="1:4" x14ac:dyDescent="0.25">
      <c r="A44">
        <f t="shared" si="0"/>
        <v>25</v>
      </c>
      <c r="B44" s="3">
        <v>0.14563400235697171</v>
      </c>
    </row>
    <row r="45" spans="1:4" x14ac:dyDescent="0.25">
      <c r="A45">
        <f t="shared" si="0"/>
        <v>26</v>
      </c>
      <c r="B45" s="3">
        <v>0.10947637805878904</v>
      </c>
    </row>
    <row r="46" spans="1:4" x14ac:dyDescent="0.25">
      <c r="A46">
        <f t="shared" si="0"/>
        <v>27</v>
      </c>
      <c r="B46" s="3">
        <v>0.12899405078187812</v>
      </c>
    </row>
    <row r="47" spans="1:4" x14ac:dyDescent="0.25">
      <c r="A47">
        <f t="shared" si="0"/>
        <v>28</v>
      </c>
      <c r="B47" s="3">
        <v>6.7786317004837893E-2</v>
      </c>
    </row>
    <row r="48" spans="1:4" x14ac:dyDescent="0.25">
      <c r="A48">
        <f t="shared" si="0"/>
        <v>29</v>
      </c>
      <c r="B48" s="3">
        <v>0.17259389644962622</v>
      </c>
    </row>
    <row r="49" spans="1:2" x14ac:dyDescent="0.25">
      <c r="A49">
        <f t="shared" si="0"/>
        <v>30</v>
      </c>
      <c r="B49" s="3">
        <v>9.8064512772885498E-2</v>
      </c>
    </row>
    <row r="50" spans="1:2" x14ac:dyDescent="0.25">
      <c r="A50">
        <f t="shared" si="0"/>
        <v>31</v>
      </c>
      <c r="B50" s="3">
        <v>0.14265940193841328</v>
      </c>
    </row>
    <row r="51" spans="1:2" x14ac:dyDescent="0.25">
      <c r="A51">
        <f t="shared" si="0"/>
        <v>32</v>
      </c>
      <c r="B51" s="3">
        <v>0.18385134648137519</v>
      </c>
    </row>
    <row r="52" spans="1:2" x14ac:dyDescent="0.25">
      <c r="A52">
        <f t="shared" si="0"/>
        <v>33</v>
      </c>
      <c r="B52" s="3">
        <v>0.11854854445762412</v>
      </c>
    </row>
    <row r="53" spans="1:2" x14ac:dyDescent="0.25">
      <c r="A53">
        <f t="shared" si="0"/>
        <v>34</v>
      </c>
      <c r="B53" s="3">
        <v>9.0758623308782926E-2</v>
      </c>
    </row>
    <row r="54" spans="1:2" x14ac:dyDescent="0.25">
      <c r="A54" s="2" t="s">
        <v>39</v>
      </c>
      <c r="B54" s="38">
        <f>AVERAGE(B20:B53)</f>
        <v>0.11280643052436179</v>
      </c>
    </row>
    <row r="55" spans="1:2" x14ac:dyDescent="0.25">
      <c r="A55" s="2" t="s">
        <v>26</v>
      </c>
      <c r="B55" s="37">
        <f>_xlfn.STDEV.S(B20:B54)</f>
        <v>5.7659985892917265E-2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2"/>
  <sheetViews>
    <sheetView zoomScale="150" zoomScaleNormal="150" workbookViewId="0"/>
  </sheetViews>
  <sheetFormatPr defaultRowHeight="15" x14ac:dyDescent="0.25"/>
  <sheetData>
    <row r="2" spans="5:5" x14ac:dyDescent="0.25">
      <c r="E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6"/>
  <sheetViews>
    <sheetView zoomScale="180" zoomScaleNormal="180" workbookViewId="0">
      <selection activeCell="C9" sqref="C9"/>
    </sheetView>
  </sheetViews>
  <sheetFormatPr defaultRowHeight="15" x14ac:dyDescent="0.25"/>
  <cols>
    <col min="1" max="1" width="18.7109375" bestFit="1" customWidth="1"/>
    <col min="2" max="2" width="11.5703125" customWidth="1"/>
    <col min="3" max="3" width="25.7109375" customWidth="1"/>
    <col min="4" max="4" width="9.140625" customWidth="1"/>
    <col min="5" max="5" width="15.42578125" customWidth="1"/>
    <col min="6" max="6" width="9.140625" customWidth="1"/>
    <col min="7" max="7" width="23" customWidth="1"/>
    <col min="8" max="10" width="9.140625" customWidth="1"/>
  </cols>
  <sheetData>
    <row r="1" spans="1:9" x14ac:dyDescent="0.25">
      <c r="B1" s="43" t="s">
        <v>28</v>
      </c>
      <c r="C1" s="43"/>
    </row>
    <row r="2" spans="1:9" x14ac:dyDescent="0.25">
      <c r="B2" s="2" t="s">
        <v>1</v>
      </c>
      <c r="C2" s="39" t="s">
        <v>2</v>
      </c>
      <c r="E2" s="29"/>
      <c r="F2" s="30"/>
      <c r="G2" s="2" t="s">
        <v>38</v>
      </c>
    </row>
    <row r="3" spans="1:9" x14ac:dyDescent="0.25">
      <c r="A3" s="2" t="s">
        <v>6</v>
      </c>
      <c r="B3" s="1">
        <v>0.13</v>
      </c>
      <c r="C3" s="1">
        <v>0.12</v>
      </c>
      <c r="E3" s="31"/>
      <c r="F3" s="30"/>
      <c r="G3" s="26">
        <f>B3*$C$14+C3*$C$15</f>
        <v>0.125</v>
      </c>
    </row>
    <row r="4" spans="1:9" x14ac:dyDescent="0.25">
      <c r="A4" s="2" t="s">
        <v>7</v>
      </c>
      <c r="B4" s="1">
        <v>0.13</v>
      </c>
      <c r="C4" s="1">
        <v>-0.4</v>
      </c>
      <c r="E4" s="31"/>
      <c r="F4" s="30"/>
      <c r="G4" s="26">
        <f>B4*$C$14+C4*$C$15</f>
        <v>-0.13500000000000001</v>
      </c>
      <c r="I4" s="2"/>
    </row>
    <row r="5" spans="1:9" x14ac:dyDescent="0.25">
      <c r="A5" s="2" t="s">
        <v>8</v>
      </c>
      <c r="B5" s="1">
        <v>0.13</v>
      </c>
      <c r="C5" s="1">
        <v>0.21</v>
      </c>
      <c r="E5" s="31"/>
      <c r="F5" s="29"/>
      <c r="G5" s="26">
        <f>B5*$C$14+C5*$C$15</f>
        <v>0.16999999999999998</v>
      </c>
    </row>
    <row r="6" spans="1:9" x14ac:dyDescent="0.25">
      <c r="A6" s="2" t="s">
        <v>9</v>
      </c>
      <c r="B6" s="1">
        <v>0.13</v>
      </c>
      <c r="C6" s="1">
        <v>0.13</v>
      </c>
      <c r="E6" s="31"/>
      <c r="F6" s="30"/>
      <c r="G6" s="26">
        <f>B6*$C$14+C6*$C$15</f>
        <v>0.13</v>
      </c>
    </row>
    <row r="7" spans="1:9" x14ac:dyDescent="0.25">
      <c r="A7" s="13" t="s">
        <v>10</v>
      </c>
      <c r="B7" s="14">
        <v>0.1295</v>
      </c>
      <c r="C7" s="14">
        <v>1</v>
      </c>
      <c r="E7" s="31"/>
      <c r="F7" s="30"/>
      <c r="G7" s="28">
        <f>B7*$C$14+C7*$C$15</f>
        <v>0.56474999999999997</v>
      </c>
    </row>
    <row r="8" spans="1:9" x14ac:dyDescent="0.25">
      <c r="A8" s="17" t="s">
        <v>22</v>
      </c>
      <c r="B8" s="18">
        <f>AVERAGE(B3:B7)</f>
        <v>0.12989999999999999</v>
      </c>
      <c r="C8" s="18">
        <f>AVERAGE(C3:C7)</f>
        <v>0.21200000000000002</v>
      </c>
      <c r="E8" s="32"/>
      <c r="F8" s="30"/>
      <c r="G8" s="18">
        <f>AVERAGE(G3:G7)</f>
        <v>0.17094999999999999</v>
      </c>
    </row>
    <row r="9" spans="1:9" x14ac:dyDescent="0.25">
      <c r="A9" s="2" t="s">
        <v>20</v>
      </c>
      <c r="B9" s="15">
        <f>_xlfn.STDEV.S(B3:B7)</f>
        <v>2.2360679774997917E-4</v>
      </c>
      <c r="C9" s="15">
        <f>_xlfn.STDEV.S(C3:C7)</f>
        <v>0.50266290891610454</v>
      </c>
      <c r="E9" s="33"/>
      <c r="F9" s="30"/>
      <c r="G9" s="27">
        <f>_xlfn.STDEV.S(G3:G7)</f>
        <v>0.25123348204409379</v>
      </c>
      <c r="H9" s="2" t="s">
        <v>26</v>
      </c>
    </row>
    <row r="10" spans="1:9" x14ac:dyDescent="0.25">
      <c r="A10" s="2"/>
      <c r="B10" s="1"/>
      <c r="C10" s="38"/>
      <c r="D10" s="2"/>
      <c r="E10" s="30"/>
      <c r="F10" s="30"/>
    </row>
    <row r="11" spans="1:9" ht="15" customHeight="1" x14ac:dyDescent="0.25"/>
    <row r="12" spans="1:9" ht="15" hidden="1" customHeight="1" x14ac:dyDescent="0.25">
      <c r="A12" s="19" t="s">
        <v>21</v>
      </c>
      <c r="B12" s="20"/>
      <c r="C12" s="20"/>
      <c r="D12" s="20"/>
      <c r="E12" s="20"/>
      <c r="F12" s="20"/>
    </row>
    <row r="13" spans="1:9" ht="15" hidden="1" customHeight="1" x14ac:dyDescent="0.25">
      <c r="A13" s="19" t="s">
        <v>0</v>
      </c>
      <c r="B13" s="19" t="s">
        <v>25</v>
      </c>
      <c r="C13" s="19" t="s">
        <v>3</v>
      </c>
      <c r="D13" s="19" t="s">
        <v>5</v>
      </c>
      <c r="E13" s="20"/>
      <c r="F13" s="19" t="s">
        <v>18</v>
      </c>
      <c r="G13" s="2"/>
    </row>
    <row r="14" spans="1:9" ht="15" hidden="1" customHeight="1" x14ac:dyDescent="0.25">
      <c r="A14" s="20" t="s">
        <v>1</v>
      </c>
      <c r="B14" s="21">
        <f>AVERAGE(B3:B7)</f>
        <v>0.12989999999999999</v>
      </c>
      <c r="C14" s="20">
        <v>0.5</v>
      </c>
      <c r="D14" s="22">
        <f>_xlfn.STDEV.S(B3:B7)</f>
        <v>2.2360679774997917E-4</v>
      </c>
      <c r="E14" s="19"/>
      <c r="F14" s="20">
        <f>D14^2</f>
        <v>5.000000000000009E-8</v>
      </c>
    </row>
    <row r="15" spans="1:9" ht="15" hidden="1" customHeight="1" x14ac:dyDescent="0.25">
      <c r="A15" s="20" t="s">
        <v>2</v>
      </c>
      <c r="B15" s="21">
        <f>AVERAGE(C3:C7)</f>
        <v>0.21200000000000002</v>
      </c>
      <c r="C15" s="20">
        <f>1-C14</f>
        <v>0.5</v>
      </c>
      <c r="D15" s="22">
        <f>_xlfn.STDEV.S(C3:C7)</f>
        <v>0.50266290891610454</v>
      </c>
      <c r="E15" s="20"/>
      <c r="F15" s="20">
        <f>D15^2</f>
        <v>0.25267000000000001</v>
      </c>
    </row>
    <row r="16" spans="1:9" ht="15" hidden="1" customHeight="1" x14ac:dyDescent="0.25"/>
    <row r="17" spans="1:7" ht="15" hidden="1" customHeight="1" x14ac:dyDescent="0.25"/>
    <row r="18" spans="1:7" ht="15" hidden="1" customHeight="1" x14ac:dyDescent="0.25">
      <c r="A18" s="7" t="s">
        <v>4</v>
      </c>
      <c r="B18" s="12">
        <f>B14*C14+B15*C15</f>
        <v>0.17094999999999999</v>
      </c>
      <c r="C18" s="36" t="s">
        <v>37</v>
      </c>
    </row>
    <row r="19" spans="1:7" ht="15" hidden="1" customHeight="1" x14ac:dyDescent="0.25">
      <c r="A19" t="s">
        <v>16</v>
      </c>
      <c r="B19" s="11">
        <f>F14*C14^2+F15*C15^2+2*C14*C15*A25*D14*D15</f>
        <v>6.3118262499999994E-2</v>
      </c>
      <c r="C19" s="25" t="s">
        <v>24</v>
      </c>
      <c r="G19" s="6"/>
    </row>
    <row r="20" spans="1:7" ht="15" hidden="1" customHeight="1" x14ac:dyDescent="0.25">
      <c r="A20" t="s">
        <v>17</v>
      </c>
      <c r="B20" s="23">
        <f>SQRT(B19)</f>
        <v>0.25123348204409379</v>
      </c>
    </row>
    <row r="21" spans="1:7" ht="15" hidden="1" customHeight="1" x14ac:dyDescent="0.25">
      <c r="B21" s="24"/>
    </row>
    <row r="22" spans="1:7" ht="15" hidden="1" customHeight="1" x14ac:dyDescent="0.25">
      <c r="A22" s="2" t="s">
        <v>11</v>
      </c>
      <c r="B22" s="1"/>
      <c r="C22" s="1"/>
    </row>
    <row r="23" spans="1:7" ht="15" hidden="1" customHeight="1" x14ac:dyDescent="0.25">
      <c r="A23" s="16">
        <f>_xlfn.COVARIANCE.S(B3:B7,C3:C7)</f>
        <v>-9.850000000000009E-5</v>
      </c>
      <c r="B23" s="1"/>
      <c r="C23" s="1"/>
    </row>
    <row r="24" spans="1:7" ht="15" hidden="1" customHeight="1" x14ac:dyDescent="0.25">
      <c r="A24" s="2" t="s">
        <v>12</v>
      </c>
      <c r="B24" s="2" t="s">
        <v>19</v>
      </c>
      <c r="C24" s="1"/>
    </row>
    <row r="25" spans="1:7" ht="15" hidden="1" customHeight="1" x14ac:dyDescent="0.25">
      <c r="A25" s="16">
        <f>CORREL(B3:B7,C3:C7)</f>
        <v>-0.87634353709789992</v>
      </c>
      <c r="B25" s="16">
        <f>A23/B9/C9</f>
        <v>-0.87634353709790003</v>
      </c>
      <c r="C25" s="1"/>
    </row>
    <row r="26" spans="1:7" ht="15" customHeight="1" x14ac:dyDescent="0.25">
      <c r="A26" s="16"/>
      <c r="B26" s="16"/>
      <c r="C26" s="1"/>
    </row>
  </sheetData>
  <mergeCells count="1">
    <mergeCell ref="B1:C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Mean_Std dev</vt:lpstr>
      <vt:lpstr>Normal Distribution</vt:lpstr>
      <vt:lpstr>Sheet1</vt:lpstr>
      <vt:lpstr>Mean_Std dev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2018-10-21T08:14:27Z</dcterms:created>
  <dcterms:modified xsi:type="dcterms:W3CDTF">2023-04-23T12:43:14Z</dcterms:modified>
</cp:coreProperties>
</file>