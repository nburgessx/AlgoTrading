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G:\My Drive\STUDY\EPAT\03 MMT - Market Microstructure for Trading\MMT02 - Execution Strategies\MMT02 Inclass Excercise File\"/>
    </mc:Choice>
  </mc:AlternateContent>
  <xr:revisionPtr revIDLastSave="0" documentId="13_ncr:1_{11F414A1-D855-4A5F-9B2A-0C678A31C63B}" xr6:coauthVersionLast="47" xr6:coauthVersionMax="47" xr10:uidLastSave="{00000000-0000-0000-0000-000000000000}"/>
  <bookViews>
    <workbookView xWindow="1560" yWindow="1560" windowWidth="38700" windowHeight="15345" firstSheet="12" activeTab="15" xr2:uid="{00000000-000D-0000-FFFF-FFFF00000000}"/>
  </bookViews>
  <sheets>
    <sheet name="Chart1" sheetId="4" r:id="rId1"/>
    <sheet name="Gain_Prob" sheetId="1" r:id="rId2"/>
    <sheet name="Pegging" sheetId="2" r:id="rId3"/>
    <sheet name="Discretion" sheetId="5" r:id="rId4"/>
    <sheet name="Bid-Ask-Vwap" sheetId="24" r:id="rId5"/>
    <sheet name="Bid-Ask" sheetId="21" r:id="rId6"/>
    <sheet name="Microsoft_eg" sheetId="19" r:id="rId7"/>
    <sheet name="VWAP" sheetId="3" r:id="rId8"/>
    <sheet name="Pegging+Discretion" sheetId="6" r:id="rId9"/>
    <sheet name="Pegging+Discretion_Sell" sheetId="25" r:id="rId10"/>
    <sheet name="Guerilla" sheetId="7" r:id="rId11"/>
    <sheet name="Defns" sheetId="8" r:id="rId12"/>
    <sheet name="TTH" sheetId="9" r:id="rId13"/>
    <sheet name="Algo1" sheetId="10" r:id="rId14"/>
    <sheet name="Algo2_Stub" sheetId="11" r:id="rId15"/>
    <sheet name="EV of modifying_1" sheetId="18" r:id="rId16"/>
    <sheet name="EV of modifying_2" sheetId="17" r:id="rId17"/>
    <sheet name="Pegging with Threshold" sheetId="12" r:id="rId18"/>
    <sheet name="Pegging with Threshold_sign siz" sheetId="23" r:id="rId19"/>
    <sheet name="DR_tips" sheetId="22" r:id="rId20"/>
    <sheet name="Post only" sheetId="14" r:id="rId21"/>
    <sheet name="Sheet1" sheetId="26"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9" i="3" l="1"/>
  <c r="C26" i="17" l="1"/>
  <c r="F28" i="9" l="1"/>
  <c r="A27" i="9"/>
  <c r="D27" i="19" l="1"/>
  <c r="G36" i="9" l="1"/>
  <c r="G37" i="9" s="1"/>
  <c r="G44" i="5"/>
  <c r="F10" i="19"/>
  <c r="E26" i="19"/>
  <c r="F26" i="19" s="1"/>
  <c r="E25" i="19"/>
  <c r="F25" i="19" s="1"/>
  <c r="E24" i="19"/>
  <c r="F24" i="19" s="1"/>
  <c r="E23" i="19"/>
  <c r="F23" i="19" s="1"/>
  <c r="E22" i="19"/>
  <c r="F22" i="19" s="1"/>
  <c r="E21" i="19"/>
  <c r="F21" i="19" s="1"/>
  <c r="E20" i="19"/>
  <c r="F20" i="19" s="1"/>
  <c r="E19" i="19"/>
  <c r="F19" i="19" s="1"/>
  <c r="E18" i="19"/>
  <c r="F18" i="19" s="1"/>
  <c r="E17" i="19"/>
  <c r="F17" i="19" s="1"/>
  <c r="E16" i="19"/>
  <c r="F16" i="19" s="1"/>
  <c r="E15" i="19"/>
  <c r="F15" i="19" s="1"/>
  <c r="E14" i="19"/>
  <c r="F14" i="19" s="1"/>
  <c r="E13" i="19"/>
  <c r="F13" i="19" s="1"/>
  <c r="E12" i="19"/>
  <c r="F12" i="19" s="1"/>
  <c r="E11" i="19"/>
  <c r="F11" i="19" s="1"/>
  <c r="E10" i="19"/>
  <c r="E9" i="19"/>
  <c r="F9" i="19" s="1"/>
  <c r="E8" i="19"/>
  <c r="F8" i="19" s="1"/>
  <c r="E7" i="19"/>
  <c r="F7" i="19" s="1"/>
  <c r="E6" i="19"/>
  <c r="F6" i="19" s="1"/>
  <c r="A7" i="19"/>
  <c r="A8" i="19" s="1"/>
  <c r="A9" i="19" s="1"/>
  <c r="A10" i="19" s="1"/>
  <c r="A11" i="19" s="1"/>
  <c r="A12" i="19" s="1"/>
  <c r="A13" i="19" s="1"/>
  <c r="A14" i="19" s="1"/>
  <c r="A15" i="19" s="1"/>
  <c r="A16" i="19" s="1"/>
  <c r="A17" i="19" s="1"/>
  <c r="A18" i="19" s="1"/>
  <c r="A19" i="19" s="1"/>
  <c r="A20" i="19" s="1"/>
  <c r="A21" i="19" s="1"/>
  <c r="A22" i="19" s="1"/>
  <c r="A23" i="19" s="1"/>
  <c r="A24" i="19" s="1"/>
  <c r="A25" i="19" s="1"/>
  <c r="A26" i="19" s="1"/>
  <c r="D37" i="9"/>
  <c r="F27" i="19" l="1"/>
  <c r="G6" i="19"/>
  <c r="G7" i="19"/>
  <c r="G8" i="19"/>
  <c r="G18" i="19"/>
  <c r="G25" i="19"/>
  <c r="G21" i="19"/>
  <c r="G17" i="19"/>
  <c r="G13" i="19"/>
  <c r="G9" i="19"/>
  <c r="G24" i="19"/>
  <c r="G20" i="19"/>
  <c r="G16" i="19"/>
  <c r="G12" i="19"/>
  <c r="G23" i="19"/>
  <c r="G19" i="19"/>
  <c r="G15" i="19"/>
  <c r="G11" i="19"/>
  <c r="G26" i="19"/>
  <c r="G22" i="19"/>
  <c r="G14" i="19"/>
  <c r="G10" i="19"/>
  <c r="F30" i="19"/>
  <c r="I5" i="18"/>
  <c r="C24" i="17"/>
  <c r="B15" i="9"/>
  <c r="B17" i="9" s="1"/>
  <c r="J8" i="3"/>
  <c r="J7" i="3"/>
  <c r="J6" i="3"/>
  <c r="J5" i="3"/>
  <c r="J4" i="3"/>
  <c r="J9" i="3" l="1"/>
  <c r="J11" i="3" s="1"/>
  <c r="C14" i="8"/>
  <c r="C15" i="8" s="1"/>
  <c r="C16" i="8" s="1"/>
  <c r="C17" i="8" s="1"/>
  <c r="C18" i="8" s="1"/>
  <c r="D26" i="3"/>
  <c r="E4" i="1" l="1"/>
  <c r="B17" i="1"/>
  <c r="B25" i="1" s="1"/>
  <c r="B16" i="1"/>
  <c r="B24" i="1" s="1"/>
  <c r="B13" i="1"/>
  <c r="B21" i="1" s="1"/>
  <c r="B15" i="1"/>
  <c r="B23" i="1" s="1"/>
  <c r="B14" i="1"/>
  <c r="B22" i="1" s="1"/>
</calcChain>
</file>

<file path=xl/sharedStrings.xml><?xml version="1.0" encoding="utf-8"?>
<sst xmlns="http://schemas.openxmlformats.org/spreadsheetml/2006/main" count="631" uniqueCount="331">
  <si>
    <t>Gains</t>
  </si>
  <si>
    <t>Probability</t>
  </si>
  <si>
    <t>Order Book</t>
  </si>
  <si>
    <t xml:space="preserve">Bid </t>
  </si>
  <si>
    <t>Ask</t>
  </si>
  <si>
    <t>Level</t>
  </si>
  <si>
    <t>Bid-ask spread</t>
  </si>
  <si>
    <t>Pegging order: is a limit order where the price of the order is dependent on the price of a particluar level of the Order book</t>
  </si>
  <si>
    <t>An order that is pegged at say Level 1</t>
  </si>
  <si>
    <t>My order is pegged at level 1 bid</t>
  </si>
  <si>
    <t>Whatever the best bid is: I will fire an order 1 tick (5 cents more than the best bid), I will not consider my own bid when evaluating the best bid</t>
  </si>
  <si>
    <t>I will therefore fire my order at 100.05!!</t>
  </si>
  <si>
    <t>If the order at 100 moves to 100.05, then I would modify my order to 100.1!!</t>
  </si>
  <si>
    <t>At the buy side</t>
  </si>
  <si>
    <t>Example 2</t>
  </si>
  <si>
    <t>Example 1</t>
  </si>
  <si>
    <t>Discretion order</t>
  </si>
  <si>
    <t>You would give your broker/code a discretion: that it can modify the price of an order by a certain amount if it can get traded!</t>
  </si>
  <si>
    <t>Example:</t>
  </si>
  <si>
    <t>With a discretion range of 20 cents</t>
  </si>
  <si>
    <t>10:00am</t>
  </si>
  <si>
    <t>Then your discretion range will be used, and your order will be modfied to 100.3, so that it gets executed!</t>
  </si>
  <si>
    <t xml:space="preserve">10:00am </t>
  </si>
  <si>
    <t>11:00am</t>
  </si>
  <si>
    <t>One way to compare if the price was good/bad is VWAP</t>
  </si>
  <si>
    <t>12:00noon</t>
  </si>
  <si>
    <t>2:00pm</t>
  </si>
  <si>
    <t xml:space="preserve">VWAP = </t>
  </si>
  <si>
    <t>=D4*C4</t>
  </si>
  <si>
    <t>and so on…</t>
  </si>
  <si>
    <t>divide it by total amount of shares traded!!</t>
  </si>
  <si>
    <t>Blending Pegging order and Discretion order</t>
  </si>
  <si>
    <t>I will peg my Buy limit order at Best bid + 10 cents, with a discretion range of 20 cents</t>
  </si>
  <si>
    <t>Case 1</t>
  </si>
  <si>
    <t>Case 2</t>
  </si>
  <si>
    <t>10:05am</t>
  </si>
  <si>
    <t>I will use my discretion range to fire an order at 100.5!!</t>
  </si>
  <si>
    <t>Bid</t>
  </si>
  <si>
    <t>Fair Price</t>
  </si>
  <si>
    <t>Loss coz of a market order</t>
  </si>
  <si>
    <t>If your pegging logic is only to be 5 cents better than the best bid:</t>
  </si>
  <si>
    <t>Qty</t>
  </si>
  <si>
    <t>Trader1 fires an order of size 200 @100.1</t>
  </si>
  <si>
    <t xml:space="preserve">ALONE </t>
  </si>
  <si>
    <t xml:space="preserve">Same side depth </t>
  </si>
  <si>
    <t>Liquidity/Urgency</t>
  </si>
  <si>
    <t>Low</t>
  </si>
  <si>
    <t>Medium</t>
  </si>
  <si>
    <t>High</t>
  </si>
  <si>
    <t>Liquidity</t>
  </si>
  <si>
    <t>Urgency</t>
  </si>
  <si>
    <t>X</t>
  </si>
  <si>
    <t>Y</t>
  </si>
  <si>
    <t>Z</t>
  </si>
  <si>
    <t>TTH =</t>
  </si>
  <si>
    <t>Order shares/vol. ratio /Min vol</t>
  </si>
  <si>
    <t>Order shares</t>
  </si>
  <si>
    <t>Urgency high</t>
  </si>
  <si>
    <t>Min vol</t>
  </si>
  <si>
    <t>minutes</t>
  </si>
  <si>
    <t>1. You will check if your order book is stable!!</t>
  </si>
  <si>
    <t>2. Yes there is a pegging logic at 5 cents above the best bid</t>
  </si>
  <si>
    <t>3. Discretion at 20 cents</t>
  </si>
  <si>
    <t>and you got a partial fill at 100 for 400 shares!!!</t>
  </si>
  <si>
    <t>CONDITION</t>
  </si>
  <si>
    <t>Pegging so that the market doesn't game you</t>
  </si>
  <si>
    <t>Pegging logic:</t>
  </si>
  <si>
    <t>Peg price = 5 cents</t>
  </si>
  <si>
    <t>Threshold = 30 cents!!</t>
  </si>
  <si>
    <t>Fire 1000 shares @100 (and you will note down the best bid when you fired your order = 99.95)</t>
  </si>
  <si>
    <t>You will check whether best bid - bid that you had noted &lt; threshold!!</t>
  </si>
  <si>
    <t>If yes, then you will not move your order!!!</t>
  </si>
  <si>
    <t>If no, then I will modify my pegged order at 5 cents better than the bid!!</t>
  </si>
  <si>
    <t>Threshold limit should be more than 50% of the avg bid ask spread!!</t>
  </si>
  <si>
    <t>Simple pegging logic--&gt; 5 cents better than the best bid always!!</t>
  </si>
  <si>
    <t>Best bid @100 and best ask at 100.5</t>
  </si>
  <si>
    <t>I will earn 50 cents</t>
  </si>
  <si>
    <t>Best bid @99.5 and best ask at 101</t>
  </si>
  <si>
    <t>I will earn 150 cents</t>
  </si>
  <si>
    <t>of getting a fill</t>
  </si>
  <si>
    <t>An order that is pegged at say Level 2</t>
  </si>
  <si>
    <t>Whatever the second best bid is: I will fire an order 1 tick (5 cents more than the second best bid)</t>
  </si>
  <si>
    <t>My order is pegged at level 2 bid</t>
  </si>
  <si>
    <t>You had fired an order at 100 for 1000 qty (because my algo was pegged at 5 cents better than the bid)</t>
  </si>
  <si>
    <t>100.1 - 99.95 &lt; 30 cents, therefore you will not do anything!!!</t>
  </si>
  <si>
    <t>100.2 - 99.95 &lt; 30 cents, therefore you will not do anything!!!</t>
  </si>
  <si>
    <t>100.3 - 99.95 &gt; 30 cents, therefore you will FIRE!!</t>
  </si>
  <si>
    <t>My order was pegged to Level 2 (5 cents above the 2nd Level)</t>
  </si>
  <si>
    <t>Here I will fire an order at 100.05</t>
  </si>
  <si>
    <t>at t=0sec</t>
  </si>
  <si>
    <t>t=1millisec</t>
  </si>
  <si>
    <t>CASE 1</t>
  </si>
  <si>
    <t>Peg your order at best bid + 10 cents</t>
  </si>
  <si>
    <t>Your order</t>
  </si>
  <si>
    <t>Guerilla algo: fire an order for 100.2 with qty 10 shares</t>
  </si>
  <si>
    <t>Guerilla algo: fire an order for 100.8 with qty 1 shares</t>
  </si>
  <si>
    <t>You get a buy at 100.85 and he gets a sell at 100.85</t>
  </si>
  <si>
    <t>Market comes back to its original price</t>
  </si>
  <si>
    <t>shares/hour</t>
  </si>
  <si>
    <t>shares/min</t>
  </si>
  <si>
    <t>AXISBANK</t>
  </si>
  <si>
    <t>Client Order</t>
  </si>
  <si>
    <t>Triggers for your algorithm</t>
  </si>
  <si>
    <t>ON price level change</t>
  </si>
  <si>
    <t>TRADE or FILL</t>
  </si>
  <si>
    <t>On Fill/trade</t>
  </si>
  <si>
    <t>Acknowldgement</t>
  </si>
  <si>
    <t>ON ack</t>
  </si>
  <si>
    <t>EXCHANGE</t>
  </si>
  <si>
    <t>Market adaptor</t>
  </si>
  <si>
    <t>Strategy</t>
  </si>
  <si>
    <t>Price level change in the best Bid or best ASK/change in vwap</t>
  </si>
  <si>
    <t>t=0</t>
  </si>
  <si>
    <t>Reserve Left</t>
  </si>
  <si>
    <t>Known to us</t>
  </si>
  <si>
    <t>Fair price right now is 100.1</t>
  </si>
  <si>
    <t>prob of getting a trade*no of shares traded*profit</t>
  </si>
  <si>
    <t>Profit = Fair price - price of trade</t>
  </si>
  <si>
    <t>If I peg it at 100.05</t>
  </si>
  <si>
    <t>EV = 0.6*1000*0.05</t>
  </si>
  <si>
    <t>You are placing order of size 1000 at a particular price</t>
  </si>
  <si>
    <t>Step 1</t>
  </si>
  <si>
    <t>Step 2</t>
  </si>
  <si>
    <t>You need to add/modify your order depending upon fills and price changes</t>
  </si>
  <si>
    <t>Total shares to be BOUGHT</t>
  </si>
  <si>
    <t>A tick is fired at 100.2, how will I modify my order?</t>
  </si>
  <si>
    <t>3:00pm</t>
  </si>
  <si>
    <t>Think in term of Expected Value</t>
  </si>
  <si>
    <t>Case 1: No discretion range is used.</t>
  </si>
  <si>
    <t xml:space="preserve">EV for Case 1: </t>
  </si>
  <si>
    <t>EV = prob of getting traded * profit of trade</t>
  </si>
  <si>
    <t>With a discretion range of 10 cents</t>
  </si>
  <si>
    <t>Then your discretion range will be used, and your order will be modfied to 100.1, so that it gets executed!</t>
  </si>
  <si>
    <t>Case 2: Discretion range of 10 cents is used.</t>
  </si>
  <si>
    <t>=0.5 * 0.25</t>
  </si>
  <si>
    <t>=0.125</t>
  </si>
  <si>
    <t xml:space="preserve">EV for Case 2: </t>
  </si>
  <si>
    <t>=1 * 0.15</t>
  </si>
  <si>
    <t>=0.15</t>
  </si>
  <si>
    <t>Algorithm X to trade a very liquid stock with high urgency!!!!</t>
  </si>
  <si>
    <t>shares in a day</t>
  </si>
  <si>
    <t xml:space="preserve"> #of shares traded</t>
  </si>
  <si>
    <t>/min</t>
  </si>
  <si>
    <t>Step 1:</t>
  </si>
  <si>
    <t>I will check if a Discretion order has been fired or not?</t>
  </si>
  <si>
    <t>Step 2:</t>
  </si>
  <si>
    <t>Fire a pegged order</t>
  </si>
  <si>
    <t>10:05.01am</t>
  </si>
  <si>
    <t>If my stub calculation is that I will consider an order as a stub order only if 20% of the original is remaning!!</t>
  </si>
  <si>
    <t>Say, you get a partial fill of 900 shares at $100</t>
  </si>
  <si>
    <t>What will you do?</t>
  </si>
  <si>
    <t xml:space="preserve">3:00pm </t>
  </si>
  <si>
    <t>What is the criteria?</t>
  </si>
  <si>
    <t>TP*Vol traded</t>
  </si>
  <si>
    <t>You fire a Buy limit order at 100, with a discretion range of 10 cents</t>
  </si>
  <si>
    <t>0.5 is the prob of getting a trade at best bid</t>
  </si>
  <si>
    <t>profit= fair price - traded price</t>
  </si>
  <si>
    <t>Fair price is 100.25</t>
  </si>
  <si>
    <t>Given:</t>
  </si>
  <si>
    <t>(buy )</t>
  </si>
  <si>
    <t>profit = 100.25-100.1</t>
  </si>
  <si>
    <t>Because of pegging we will fire an order at 100.3</t>
  </si>
  <si>
    <t>Now the discretion range will come into play!</t>
  </si>
  <si>
    <t>Discretion order will be fired, which means we will modify our order at 100.3 to 100.5</t>
  </si>
  <si>
    <t>I will modify my buy order at 100.1 to 100.3 (10 cents better than the best bid)</t>
  </si>
  <si>
    <t>If a new  buy order comes at 100.2</t>
  </si>
  <si>
    <t>Guerilla bots</t>
  </si>
  <si>
    <t>Time</t>
  </si>
  <si>
    <t>Same side depth till level 2</t>
  </si>
  <si>
    <t>Example</t>
  </si>
  <si>
    <t>Client wants you to buy 10000 shares of AXISBANK in a day!!</t>
  </si>
  <si>
    <t>Given based on historical data</t>
  </si>
  <si>
    <t>I will use algorithm X to trade this order!!</t>
  </si>
  <si>
    <t>The efficiency of this algorithm is 15% of total market volume!!</t>
  </si>
  <si>
    <t>Based on my experience I know this</t>
  </si>
  <si>
    <t>if 500 shares get traded in a min, I will be able to trade 500*15% in a min!!</t>
  </si>
  <si>
    <t xml:space="preserve">=500*0.15 </t>
  </si>
  <si>
    <t>shares/min through my algo X</t>
  </si>
  <si>
    <t>X (algo)</t>
  </si>
  <si>
    <t>shares /min</t>
  </si>
  <si>
    <t>A sell order comes at 100.2</t>
  </si>
  <si>
    <t>I will fire a modify from 100.05 to 100.2</t>
  </si>
  <si>
    <t>Expected value of profit from my trade!!</t>
  </si>
  <si>
    <t>Say another order comes @100.1</t>
  </si>
  <si>
    <t>Our Bid is the best market bid now, discretion price is the price at which I fired my order (because of discretion range)</t>
  </si>
  <si>
    <t>Our Strategy</t>
  </si>
  <si>
    <t>Because the Best Bid has changed our strategy will now fire another order</t>
  </si>
  <si>
    <t>How can a Guerilla algo game you?</t>
  </si>
  <si>
    <t>2nd player order</t>
  </si>
  <si>
    <t>A sell order comes @100.3</t>
  </si>
  <si>
    <t>133.33*75 shares per minute = 10000 shares</t>
  </si>
  <si>
    <t>Order Router/Order Manager</t>
  </si>
  <si>
    <t>If there are atleast 5 levels in the order book</t>
  </si>
  <si>
    <t>If the Bid-ask spread is not greater than 1% of the best bid</t>
  </si>
  <si>
    <t>Say the client had asked us to trade 100,000 shares</t>
  </si>
  <si>
    <t>We are firing a pegged + discretion order for 1000 qty!!</t>
  </si>
  <si>
    <t>What can happen:</t>
  </si>
  <si>
    <t>I can get a partial fill!!!!</t>
  </si>
  <si>
    <t>Logic: If stub remains----&gt; Modify the order and replenish the QTY</t>
  </si>
  <si>
    <t>If stub doesn't remain---&gt; then do nothing</t>
  </si>
  <si>
    <t>, even if there is a sell order at 100.5!!</t>
  </si>
  <si>
    <t>Your code knows that it can modify the price till 100.1, if there is an ask at that price!!</t>
  </si>
  <si>
    <t>+D6*C6</t>
  </si>
  <si>
    <t>Given:Urgency of my client is HIGH</t>
  </si>
  <si>
    <t>Algo</t>
  </si>
  <si>
    <t>You got an average price of $925!!</t>
  </si>
  <si>
    <t>Your code knows that it can modify the price till 100.3, if there is an ask at that price!!</t>
  </si>
  <si>
    <t>Buy the shares @ avg of $925</t>
  </si>
  <si>
    <t>Shares to be traded</t>
  </si>
  <si>
    <t xml:space="preserve">Fair price </t>
  </si>
  <si>
    <t>A whipsaw logic:</t>
  </si>
  <si>
    <t>If Significant size (&gt;80%) ahead of you has moved say 2-3 ticks down, then you can lower your bid</t>
  </si>
  <si>
    <t>Another player who has pegged  his order at 5 cents above the best bid</t>
  </si>
  <si>
    <r>
      <t>b) </t>
    </r>
    <r>
      <rPr>
        <b/>
        <sz val="12"/>
        <color rgb="FF222222"/>
        <rFont val="Arial"/>
        <family val="2"/>
      </rPr>
      <t>Price Trend </t>
    </r>
    <r>
      <rPr>
        <sz val="12"/>
        <color rgb="FF222222"/>
        <rFont val="Arial"/>
        <family val="2"/>
      </rPr>
      <t>can</t>
    </r>
    <r>
      <rPr>
        <b/>
        <sz val="12"/>
        <color rgb="FF222222"/>
        <rFont val="Arial"/>
        <family val="2"/>
      </rPr>
      <t> </t>
    </r>
    <r>
      <rPr>
        <sz val="12"/>
        <color rgb="FF222222"/>
        <rFont val="Arial"/>
        <family val="2"/>
      </rPr>
      <t>also be used as a variable to determine the DR. If the price is trending 
then the DR can be higher because it's possible that the current price would increase 
in the near future. If the market is reverting then we can keep a smaller DR because then
 we have a higher probability of getting a trade at the current prices.</t>
    </r>
  </si>
  <si>
    <r>
      <t>c) </t>
    </r>
    <r>
      <rPr>
        <b/>
        <sz val="12"/>
        <color rgb="FF222222"/>
        <rFont val="Arial"/>
        <family val="2"/>
      </rPr>
      <t>Liquidity at the opposite side: </t>
    </r>
    <r>
      <rPr>
        <sz val="12"/>
        <color rgb="FF222222"/>
        <rFont val="Arial"/>
        <family val="2"/>
      </rPr>
      <t>If say we want to buy an asset and the liquidity at Ask side 
is quite low. In this case we can have a higher DR so that the probability of getting a trade
 is higher. </t>
    </r>
  </si>
  <si>
    <t>Is it a good buy or a bad buy?</t>
  </si>
  <si>
    <t>VWAP</t>
  </si>
  <si>
    <t>You fire an order at 100.05 for 1000 qty</t>
  </si>
  <si>
    <t>You fire an order at 100.25 for 1000qty</t>
  </si>
  <si>
    <t>You fire an order at 100.85 for 1000qty</t>
  </si>
  <si>
    <t>Guerilla algo: fire a Sell order for 100.85 with qty 1000 shares</t>
  </si>
  <si>
    <t xml:space="preserve">Guerilla will fire a sell for 1000 shares at 100.85 </t>
  </si>
  <si>
    <t>Guerilla algo: fire a Buy order for 100.5 with qty 1000 shares to sq off his position</t>
  </si>
  <si>
    <t>1 trader/order @100.1 with 200 qty</t>
  </si>
  <si>
    <t>5 traders/5 orders@100 with 100 qty each</t>
  </si>
  <si>
    <t>1 order will be assumed as a single trader!</t>
  </si>
  <si>
    <t>Whether I need to modify this order's qty to 1000 again!!</t>
  </si>
  <si>
    <t>Shares bought till now</t>
  </si>
  <si>
    <t>And, a 3rd party order comes in for 1000 shares at the best bid</t>
  </si>
  <si>
    <t>A simple pegging logic would make you fire an order at 100.45 if the best bid changes to 100.4 even with 1 qty</t>
  </si>
  <si>
    <t>I will Check if the order ahead of me has a sign size!!</t>
  </si>
  <si>
    <t>Pegging logic + Threshold and Sign Size</t>
  </si>
  <si>
    <t>I will check the order size of the order ahead of me---(if this is greater than 50% of my order size I will fire)</t>
  </si>
  <si>
    <t>100.3 - 99.95 &gt; 30 cents, therefore I will check for sig size ahead</t>
  </si>
  <si>
    <r>
      <t>a) The </t>
    </r>
    <r>
      <rPr>
        <b/>
        <sz val="12"/>
        <color rgb="FF222222"/>
        <rFont val="Arial"/>
        <family val="2"/>
      </rPr>
      <t>expected spread</t>
    </r>
    <r>
      <rPr>
        <sz val="12"/>
        <color rgb="FF222222"/>
        <rFont val="Arial"/>
        <family val="2"/>
      </rPr>
      <t> between the best Bid and the best Ask for the asset. Say the average 
spread for the contract is 50 cents. Then the DR can be set at say half the average spread (25cents). 
This would mean whenever we can trade at a spread of 25 cents we will fire our order.</t>
    </r>
  </si>
  <si>
    <t>Setting Discretion Range(DR):</t>
  </si>
  <si>
    <t>10:01am</t>
  </si>
  <si>
    <t>Buy order @100.1 for 100 qty</t>
  </si>
  <si>
    <t>10:01.0001am</t>
  </si>
  <si>
    <t>Buy order @100.1 for 500 qty</t>
  </si>
  <si>
    <t>then I will say order is alone</t>
  </si>
  <si>
    <t>10:01.0002am</t>
  </si>
  <si>
    <t>10:01.0005am</t>
  </si>
  <si>
    <t>10:01.0008am</t>
  </si>
  <si>
    <t>at this instant the order was alone</t>
  </si>
  <si>
    <t>FROM HERE ONWARDS THE ORDER IS NOT ALONE</t>
  </si>
  <si>
    <t>Now, another order comes at 100.2</t>
  </si>
  <si>
    <t>Now, another order comes at 100.3</t>
  </si>
  <si>
    <t>No. of shares traded at that price in the market</t>
  </si>
  <si>
    <t>10:15am</t>
  </si>
  <si>
    <t>and gets the avg price of $925</t>
  </si>
  <si>
    <t>If I find that a stub of my order remains, I add 900 qty at the same price level</t>
  </si>
  <si>
    <t>Assumption</t>
  </si>
  <si>
    <t>EV = 0.6*100*0.1 + 0.1*900*0.1</t>
  </si>
  <si>
    <t>Fair price (Assumed)</t>
  </si>
  <si>
    <t>EV</t>
  </si>
  <si>
    <t>1100 (100 shares of my order + 1000 shares of 3rd party)</t>
  </si>
  <si>
    <t>Case 3</t>
  </si>
  <si>
    <t>If I find that a stub of my order remains I send a new pegged order (at best bid + 1 tick) for 900 qty and don't cancel the 100 qty at $100</t>
  </si>
  <si>
    <t>EV = 100*0.6*0.1 + 900*0.6*0.05</t>
  </si>
  <si>
    <t>If I find that a stub of my order remains I send a new pegged order (at best bid + 1 tick) for 1000 qty</t>
  </si>
  <si>
    <t>Total Volume</t>
  </si>
  <si>
    <t>Cumm Price*Vol</t>
  </si>
  <si>
    <t>=D6*E6</t>
  </si>
  <si>
    <t>=SUM($F$6:F6)/SUM($D$6:D6)</t>
  </si>
  <si>
    <t>The check for discretion range would be: The price after using discretion range should not be above the FAIR Price</t>
  </si>
  <si>
    <t>Vol ratio (Efficieny of algo)</t>
  </si>
  <si>
    <t>4. The BUY order price should not be above the Fair Price</t>
  </si>
  <si>
    <t>The Fair Price in this example is say 100.3</t>
  </si>
  <si>
    <t>The prob of executing the first 1000 qty at whichever level is 0.6 and 0.1 for the next two thousand qty</t>
  </si>
  <si>
    <t>100+1000+900</t>
  </si>
  <si>
    <t>Qty at Level 1</t>
  </si>
  <si>
    <t>Priority</t>
  </si>
  <si>
    <t>100 shares</t>
  </si>
  <si>
    <t>Our orders</t>
  </si>
  <si>
    <t>1000 shares</t>
  </si>
  <si>
    <t>3rd party order</t>
  </si>
  <si>
    <t>900 shares</t>
  </si>
  <si>
    <t>the prob of 100 shares of our order and 900 shares of the 3rd party orders getting traded is 60%</t>
  </si>
  <si>
    <t>the prob of 100 shares of the 3rd party and 900 shares of our order getting traded is 10%</t>
  </si>
  <si>
    <t>Client calls you at 10:00am, and says he wants you to buy 30,000 shares of Microsoft at the best possbile price today!!!</t>
  </si>
  <si>
    <t>Objective: Buy 30,000 shares of Microsoft by 3:00pm</t>
  </si>
  <si>
    <t>The prob of executing at the best level is 0.6 for the first 1000 qty and 0.1 for the next thousand</t>
  </si>
  <si>
    <t>Your code knows that it can modify the price till 100.2, if there is a bid at that price!!</t>
  </si>
  <si>
    <t>A buy order comes @100.2</t>
  </si>
  <si>
    <t>Then your discretion range will be used, and your order will be modfied to 100.2, so that it gets executed!</t>
  </si>
  <si>
    <t>If a new  sell order comes at 100.3</t>
  </si>
  <si>
    <t>I will modify my sell order at 100.4 to 100.2 (10 cents better than the best ASK)</t>
  </si>
  <si>
    <t>I will use my discretion range to fire a SELL order at 100!!</t>
  </si>
  <si>
    <t>Because of pegging we will fire an order at 100</t>
  </si>
  <si>
    <t>EV of profit for 100 shares</t>
  </si>
  <si>
    <t>=0.6*0.1*100</t>
  </si>
  <si>
    <t>EV of profit for 900 shares</t>
  </si>
  <si>
    <t>Probability of 100 shares getting traded * profit * Qty</t>
  </si>
  <si>
    <t>Probability of 900 shares getting traded * profit * Qty</t>
  </si>
  <si>
    <t>=0.1*0.1*900</t>
  </si>
  <si>
    <t>If I find that a stub of my order remains, I add 900 qty at the same price level (at $100)</t>
  </si>
  <si>
    <t>100+1000</t>
  </si>
  <si>
    <t>$15</t>
  </si>
  <si>
    <t>Probability of trading the next 100 shares at Level 2 is 60%</t>
  </si>
  <si>
    <t>Probability of trading the next 1000 shares at Level 2 is 10%</t>
  </si>
  <si>
    <t>Probability of trading the next 1000 shares at Level 3 is 10%</t>
  </si>
  <si>
    <t>Probability of trading the first 900 shares at Level 1 is 60%</t>
  </si>
  <si>
    <t>Avg TRADE Price</t>
  </si>
  <si>
    <t>Total Qty traded in mkt</t>
  </si>
  <si>
    <t>Vol. Wt avg hourly Price</t>
  </si>
  <si>
    <t>Discretion order will be fired, which means we will modify our order at 100.2 to 100.0</t>
  </si>
  <si>
    <t>Theoretical Time Horizon</t>
  </si>
  <si>
    <t>And then I need to decide whether I have to modify my order or do nothing!!</t>
  </si>
  <si>
    <t>The BUY post only order @100.4 will get cancelled</t>
  </si>
  <si>
    <t>CASE 2</t>
  </si>
  <si>
    <t>Buy Post only order fired at 100.4 for 100 shares</t>
  </si>
  <si>
    <t xml:space="preserve">So the traders buys 6000 qty each hour </t>
  </si>
  <si>
    <t>I will peg my SELL limit order at Best Ask - 10 cents, with a discretion range of 20 cents</t>
  </si>
  <si>
    <t>If I find that a stub of my order remains I send a new pegged order (at best bid + 1 tick), and cancel the 100 qty at $100</t>
  </si>
  <si>
    <t>Efficiency (in terms of volume traded)</t>
  </si>
  <si>
    <t>Best Bid</t>
  </si>
  <si>
    <t>Order 1</t>
  </si>
  <si>
    <t>Order 2</t>
  </si>
  <si>
    <t>Order 3</t>
  </si>
  <si>
    <t>Order 4</t>
  </si>
  <si>
    <t>Level 1</t>
  </si>
  <si>
    <t>Best Ask</t>
  </si>
  <si>
    <t>Bid Price</t>
  </si>
  <si>
    <t>Ask Price</t>
  </si>
  <si>
    <t>t = 100 mics</t>
  </si>
  <si>
    <t>Fires a Sell order for 100 with a QTY of 200</t>
  </si>
  <si>
    <t>Ques</t>
  </si>
  <si>
    <t>What would be the price of the fills that he will get?</t>
  </si>
  <si>
    <t>Price</t>
  </si>
  <si>
    <t>Answer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</si>
</sst>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_);[Red]\(&quot;$&quot;#,##0\)"/>
    <numFmt numFmtId="165" formatCode="&quot;$&quot;#,##0.00_);[Red]\(&quot;$&quot;#,##0.00\)"/>
    <numFmt numFmtId="166" formatCode="_(* #,##0.00_);_(* \(#,##0.00\);_(* &quot;-&quot;??_);_(@_)"/>
    <numFmt numFmtId="167" formatCode="[$-F400]h:mm:ss\ AM/PM"/>
    <numFmt numFmtId="168" formatCode="_(* #,##0_);_(* \(#,##0\);_(* &quot;-&quot;??_);_(@_)"/>
    <numFmt numFmtId="169" formatCode="_-[$$-409]* #,##0_ ;_-[$$-409]* \-#,##0\ ;_-[$$-409]* &quot;-&quot;??_ ;_-@_ "/>
  </numFmts>
  <fonts count="5" x14ac:knownFonts="1">
    <font>
      <sz val="11"/>
      <color theme="1"/>
      <name val="Calibri"/>
      <family val="2"/>
      <scheme val="minor"/>
    </font>
    <font>
      <b/>
      <sz val="11"/>
      <color theme="1"/>
      <name val="Calibri"/>
      <family val="2"/>
      <scheme val="minor"/>
    </font>
    <font>
      <sz val="11"/>
      <color theme="1"/>
      <name val="Calibri"/>
      <family val="2"/>
      <scheme val="minor"/>
    </font>
    <font>
      <sz val="12"/>
      <color rgb="FF222222"/>
      <name val="Arial"/>
      <family val="2"/>
    </font>
    <font>
      <b/>
      <sz val="12"/>
      <color rgb="FF222222"/>
      <name val="Arial"/>
      <family val="2"/>
    </font>
  </fonts>
  <fills count="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6" tint="0.79998168889431442"/>
        <bgColor indexed="64"/>
      </patternFill>
    </fill>
    <fill>
      <patternFill patternType="solid">
        <fgColor theme="5" tint="0.79998168889431442"/>
        <bgColor indexed="64"/>
      </patternFill>
    </fill>
  </fills>
  <borders count="2">
    <border>
      <left/>
      <right/>
      <top/>
      <bottom/>
      <diagonal/>
    </border>
    <border>
      <left/>
      <right/>
      <top/>
      <bottom style="thin">
        <color indexed="64"/>
      </bottom>
      <diagonal/>
    </border>
  </borders>
  <cellStyleXfs count="2">
    <xf numFmtId="0" fontId="0" fillId="0" borderId="0"/>
    <xf numFmtId="166" fontId="2" fillId="0" borderId="0" applyFont="0" applyFill="0" applyBorder="0" applyAlignment="0" applyProtection="0"/>
  </cellStyleXfs>
  <cellXfs count="29">
    <xf numFmtId="0" fontId="0" fillId="0" borderId="0" xfId="0"/>
    <xf numFmtId="0" fontId="1" fillId="0" borderId="0" xfId="0" applyFont="1"/>
    <xf numFmtId="20" fontId="0" fillId="0" borderId="0" xfId="0" applyNumberFormat="1"/>
    <xf numFmtId="164" fontId="0" fillId="0" borderId="0" xfId="0" applyNumberFormat="1"/>
    <xf numFmtId="164" fontId="0" fillId="0" borderId="0" xfId="0" quotePrefix="1" applyNumberFormat="1"/>
    <xf numFmtId="0" fontId="0" fillId="0" borderId="0" xfId="0" quotePrefix="1"/>
    <xf numFmtId="165" fontId="0" fillId="0" borderId="0" xfId="0" applyNumberFormat="1"/>
    <xf numFmtId="9" fontId="0" fillId="0" borderId="0" xfId="0" applyNumberFormat="1"/>
    <xf numFmtId="0" fontId="0" fillId="2" borderId="0" xfId="0" applyFill="1"/>
    <xf numFmtId="0" fontId="1" fillId="0" borderId="0" xfId="0" quotePrefix="1" applyFont="1"/>
    <xf numFmtId="0" fontId="0" fillId="3" borderId="0" xfId="0" applyFill="1"/>
    <xf numFmtId="0" fontId="1" fillId="0" borderId="0" xfId="0" applyFont="1" applyAlignment="1">
      <alignment horizontal="right"/>
    </xf>
    <xf numFmtId="167" fontId="0" fillId="0" borderId="0" xfId="0" applyNumberFormat="1"/>
    <xf numFmtId="0" fontId="1" fillId="2" borderId="0" xfId="0" applyFont="1" applyFill="1"/>
    <xf numFmtId="0" fontId="0" fillId="2" borderId="0" xfId="0" quotePrefix="1" applyFill="1"/>
    <xf numFmtId="20" fontId="0" fillId="0" borderId="0" xfId="0" applyNumberFormat="1" applyAlignment="1">
      <alignment horizontal="left"/>
    </xf>
    <xf numFmtId="168" fontId="0" fillId="0" borderId="0" xfId="1" applyNumberFormat="1" applyFont="1"/>
    <xf numFmtId="0" fontId="0" fillId="0" borderId="1" xfId="0" applyBorder="1"/>
    <xf numFmtId="167" fontId="0" fillId="0" borderId="1" xfId="0" applyNumberFormat="1" applyBorder="1"/>
    <xf numFmtId="165" fontId="1" fillId="0" borderId="0" xfId="0" applyNumberFormat="1" applyFont="1"/>
    <xf numFmtId="168" fontId="1" fillId="0" borderId="0" xfId="1" applyNumberFormat="1" applyFont="1"/>
    <xf numFmtId="0" fontId="3" fillId="0" borderId="0" xfId="0" applyFont="1" applyAlignment="1">
      <alignment vertical="center" wrapText="1"/>
    </xf>
    <xf numFmtId="2" fontId="0" fillId="0" borderId="0" xfId="0" applyNumberFormat="1"/>
    <xf numFmtId="167" fontId="0" fillId="2" borderId="0" xfId="0" applyNumberFormat="1" applyFill="1"/>
    <xf numFmtId="0" fontId="1" fillId="4" borderId="0" xfId="0" applyFont="1" applyFill="1"/>
    <xf numFmtId="0" fontId="0" fillId="4" borderId="0" xfId="0" applyFill="1"/>
    <xf numFmtId="169" fontId="1" fillId="0" borderId="0" xfId="0" applyNumberFormat="1" applyFont="1"/>
    <xf numFmtId="0" fontId="1" fillId="5" borderId="0" xfId="0" applyFont="1" applyFill="1"/>
    <xf numFmtId="0" fontId="0" fillId="5" borderId="0" xfId="0" applyFill="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5.xml"/><Relationship Id="rId13" Type="http://schemas.openxmlformats.org/officeDocument/2006/relationships/worksheet" Target="worksheets/sheet10.xml"/><Relationship Id="rId18" Type="http://schemas.openxmlformats.org/officeDocument/2006/relationships/worksheet" Target="worksheets/sheet15.xml"/><Relationship Id="rId26" Type="http://schemas.openxmlformats.org/officeDocument/2006/relationships/calcChain" Target="calcChain.xml"/><Relationship Id="rId3" Type="http://schemas.openxmlformats.org/officeDocument/2006/relationships/worksheet" Target="worksheets/sheet2.xml"/><Relationship Id="rId21" Type="http://schemas.openxmlformats.org/officeDocument/2006/relationships/worksheet" Target="worksheets/sheet18.xml"/><Relationship Id="rId7" Type="http://schemas.openxmlformats.org/officeDocument/2006/relationships/worksheet" Target="worksheets/sheet4.xml"/><Relationship Id="rId12" Type="http://schemas.openxmlformats.org/officeDocument/2006/relationships/worksheet" Target="worksheets/sheet9.xml"/><Relationship Id="rId17" Type="http://schemas.openxmlformats.org/officeDocument/2006/relationships/worksheet" Target="worksheets/sheet14.xml"/><Relationship Id="rId25" Type="http://schemas.openxmlformats.org/officeDocument/2006/relationships/sharedStrings" Target="sharedStrings.xml"/><Relationship Id="rId2" Type="http://schemas.openxmlformats.org/officeDocument/2006/relationships/worksheet" Target="worksheets/sheet1.xml"/><Relationship Id="rId16" Type="http://schemas.openxmlformats.org/officeDocument/2006/relationships/worksheet" Target="worksheets/sheet13.xml"/><Relationship Id="rId20" Type="http://schemas.openxmlformats.org/officeDocument/2006/relationships/worksheet" Target="worksheets/sheet17.xml"/><Relationship Id="rId1" Type="http://schemas.openxmlformats.org/officeDocument/2006/relationships/chartsheet" Target="chartsheets/sheet1.xml"/><Relationship Id="rId6" Type="http://schemas.openxmlformats.org/officeDocument/2006/relationships/chartsheet" Target="chartsheets/sheet3.xml"/><Relationship Id="rId11" Type="http://schemas.openxmlformats.org/officeDocument/2006/relationships/worksheet" Target="worksheets/sheet8.xml"/><Relationship Id="rId24" Type="http://schemas.openxmlformats.org/officeDocument/2006/relationships/styles" Target="styles.xml"/><Relationship Id="rId5" Type="http://schemas.openxmlformats.org/officeDocument/2006/relationships/chartsheet" Target="chartsheets/sheet2.xml"/><Relationship Id="rId15" Type="http://schemas.openxmlformats.org/officeDocument/2006/relationships/worksheet" Target="worksheets/sheet12.xml"/><Relationship Id="rId23" Type="http://schemas.openxmlformats.org/officeDocument/2006/relationships/theme" Target="theme/theme1.xml"/><Relationship Id="rId10" Type="http://schemas.openxmlformats.org/officeDocument/2006/relationships/worksheet" Target="worksheets/sheet7.xml"/><Relationship Id="rId19" Type="http://schemas.openxmlformats.org/officeDocument/2006/relationships/worksheet" Target="worksheets/sheet16.xml"/><Relationship Id="rId4" Type="http://schemas.openxmlformats.org/officeDocument/2006/relationships/worksheet" Target="worksheets/sheet3.xml"/><Relationship Id="rId9" Type="http://schemas.openxmlformats.org/officeDocument/2006/relationships/worksheet" Target="worksheets/sheet6.xml"/><Relationship Id="rId14" Type="http://schemas.openxmlformats.org/officeDocument/2006/relationships/worksheet" Target="worksheets/sheet11.xml"/><Relationship Id="rId22" Type="http://schemas.openxmlformats.org/officeDocument/2006/relationships/worksheet" Target="worksheets/sheet19.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Gain_Prob!$B$13:$B$17</c:f>
              <c:numCache>
                <c:formatCode>General</c:formatCode>
                <c:ptCount val="5"/>
                <c:pt idx="0">
                  <c:v>0.25</c:v>
                </c:pt>
                <c:pt idx="1">
                  <c:v>0.75</c:v>
                </c:pt>
                <c:pt idx="2">
                  <c:v>1.25</c:v>
                </c:pt>
                <c:pt idx="3">
                  <c:v>2</c:v>
                </c:pt>
                <c:pt idx="4">
                  <c:v>2.25</c:v>
                </c:pt>
              </c:numCache>
            </c:numRef>
          </c:xVal>
          <c:yVal>
            <c:numRef>
              <c:f>Gain_Prob!$C$13:$C$17</c:f>
              <c:numCache>
                <c:formatCode>0.00</c:formatCode>
                <c:ptCount val="5"/>
                <c:pt idx="0">
                  <c:v>0.51110862262038104</c:v>
                </c:pt>
                <c:pt idx="1">
                  <c:v>0.25036954087345997</c:v>
                </c:pt>
                <c:pt idx="2">
                  <c:v>0.11422172452407615</c:v>
                </c:pt>
                <c:pt idx="3">
                  <c:v>6.7189249720044794E-2</c:v>
                </c:pt>
                <c:pt idx="4">
                  <c:v>5.7110862262038077E-2</c:v>
                </c:pt>
              </c:numCache>
            </c:numRef>
          </c:yVal>
          <c:smooth val="1"/>
          <c:extLst>
            <c:ext xmlns:c16="http://schemas.microsoft.com/office/drawing/2014/chart" uri="{C3380CC4-5D6E-409C-BE32-E72D297353CC}">
              <c16:uniqueId val="{00000000-2DEA-47CE-92FC-C30E59D5025E}"/>
            </c:ext>
          </c:extLst>
        </c:ser>
        <c:dLbls>
          <c:showLegendKey val="0"/>
          <c:showVal val="0"/>
          <c:showCatName val="0"/>
          <c:showSerName val="0"/>
          <c:showPercent val="0"/>
          <c:showBubbleSize val="0"/>
        </c:dLbls>
        <c:axId val="205751808"/>
        <c:axId val="205753728"/>
      </c:scatterChart>
      <c:valAx>
        <c:axId val="205751808"/>
        <c:scaling>
          <c:orientation val="minMax"/>
        </c:scaling>
        <c:delete val="0"/>
        <c:axPos val="b"/>
        <c:majorGridlines/>
        <c:title>
          <c:tx>
            <c:rich>
              <a:bodyPr/>
              <a:lstStyle/>
              <a:p>
                <a:pPr>
                  <a:defRPr/>
                </a:pPr>
                <a:r>
                  <a:rPr lang="en-US"/>
                  <a:t>Gains</a:t>
                </a:r>
              </a:p>
            </c:rich>
          </c:tx>
          <c:overlay val="0"/>
        </c:title>
        <c:numFmt formatCode="General" sourceLinked="1"/>
        <c:majorTickMark val="out"/>
        <c:minorTickMark val="none"/>
        <c:tickLblPos val="nextTo"/>
        <c:crossAx val="205753728"/>
        <c:crosses val="autoZero"/>
        <c:crossBetween val="midCat"/>
      </c:valAx>
      <c:valAx>
        <c:axId val="205753728"/>
        <c:scaling>
          <c:orientation val="minMax"/>
        </c:scaling>
        <c:delete val="0"/>
        <c:axPos val="l"/>
        <c:title>
          <c:tx>
            <c:rich>
              <a:bodyPr/>
              <a:lstStyle/>
              <a:p>
                <a:pPr>
                  <a:defRPr/>
                </a:pPr>
                <a:r>
                  <a:rPr lang="en-US"/>
                  <a:t>Probability</a:t>
                </a:r>
              </a:p>
            </c:rich>
          </c:tx>
          <c:overlay val="0"/>
        </c:title>
        <c:numFmt formatCode="0.00" sourceLinked="1"/>
        <c:majorTickMark val="out"/>
        <c:minorTickMark val="none"/>
        <c:tickLblPos val="nextTo"/>
        <c:crossAx val="205751808"/>
        <c:crosses val="autoZero"/>
        <c:crossBetween val="midCat"/>
      </c:valAx>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Bid</c:v>
          </c:tx>
          <c:marker>
            <c:symbol val="none"/>
          </c:marker>
          <c:cat>
            <c:numRef>
              <c:f>Microsoft_eg!$A$6:$A$26</c:f>
              <c:numCache>
                <c:formatCode>[$-F400]h:mm:ss\ AM/PM</c:formatCode>
                <c:ptCount val="21"/>
                <c:pt idx="0">
                  <c:v>0.41666666666666669</c:v>
                </c:pt>
                <c:pt idx="1">
                  <c:v>0.42708333333333337</c:v>
                </c:pt>
                <c:pt idx="2">
                  <c:v>0.43750000000000006</c:v>
                </c:pt>
                <c:pt idx="3">
                  <c:v>0.44791666666666674</c:v>
                </c:pt>
                <c:pt idx="4">
                  <c:v>0.45833333333333343</c:v>
                </c:pt>
                <c:pt idx="5">
                  <c:v>0.46875000000000011</c:v>
                </c:pt>
                <c:pt idx="6">
                  <c:v>0.4791666666666668</c:v>
                </c:pt>
                <c:pt idx="7">
                  <c:v>0.48958333333333348</c:v>
                </c:pt>
                <c:pt idx="8">
                  <c:v>0.50000000000000011</c:v>
                </c:pt>
                <c:pt idx="9">
                  <c:v>0.51041666666666674</c:v>
                </c:pt>
                <c:pt idx="10">
                  <c:v>0.52083333333333337</c:v>
                </c:pt>
                <c:pt idx="11">
                  <c:v>0.53125</c:v>
                </c:pt>
                <c:pt idx="12">
                  <c:v>0.54166666666666663</c:v>
                </c:pt>
                <c:pt idx="13">
                  <c:v>0.55208333333333326</c:v>
                </c:pt>
                <c:pt idx="14">
                  <c:v>0.56249999999999989</c:v>
                </c:pt>
                <c:pt idx="15">
                  <c:v>0.57291666666666652</c:v>
                </c:pt>
                <c:pt idx="16">
                  <c:v>0.58333333333333315</c:v>
                </c:pt>
                <c:pt idx="17">
                  <c:v>0.59374999999999978</c:v>
                </c:pt>
                <c:pt idx="18">
                  <c:v>0.60416666666666641</c:v>
                </c:pt>
                <c:pt idx="19">
                  <c:v>0.61458333333333304</c:v>
                </c:pt>
                <c:pt idx="20">
                  <c:v>0.62499999999999967</c:v>
                </c:pt>
              </c:numCache>
            </c:numRef>
          </c:cat>
          <c:val>
            <c:numRef>
              <c:f>Microsoft_eg!$B$6:$B$26</c:f>
              <c:numCache>
                <c:formatCode>General</c:formatCode>
                <c:ptCount val="21"/>
                <c:pt idx="0">
                  <c:v>920</c:v>
                </c:pt>
                <c:pt idx="1">
                  <c:v>920.4</c:v>
                </c:pt>
                <c:pt idx="2">
                  <c:v>921.2</c:v>
                </c:pt>
                <c:pt idx="3">
                  <c:v>920</c:v>
                </c:pt>
                <c:pt idx="4">
                  <c:v>922.8</c:v>
                </c:pt>
                <c:pt idx="5">
                  <c:v>923.4</c:v>
                </c:pt>
                <c:pt idx="6">
                  <c:v>924</c:v>
                </c:pt>
                <c:pt idx="7">
                  <c:v>924.8</c:v>
                </c:pt>
                <c:pt idx="8">
                  <c:v>923.2</c:v>
                </c:pt>
                <c:pt idx="9">
                  <c:v>924.2</c:v>
                </c:pt>
                <c:pt idx="10">
                  <c:v>925</c:v>
                </c:pt>
                <c:pt idx="11">
                  <c:v>926.7</c:v>
                </c:pt>
                <c:pt idx="12">
                  <c:v>928.2</c:v>
                </c:pt>
                <c:pt idx="13">
                  <c:v>927</c:v>
                </c:pt>
                <c:pt idx="14">
                  <c:v>926.5</c:v>
                </c:pt>
                <c:pt idx="15">
                  <c:v>926</c:v>
                </c:pt>
                <c:pt idx="16">
                  <c:v>927.5</c:v>
                </c:pt>
                <c:pt idx="17">
                  <c:v>929</c:v>
                </c:pt>
                <c:pt idx="18">
                  <c:v>930.2</c:v>
                </c:pt>
                <c:pt idx="19">
                  <c:v>931.1</c:v>
                </c:pt>
                <c:pt idx="20">
                  <c:v>930.5</c:v>
                </c:pt>
              </c:numCache>
            </c:numRef>
          </c:val>
          <c:smooth val="0"/>
          <c:extLst>
            <c:ext xmlns:c16="http://schemas.microsoft.com/office/drawing/2014/chart" uri="{C3380CC4-5D6E-409C-BE32-E72D297353CC}">
              <c16:uniqueId val="{00000000-0DC3-4686-A5E9-7DBAEA15217A}"/>
            </c:ext>
          </c:extLst>
        </c:ser>
        <c:ser>
          <c:idx val="1"/>
          <c:order val="1"/>
          <c:tx>
            <c:v>Ask</c:v>
          </c:tx>
          <c:marker>
            <c:symbol val="none"/>
          </c:marker>
          <c:cat>
            <c:numRef>
              <c:f>Microsoft_eg!$A$6:$A$26</c:f>
              <c:numCache>
                <c:formatCode>[$-F400]h:mm:ss\ AM/PM</c:formatCode>
                <c:ptCount val="21"/>
                <c:pt idx="0">
                  <c:v>0.41666666666666669</c:v>
                </c:pt>
                <c:pt idx="1">
                  <c:v>0.42708333333333337</c:v>
                </c:pt>
                <c:pt idx="2">
                  <c:v>0.43750000000000006</c:v>
                </c:pt>
                <c:pt idx="3">
                  <c:v>0.44791666666666674</c:v>
                </c:pt>
                <c:pt idx="4">
                  <c:v>0.45833333333333343</c:v>
                </c:pt>
                <c:pt idx="5">
                  <c:v>0.46875000000000011</c:v>
                </c:pt>
                <c:pt idx="6">
                  <c:v>0.4791666666666668</c:v>
                </c:pt>
                <c:pt idx="7">
                  <c:v>0.48958333333333348</c:v>
                </c:pt>
                <c:pt idx="8">
                  <c:v>0.50000000000000011</c:v>
                </c:pt>
                <c:pt idx="9">
                  <c:v>0.51041666666666674</c:v>
                </c:pt>
                <c:pt idx="10">
                  <c:v>0.52083333333333337</c:v>
                </c:pt>
                <c:pt idx="11">
                  <c:v>0.53125</c:v>
                </c:pt>
                <c:pt idx="12">
                  <c:v>0.54166666666666663</c:v>
                </c:pt>
                <c:pt idx="13">
                  <c:v>0.55208333333333326</c:v>
                </c:pt>
                <c:pt idx="14">
                  <c:v>0.56249999999999989</c:v>
                </c:pt>
                <c:pt idx="15">
                  <c:v>0.57291666666666652</c:v>
                </c:pt>
                <c:pt idx="16">
                  <c:v>0.58333333333333315</c:v>
                </c:pt>
                <c:pt idx="17">
                  <c:v>0.59374999999999978</c:v>
                </c:pt>
                <c:pt idx="18">
                  <c:v>0.60416666666666641</c:v>
                </c:pt>
                <c:pt idx="19">
                  <c:v>0.61458333333333304</c:v>
                </c:pt>
                <c:pt idx="20">
                  <c:v>0.62499999999999967</c:v>
                </c:pt>
              </c:numCache>
            </c:numRef>
          </c:cat>
          <c:val>
            <c:numRef>
              <c:f>Microsoft_eg!$C$6:$C$26</c:f>
              <c:numCache>
                <c:formatCode>General</c:formatCode>
                <c:ptCount val="21"/>
                <c:pt idx="0">
                  <c:v>921.3</c:v>
                </c:pt>
                <c:pt idx="1">
                  <c:v>921.5</c:v>
                </c:pt>
                <c:pt idx="2">
                  <c:v>922.3</c:v>
                </c:pt>
                <c:pt idx="3">
                  <c:v>921</c:v>
                </c:pt>
                <c:pt idx="4">
                  <c:v>923.5</c:v>
                </c:pt>
                <c:pt idx="5">
                  <c:v>924.7</c:v>
                </c:pt>
                <c:pt idx="6">
                  <c:v>924.7</c:v>
                </c:pt>
                <c:pt idx="7">
                  <c:v>925.5</c:v>
                </c:pt>
                <c:pt idx="8">
                  <c:v>923.6</c:v>
                </c:pt>
                <c:pt idx="9">
                  <c:v>924.5</c:v>
                </c:pt>
                <c:pt idx="10">
                  <c:v>925.5</c:v>
                </c:pt>
                <c:pt idx="11">
                  <c:v>927</c:v>
                </c:pt>
                <c:pt idx="12">
                  <c:v>928.9</c:v>
                </c:pt>
                <c:pt idx="13">
                  <c:v>927.1</c:v>
                </c:pt>
                <c:pt idx="14">
                  <c:v>927</c:v>
                </c:pt>
                <c:pt idx="15">
                  <c:v>926.7</c:v>
                </c:pt>
                <c:pt idx="16">
                  <c:v>928</c:v>
                </c:pt>
                <c:pt idx="17">
                  <c:v>929.2</c:v>
                </c:pt>
                <c:pt idx="18">
                  <c:v>930.5</c:v>
                </c:pt>
                <c:pt idx="19">
                  <c:v>931.5</c:v>
                </c:pt>
                <c:pt idx="20">
                  <c:v>930.8</c:v>
                </c:pt>
              </c:numCache>
            </c:numRef>
          </c:val>
          <c:smooth val="0"/>
          <c:extLst>
            <c:ext xmlns:c16="http://schemas.microsoft.com/office/drawing/2014/chart" uri="{C3380CC4-5D6E-409C-BE32-E72D297353CC}">
              <c16:uniqueId val="{00000001-0DC3-4686-A5E9-7DBAEA15217A}"/>
            </c:ext>
          </c:extLst>
        </c:ser>
        <c:ser>
          <c:idx val="2"/>
          <c:order val="2"/>
          <c:tx>
            <c:v>VWAP</c:v>
          </c:tx>
          <c:marker>
            <c:symbol val="none"/>
          </c:marker>
          <c:val>
            <c:numRef>
              <c:f>Microsoft_eg!$G$6:$G$26</c:f>
              <c:numCache>
                <c:formatCode>General</c:formatCode>
                <c:ptCount val="21"/>
                <c:pt idx="0">
                  <c:v>920.65</c:v>
                </c:pt>
                <c:pt idx="1">
                  <c:v>920.875</c:v>
                </c:pt>
                <c:pt idx="2">
                  <c:v>921.11363636363637</c:v>
                </c:pt>
                <c:pt idx="3">
                  <c:v>920.95</c:v>
                </c:pt>
                <c:pt idx="4">
                  <c:v>922.20714285714291</c:v>
                </c:pt>
                <c:pt idx="5">
                  <c:v>923.37105263157889</c:v>
                </c:pt>
                <c:pt idx="6">
                  <c:v>923.3912371134021</c:v>
                </c:pt>
                <c:pt idx="7">
                  <c:v>923.98945578231292</c:v>
                </c:pt>
                <c:pt idx="8">
                  <c:v>923.97384105960271</c:v>
                </c:pt>
                <c:pt idx="9">
                  <c:v>923.99005069708494</c:v>
                </c:pt>
                <c:pt idx="10">
                  <c:v>924.33714416896237</c:v>
                </c:pt>
                <c:pt idx="11">
                  <c:v>926.40058301855811</c:v>
                </c:pt>
                <c:pt idx="12">
                  <c:v>927.73653738579151</c:v>
                </c:pt>
                <c:pt idx="13">
                  <c:v>927.6963631575868</c:v>
                </c:pt>
                <c:pt idx="14">
                  <c:v>927.62946054706617</c:v>
                </c:pt>
                <c:pt idx="15">
                  <c:v>926.83622620843585</c:v>
                </c:pt>
                <c:pt idx="16">
                  <c:v>926.8895707252525</c:v>
                </c:pt>
                <c:pt idx="17">
                  <c:v>926.89171931802719</c:v>
                </c:pt>
                <c:pt idx="18">
                  <c:v>927.45459968423961</c:v>
                </c:pt>
                <c:pt idx="19">
                  <c:v>927.47328511961643</c:v>
                </c:pt>
                <c:pt idx="20">
                  <c:v>927.47431386518565</c:v>
                </c:pt>
              </c:numCache>
            </c:numRef>
          </c:val>
          <c:smooth val="0"/>
          <c:extLst>
            <c:ext xmlns:c16="http://schemas.microsoft.com/office/drawing/2014/chart" uri="{C3380CC4-5D6E-409C-BE32-E72D297353CC}">
              <c16:uniqueId val="{00000002-0DC3-4686-A5E9-7DBAEA15217A}"/>
            </c:ext>
          </c:extLst>
        </c:ser>
        <c:dLbls>
          <c:showLegendKey val="0"/>
          <c:showVal val="0"/>
          <c:showCatName val="0"/>
          <c:showSerName val="0"/>
          <c:showPercent val="0"/>
          <c:showBubbleSize val="0"/>
        </c:dLbls>
        <c:smooth val="0"/>
        <c:axId val="212890368"/>
        <c:axId val="212891904"/>
      </c:lineChart>
      <c:catAx>
        <c:axId val="212890368"/>
        <c:scaling>
          <c:orientation val="minMax"/>
        </c:scaling>
        <c:delete val="0"/>
        <c:axPos val="b"/>
        <c:numFmt formatCode="[$-F400]h:mm:ss\ AM/PM" sourceLinked="1"/>
        <c:majorTickMark val="out"/>
        <c:minorTickMark val="none"/>
        <c:tickLblPos val="nextTo"/>
        <c:crossAx val="212891904"/>
        <c:crosses val="autoZero"/>
        <c:auto val="1"/>
        <c:lblAlgn val="ctr"/>
        <c:lblOffset val="100"/>
        <c:noMultiLvlLbl val="0"/>
      </c:catAx>
      <c:valAx>
        <c:axId val="212891904"/>
        <c:scaling>
          <c:orientation val="minMax"/>
          <c:max val="935"/>
          <c:min val="920"/>
        </c:scaling>
        <c:delete val="0"/>
        <c:axPos val="l"/>
        <c:majorGridlines/>
        <c:numFmt formatCode="General" sourceLinked="1"/>
        <c:majorTickMark val="out"/>
        <c:minorTickMark val="none"/>
        <c:tickLblPos val="nextTo"/>
        <c:crossAx val="212890368"/>
        <c:crosses val="autoZero"/>
        <c:crossBetween val="between"/>
        <c:majorUnit val="2"/>
        <c:minorUnit val="1"/>
      </c:valAx>
    </c:plotArea>
    <c:legend>
      <c:legendPos val="r"/>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Bid</c:v>
          </c:tx>
          <c:marker>
            <c:symbol val="none"/>
          </c:marker>
          <c:cat>
            <c:numRef>
              <c:f>Microsoft_eg!$A$6:$A$26</c:f>
              <c:numCache>
                <c:formatCode>[$-F400]h:mm:ss\ AM/PM</c:formatCode>
                <c:ptCount val="21"/>
                <c:pt idx="0">
                  <c:v>0.41666666666666669</c:v>
                </c:pt>
                <c:pt idx="1">
                  <c:v>0.42708333333333337</c:v>
                </c:pt>
                <c:pt idx="2">
                  <c:v>0.43750000000000006</c:v>
                </c:pt>
                <c:pt idx="3">
                  <c:v>0.44791666666666674</c:v>
                </c:pt>
                <c:pt idx="4">
                  <c:v>0.45833333333333343</c:v>
                </c:pt>
                <c:pt idx="5">
                  <c:v>0.46875000000000011</c:v>
                </c:pt>
                <c:pt idx="6">
                  <c:v>0.4791666666666668</c:v>
                </c:pt>
                <c:pt idx="7">
                  <c:v>0.48958333333333348</c:v>
                </c:pt>
                <c:pt idx="8">
                  <c:v>0.50000000000000011</c:v>
                </c:pt>
                <c:pt idx="9">
                  <c:v>0.51041666666666674</c:v>
                </c:pt>
                <c:pt idx="10">
                  <c:v>0.52083333333333337</c:v>
                </c:pt>
                <c:pt idx="11">
                  <c:v>0.53125</c:v>
                </c:pt>
                <c:pt idx="12">
                  <c:v>0.54166666666666663</c:v>
                </c:pt>
                <c:pt idx="13">
                  <c:v>0.55208333333333326</c:v>
                </c:pt>
                <c:pt idx="14">
                  <c:v>0.56249999999999989</c:v>
                </c:pt>
                <c:pt idx="15">
                  <c:v>0.57291666666666652</c:v>
                </c:pt>
                <c:pt idx="16">
                  <c:v>0.58333333333333315</c:v>
                </c:pt>
                <c:pt idx="17">
                  <c:v>0.59374999999999978</c:v>
                </c:pt>
                <c:pt idx="18">
                  <c:v>0.60416666666666641</c:v>
                </c:pt>
                <c:pt idx="19">
                  <c:v>0.61458333333333304</c:v>
                </c:pt>
                <c:pt idx="20">
                  <c:v>0.62499999999999967</c:v>
                </c:pt>
              </c:numCache>
            </c:numRef>
          </c:cat>
          <c:val>
            <c:numRef>
              <c:f>Microsoft_eg!$B$6:$B$26</c:f>
              <c:numCache>
                <c:formatCode>General</c:formatCode>
                <c:ptCount val="21"/>
                <c:pt idx="0">
                  <c:v>920</c:v>
                </c:pt>
                <c:pt idx="1">
                  <c:v>920.4</c:v>
                </c:pt>
                <c:pt idx="2">
                  <c:v>921.2</c:v>
                </c:pt>
                <c:pt idx="3">
                  <c:v>920</c:v>
                </c:pt>
                <c:pt idx="4">
                  <c:v>922.8</c:v>
                </c:pt>
                <c:pt idx="5">
                  <c:v>923.4</c:v>
                </c:pt>
                <c:pt idx="6">
                  <c:v>924</c:v>
                </c:pt>
                <c:pt idx="7">
                  <c:v>924.8</c:v>
                </c:pt>
                <c:pt idx="8">
                  <c:v>923.2</c:v>
                </c:pt>
                <c:pt idx="9">
                  <c:v>924.2</c:v>
                </c:pt>
                <c:pt idx="10">
                  <c:v>925</c:v>
                </c:pt>
                <c:pt idx="11">
                  <c:v>926.7</c:v>
                </c:pt>
                <c:pt idx="12">
                  <c:v>928.2</c:v>
                </c:pt>
                <c:pt idx="13">
                  <c:v>927</c:v>
                </c:pt>
                <c:pt idx="14">
                  <c:v>926.5</c:v>
                </c:pt>
                <c:pt idx="15">
                  <c:v>926</c:v>
                </c:pt>
                <c:pt idx="16">
                  <c:v>927.5</c:v>
                </c:pt>
                <c:pt idx="17">
                  <c:v>929</c:v>
                </c:pt>
                <c:pt idx="18">
                  <c:v>930.2</c:v>
                </c:pt>
                <c:pt idx="19">
                  <c:v>931.1</c:v>
                </c:pt>
                <c:pt idx="20">
                  <c:v>930.5</c:v>
                </c:pt>
              </c:numCache>
            </c:numRef>
          </c:val>
          <c:smooth val="0"/>
          <c:extLst>
            <c:ext xmlns:c16="http://schemas.microsoft.com/office/drawing/2014/chart" uri="{C3380CC4-5D6E-409C-BE32-E72D297353CC}">
              <c16:uniqueId val="{00000000-4E7A-4DBB-B660-7578B6E48A8A}"/>
            </c:ext>
          </c:extLst>
        </c:ser>
        <c:ser>
          <c:idx val="1"/>
          <c:order val="1"/>
          <c:tx>
            <c:v>Ask</c:v>
          </c:tx>
          <c:marker>
            <c:symbol val="none"/>
          </c:marker>
          <c:cat>
            <c:numRef>
              <c:f>Microsoft_eg!$A$6:$A$26</c:f>
              <c:numCache>
                <c:formatCode>[$-F400]h:mm:ss\ AM/PM</c:formatCode>
                <c:ptCount val="21"/>
                <c:pt idx="0">
                  <c:v>0.41666666666666669</c:v>
                </c:pt>
                <c:pt idx="1">
                  <c:v>0.42708333333333337</c:v>
                </c:pt>
                <c:pt idx="2">
                  <c:v>0.43750000000000006</c:v>
                </c:pt>
                <c:pt idx="3">
                  <c:v>0.44791666666666674</c:v>
                </c:pt>
                <c:pt idx="4">
                  <c:v>0.45833333333333343</c:v>
                </c:pt>
                <c:pt idx="5">
                  <c:v>0.46875000000000011</c:v>
                </c:pt>
                <c:pt idx="6">
                  <c:v>0.4791666666666668</c:v>
                </c:pt>
                <c:pt idx="7">
                  <c:v>0.48958333333333348</c:v>
                </c:pt>
                <c:pt idx="8">
                  <c:v>0.50000000000000011</c:v>
                </c:pt>
                <c:pt idx="9">
                  <c:v>0.51041666666666674</c:v>
                </c:pt>
                <c:pt idx="10">
                  <c:v>0.52083333333333337</c:v>
                </c:pt>
                <c:pt idx="11">
                  <c:v>0.53125</c:v>
                </c:pt>
                <c:pt idx="12">
                  <c:v>0.54166666666666663</c:v>
                </c:pt>
                <c:pt idx="13">
                  <c:v>0.55208333333333326</c:v>
                </c:pt>
                <c:pt idx="14">
                  <c:v>0.56249999999999989</c:v>
                </c:pt>
                <c:pt idx="15">
                  <c:v>0.57291666666666652</c:v>
                </c:pt>
                <c:pt idx="16">
                  <c:v>0.58333333333333315</c:v>
                </c:pt>
                <c:pt idx="17">
                  <c:v>0.59374999999999978</c:v>
                </c:pt>
                <c:pt idx="18">
                  <c:v>0.60416666666666641</c:v>
                </c:pt>
                <c:pt idx="19">
                  <c:v>0.61458333333333304</c:v>
                </c:pt>
                <c:pt idx="20">
                  <c:v>0.62499999999999967</c:v>
                </c:pt>
              </c:numCache>
            </c:numRef>
          </c:cat>
          <c:val>
            <c:numRef>
              <c:f>Microsoft_eg!$C$6:$C$26</c:f>
              <c:numCache>
                <c:formatCode>General</c:formatCode>
                <c:ptCount val="21"/>
                <c:pt idx="0">
                  <c:v>921.3</c:v>
                </c:pt>
                <c:pt idx="1">
                  <c:v>921.5</c:v>
                </c:pt>
                <c:pt idx="2">
                  <c:v>922.3</c:v>
                </c:pt>
                <c:pt idx="3">
                  <c:v>921</c:v>
                </c:pt>
                <c:pt idx="4">
                  <c:v>923.5</c:v>
                </c:pt>
                <c:pt idx="5">
                  <c:v>924.7</c:v>
                </c:pt>
                <c:pt idx="6">
                  <c:v>924.7</c:v>
                </c:pt>
                <c:pt idx="7">
                  <c:v>925.5</c:v>
                </c:pt>
                <c:pt idx="8">
                  <c:v>923.6</c:v>
                </c:pt>
                <c:pt idx="9">
                  <c:v>924.5</c:v>
                </c:pt>
                <c:pt idx="10">
                  <c:v>925.5</c:v>
                </c:pt>
                <c:pt idx="11">
                  <c:v>927</c:v>
                </c:pt>
                <c:pt idx="12">
                  <c:v>928.9</c:v>
                </c:pt>
                <c:pt idx="13">
                  <c:v>927.1</c:v>
                </c:pt>
                <c:pt idx="14">
                  <c:v>927</c:v>
                </c:pt>
                <c:pt idx="15">
                  <c:v>926.7</c:v>
                </c:pt>
                <c:pt idx="16">
                  <c:v>928</c:v>
                </c:pt>
                <c:pt idx="17">
                  <c:v>929.2</c:v>
                </c:pt>
                <c:pt idx="18">
                  <c:v>930.5</c:v>
                </c:pt>
                <c:pt idx="19">
                  <c:v>931.5</c:v>
                </c:pt>
                <c:pt idx="20">
                  <c:v>930.8</c:v>
                </c:pt>
              </c:numCache>
            </c:numRef>
          </c:val>
          <c:smooth val="0"/>
          <c:extLst>
            <c:ext xmlns:c16="http://schemas.microsoft.com/office/drawing/2014/chart" uri="{C3380CC4-5D6E-409C-BE32-E72D297353CC}">
              <c16:uniqueId val="{00000001-4E7A-4DBB-B660-7578B6E48A8A}"/>
            </c:ext>
          </c:extLst>
        </c:ser>
        <c:dLbls>
          <c:showLegendKey val="0"/>
          <c:showVal val="0"/>
          <c:showCatName val="0"/>
          <c:showSerName val="0"/>
          <c:showPercent val="0"/>
          <c:showBubbleSize val="0"/>
        </c:dLbls>
        <c:smooth val="0"/>
        <c:axId val="212941824"/>
        <c:axId val="212943616"/>
      </c:lineChart>
      <c:catAx>
        <c:axId val="212941824"/>
        <c:scaling>
          <c:orientation val="minMax"/>
        </c:scaling>
        <c:delete val="0"/>
        <c:axPos val="b"/>
        <c:numFmt formatCode="[$-F400]h:mm:ss\ AM/PM" sourceLinked="1"/>
        <c:majorTickMark val="out"/>
        <c:minorTickMark val="none"/>
        <c:tickLblPos val="nextTo"/>
        <c:crossAx val="212943616"/>
        <c:crosses val="autoZero"/>
        <c:auto val="1"/>
        <c:lblAlgn val="ctr"/>
        <c:lblOffset val="100"/>
        <c:noMultiLvlLbl val="0"/>
      </c:catAx>
      <c:valAx>
        <c:axId val="212943616"/>
        <c:scaling>
          <c:orientation val="minMax"/>
          <c:max val="935"/>
          <c:min val="920"/>
        </c:scaling>
        <c:delete val="0"/>
        <c:axPos val="l"/>
        <c:majorGridlines/>
        <c:numFmt formatCode="General" sourceLinked="1"/>
        <c:majorTickMark val="out"/>
        <c:minorTickMark val="none"/>
        <c:tickLblPos val="nextTo"/>
        <c:crossAx val="212941824"/>
        <c:crosses val="autoZero"/>
        <c:crossBetween val="between"/>
        <c:majorUnit val="2"/>
        <c:minorUnit val="1"/>
      </c:valAx>
    </c:plotArea>
    <c:legend>
      <c:legendPos val="r"/>
      <c:overlay val="0"/>
    </c:legend>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000-000000000000}">
  <sheetPr codeName="Chart3"/>
  <sheetViews>
    <sheetView zoomScale="116"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zoomScale="116"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1"/>
  <sheetViews>
    <sheetView zoomScale="116"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absoluteAnchor>
    <xdr:pos x="0" y="0"/>
    <xdr:ext cx="8654612" cy="6265151"/>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4612" cy="6265151"/>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54612" cy="6265151"/>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xdr:from>
      <xdr:col>2</xdr:col>
      <xdr:colOff>596900</xdr:colOff>
      <xdr:row>1</xdr:row>
      <xdr:rowOff>101600</xdr:rowOff>
    </xdr:from>
    <xdr:to>
      <xdr:col>3</xdr:col>
      <xdr:colOff>127000</xdr:colOff>
      <xdr:row>1</xdr:row>
      <xdr:rowOff>101600</xdr:rowOff>
    </xdr:to>
    <xdr:cxnSp macro="">
      <xdr:nvCxnSpPr>
        <xdr:cNvPr id="3" name="Straight Arrow Connector 2">
          <a:extLst>
            <a:ext uri="{FF2B5EF4-FFF2-40B4-BE49-F238E27FC236}">
              <a16:creationId xmlns:a16="http://schemas.microsoft.com/office/drawing/2014/main" id="{00000000-0008-0000-0C00-000003000000}"/>
            </a:ext>
          </a:extLst>
        </xdr:cNvPr>
        <xdr:cNvCxnSpPr/>
      </xdr:nvCxnSpPr>
      <xdr:spPr>
        <a:xfrm>
          <a:off x="1816100" y="292100"/>
          <a:ext cx="65405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342900</xdr:colOff>
      <xdr:row>2</xdr:row>
      <xdr:rowOff>63500</xdr:rowOff>
    </xdr:from>
    <xdr:to>
      <xdr:col>1</xdr:col>
      <xdr:colOff>349250</xdr:colOff>
      <xdr:row>4</xdr:row>
      <xdr:rowOff>146050</xdr:rowOff>
    </xdr:to>
    <xdr:cxnSp macro="">
      <xdr:nvCxnSpPr>
        <xdr:cNvPr id="5" name="Straight Arrow Connector 4">
          <a:extLst>
            <a:ext uri="{FF2B5EF4-FFF2-40B4-BE49-F238E27FC236}">
              <a16:creationId xmlns:a16="http://schemas.microsoft.com/office/drawing/2014/main" id="{00000000-0008-0000-0C00-000005000000}"/>
            </a:ext>
          </a:extLst>
        </xdr:cNvPr>
        <xdr:cNvCxnSpPr/>
      </xdr:nvCxnSpPr>
      <xdr:spPr>
        <a:xfrm flipH="1">
          <a:off x="952500" y="444500"/>
          <a:ext cx="6350" cy="4635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400048</xdr:colOff>
      <xdr:row>2</xdr:row>
      <xdr:rowOff>38100</xdr:rowOff>
    </xdr:from>
    <xdr:to>
      <xdr:col>1</xdr:col>
      <xdr:colOff>1269230</xdr:colOff>
      <xdr:row>4</xdr:row>
      <xdr:rowOff>120650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400048" y="419100"/>
          <a:ext cx="1821682" cy="463550"/>
          <a:chOff x="7061200" y="412750"/>
          <a:chExt cx="1454150" cy="463550"/>
        </a:xfrm>
      </xdr:grpSpPr>
      <xdr:cxnSp macro="">
        <xdr:nvCxnSpPr>
          <xdr:cNvPr id="3" name="Straight Arrow Connector 2">
            <a:extLst>
              <a:ext uri="{FF2B5EF4-FFF2-40B4-BE49-F238E27FC236}">
                <a16:creationId xmlns:a16="http://schemas.microsoft.com/office/drawing/2014/main" id="{00000000-0008-0000-0D00-000003000000}"/>
              </a:ext>
            </a:extLst>
          </xdr:cNvPr>
          <xdr:cNvCxnSpPr/>
        </xdr:nvCxnSpPr>
        <xdr:spPr>
          <a:xfrm flipH="1">
            <a:off x="7061200" y="412750"/>
            <a:ext cx="6350" cy="381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0D00-000005000000}"/>
              </a:ext>
            </a:extLst>
          </xdr:cNvPr>
          <xdr:cNvCxnSpPr/>
        </xdr:nvCxnSpPr>
        <xdr:spPr>
          <a:xfrm flipV="1">
            <a:off x="7512329" y="869950"/>
            <a:ext cx="1003021" cy="63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800100</xdr:colOff>
      <xdr:row>1</xdr:row>
      <xdr:rowOff>107950</xdr:rowOff>
    </xdr:from>
    <xdr:to>
      <xdr:col>1</xdr:col>
      <xdr:colOff>1206500</xdr:colOff>
      <xdr:row>1</xdr:row>
      <xdr:rowOff>107950</xdr:rowOff>
    </xdr:to>
    <xdr:cxnSp macro="">
      <xdr:nvCxnSpPr>
        <xdr:cNvPr id="6" name="Straight Arrow Connector 5">
          <a:extLst>
            <a:ext uri="{FF2B5EF4-FFF2-40B4-BE49-F238E27FC236}">
              <a16:creationId xmlns:a16="http://schemas.microsoft.com/office/drawing/2014/main" id="{00000000-0008-0000-0D00-000006000000}"/>
            </a:ext>
          </a:extLst>
        </xdr:cNvPr>
        <xdr:cNvCxnSpPr/>
      </xdr:nvCxnSpPr>
      <xdr:spPr>
        <a:xfrm>
          <a:off x="800100" y="298450"/>
          <a:ext cx="12827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2</xdr:row>
      <xdr:rowOff>38100</xdr:rowOff>
    </xdr:from>
    <xdr:to>
      <xdr:col>2</xdr:col>
      <xdr:colOff>228600</xdr:colOff>
      <xdr:row>4</xdr:row>
      <xdr:rowOff>63500</xdr:rowOff>
    </xdr:to>
    <xdr:cxnSp macro="">
      <xdr:nvCxnSpPr>
        <xdr:cNvPr id="8" name="Straight Arrow Connector 7">
          <a:extLst>
            <a:ext uri="{FF2B5EF4-FFF2-40B4-BE49-F238E27FC236}">
              <a16:creationId xmlns:a16="http://schemas.microsoft.com/office/drawing/2014/main" id="{00000000-0008-0000-0D00-000008000000}"/>
            </a:ext>
          </a:extLst>
        </xdr:cNvPr>
        <xdr:cNvCxnSpPr/>
      </xdr:nvCxnSpPr>
      <xdr:spPr>
        <a:xfrm>
          <a:off x="2508250" y="419100"/>
          <a:ext cx="0" cy="40640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2:H25"/>
  <sheetViews>
    <sheetView zoomScale="150" zoomScaleNormal="150" workbookViewId="0">
      <selection activeCell="E17" sqref="E17"/>
    </sheetView>
  </sheetViews>
  <sheetFormatPr defaultRowHeight="15" x14ac:dyDescent="0.25"/>
  <cols>
    <col min="3" max="3" width="10.42578125" customWidth="1"/>
    <col min="4" max="4" width="14.7109375" bestFit="1" customWidth="1"/>
  </cols>
  <sheetData>
    <row r="2" spans="1:8" x14ac:dyDescent="0.25">
      <c r="B2" t="s">
        <v>2</v>
      </c>
    </row>
    <row r="3" spans="1:8" x14ac:dyDescent="0.25">
      <c r="A3" t="s">
        <v>5</v>
      </c>
      <c r="B3" t="s">
        <v>3</v>
      </c>
      <c r="C3" t="s">
        <v>4</v>
      </c>
      <c r="D3" s="1" t="s">
        <v>254</v>
      </c>
      <c r="E3" s="1" t="s">
        <v>6</v>
      </c>
    </row>
    <row r="4" spans="1:8" x14ac:dyDescent="0.25">
      <c r="A4">
        <v>1</v>
      </c>
      <c r="B4">
        <v>100</v>
      </c>
      <c r="C4">
        <v>100.5</v>
      </c>
      <c r="D4">
        <v>100.25</v>
      </c>
      <c r="E4">
        <f>C4-B4</f>
        <v>0.5</v>
      </c>
      <c r="H4" s="1" t="s">
        <v>75</v>
      </c>
    </row>
    <row r="5" spans="1:8" x14ac:dyDescent="0.25">
      <c r="A5">
        <v>2</v>
      </c>
      <c r="B5">
        <v>99.5</v>
      </c>
      <c r="C5">
        <v>101.25</v>
      </c>
      <c r="D5">
        <v>100.25</v>
      </c>
      <c r="H5" s="1" t="s">
        <v>76</v>
      </c>
    </row>
    <row r="6" spans="1:8" x14ac:dyDescent="0.25">
      <c r="A6">
        <v>3</v>
      </c>
      <c r="B6">
        <v>99</v>
      </c>
      <c r="C6">
        <v>101.5</v>
      </c>
      <c r="D6">
        <v>100.25</v>
      </c>
    </row>
    <row r="7" spans="1:8" x14ac:dyDescent="0.25">
      <c r="A7">
        <v>4</v>
      </c>
      <c r="B7">
        <v>98.25</v>
      </c>
      <c r="C7">
        <v>102.5</v>
      </c>
      <c r="D7">
        <v>100.25</v>
      </c>
      <c r="H7" s="1" t="s">
        <v>77</v>
      </c>
    </row>
    <row r="8" spans="1:8" x14ac:dyDescent="0.25">
      <c r="A8">
        <v>5</v>
      </c>
      <c r="B8">
        <v>98</v>
      </c>
      <c r="C8">
        <v>103</v>
      </c>
      <c r="D8">
        <v>100.25</v>
      </c>
      <c r="H8" s="1" t="s">
        <v>78</v>
      </c>
    </row>
    <row r="12" spans="1:8" x14ac:dyDescent="0.25">
      <c r="A12" t="s">
        <v>5</v>
      </c>
      <c r="B12" s="1" t="s">
        <v>0</v>
      </c>
      <c r="C12" s="1" t="s">
        <v>1</v>
      </c>
      <c r="D12" s="1" t="s">
        <v>79</v>
      </c>
    </row>
    <row r="13" spans="1:8" x14ac:dyDescent="0.25">
      <c r="A13">
        <v>1</v>
      </c>
      <c r="B13">
        <f>D4-B4</f>
        <v>0.25</v>
      </c>
      <c r="C13" s="22">
        <v>0.51110862262038104</v>
      </c>
    </row>
    <row r="14" spans="1:8" x14ac:dyDescent="0.25">
      <c r="A14">
        <v>2</v>
      </c>
      <c r="B14">
        <f t="shared" ref="B14:B17" si="0">D5-B5</f>
        <v>0.75</v>
      </c>
      <c r="C14" s="22">
        <v>0.25036954087345997</v>
      </c>
    </row>
    <row r="15" spans="1:8" x14ac:dyDescent="0.25">
      <c r="A15">
        <v>3</v>
      </c>
      <c r="B15">
        <f t="shared" si="0"/>
        <v>1.25</v>
      </c>
      <c r="C15" s="22">
        <v>0.11422172452407615</v>
      </c>
    </row>
    <row r="16" spans="1:8" x14ac:dyDescent="0.25">
      <c r="A16">
        <v>4</v>
      </c>
      <c r="B16">
        <f t="shared" si="0"/>
        <v>2</v>
      </c>
      <c r="C16" s="22">
        <v>6.7189249720044794E-2</v>
      </c>
    </row>
    <row r="17" spans="1:3" x14ac:dyDescent="0.25">
      <c r="A17">
        <v>5</v>
      </c>
      <c r="B17">
        <f t="shared" si="0"/>
        <v>2.25</v>
      </c>
      <c r="C17" s="22">
        <v>5.7110862262038077E-2</v>
      </c>
    </row>
    <row r="20" spans="1:3" x14ac:dyDescent="0.25">
      <c r="A20" s="1" t="s">
        <v>5</v>
      </c>
      <c r="B20" s="1" t="s">
        <v>255</v>
      </c>
    </row>
    <row r="21" spans="1:3" x14ac:dyDescent="0.25">
      <c r="A21">
        <v>1</v>
      </c>
      <c r="B21">
        <f>B13*C13</f>
        <v>0.12777715565509526</v>
      </c>
    </row>
    <row r="22" spans="1:3" x14ac:dyDescent="0.25">
      <c r="A22" s="8">
        <v>2</v>
      </c>
      <c r="B22" s="8">
        <f t="shared" ref="B22:B25" si="1">B14*C14</f>
        <v>0.18777715565509498</v>
      </c>
    </row>
    <row r="23" spans="1:3" x14ac:dyDescent="0.25">
      <c r="A23">
        <v>3</v>
      </c>
      <c r="B23">
        <f t="shared" si="1"/>
        <v>0.14277715565509519</v>
      </c>
    </row>
    <row r="24" spans="1:3" x14ac:dyDescent="0.25">
      <c r="A24">
        <v>4</v>
      </c>
      <c r="B24">
        <f t="shared" si="1"/>
        <v>0.13437849944008959</v>
      </c>
    </row>
    <row r="25" spans="1:3" x14ac:dyDescent="0.25">
      <c r="A25">
        <v>5</v>
      </c>
      <c r="B25">
        <f t="shared" si="1"/>
        <v>0.12849944008958566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2:L48"/>
  <sheetViews>
    <sheetView zoomScale="180" zoomScaleNormal="180" workbookViewId="0">
      <selection activeCell="B5" sqref="B5"/>
    </sheetView>
  </sheetViews>
  <sheetFormatPr defaultRowHeight="15" x14ac:dyDescent="0.25"/>
  <cols>
    <col min="5" max="7" width="9.140625" customWidth="1"/>
  </cols>
  <sheetData>
    <row r="2" spans="1:12" x14ac:dyDescent="0.25">
      <c r="D2" s="1" t="s">
        <v>13</v>
      </c>
    </row>
    <row r="3" spans="1:12" x14ac:dyDescent="0.25">
      <c r="B3" s="1" t="s">
        <v>2</v>
      </c>
      <c r="D3" t="s">
        <v>7</v>
      </c>
    </row>
    <row r="4" spans="1:12" x14ac:dyDescent="0.25">
      <c r="A4" t="s">
        <v>5</v>
      </c>
      <c r="B4" t="s">
        <v>3</v>
      </c>
      <c r="C4" t="s">
        <v>4</v>
      </c>
    </row>
    <row r="5" spans="1:12" x14ac:dyDescent="0.25">
      <c r="A5">
        <v>1</v>
      </c>
      <c r="B5">
        <v>100</v>
      </c>
      <c r="C5">
        <v>100.5</v>
      </c>
    </row>
    <row r="6" spans="1:12" x14ac:dyDescent="0.25">
      <c r="A6">
        <v>2</v>
      </c>
      <c r="B6">
        <v>99.5</v>
      </c>
      <c r="C6">
        <v>101</v>
      </c>
    </row>
    <row r="7" spans="1:12" x14ac:dyDescent="0.25">
      <c r="A7">
        <v>3</v>
      </c>
      <c r="B7">
        <v>99</v>
      </c>
      <c r="C7">
        <v>101.5</v>
      </c>
    </row>
    <row r="8" spans="1:12" x14ac:dyDescent="0.25">
      <c r="A8">
        <v>4</v>
      </c>
      <c r="B8">
        <v>98.25</v>
      </c>
      <c r="C8">
        <v>102.5</v>
      </c>
    </row>
    <row r="9" spans="1:12" x14ac:dyDescent="0.25">
      <c r="A9">
        <v>5</v>
      </c>
      <c r="B9">
        <v>98</v>
      </c>
      <c r="C9">
        <v>103</v>
      </c>
      <c r="L9" s="1"/>
    </row>
    <row r="10" spans="1:12" x14ac:dyDescent="0.25">
      <c r="L10" s="1"/>
    </row>
    <row r="12" spans="1:12" x14ac:dyDescent="0.25">
      <c r="A12" s="1" t="s">
        <v>8</v>
      </c>
    </row>
    <row r="13" spans="1:12" x14ac:dyDescent="0.25">
      <c r="A13" t="s">
        <v>10</v>
      </c>
    </row>
    <row r="14" spans="1:12" x14ac:dyDescent="0.25">
      <c r="A14" t="s">
        <v>9</v>
      </c>
    </row>
    <row r="16" spans="1:12" x14ac:dyDescent="0.25">
      <c r="A16" s="1" t="s">
        <v>15</v>
      </c>
    </row>
    <row r="17" spans="1:3" x14ac:dyDescent="0.25">
      <c r="A17" t="s">
        <v>11</v>
      </c>
    </row>
    <row r="18" spans="1:3" x14ac:dyDescent="0.25">
      <c r="A18" t="s">
        <v>12</v>
      </c>
    </row>
    <row r="20" spans="1:3" x14ac:dyDescent="0.25">
      <c r="A20" s="1" t="s">
        <v>14</v>
      </c>
    </row>
    <row r="21" spans="1:3" x14ac:dyDescent="0.25">
      <c r="A21" t="s">
        <v>80</v>
      </c>
    </row>
    <row r="22" spans="1:3" x14ac:dyDescent="0.25">
      <c r="A22" s="1" t="s">
        <v>81</v>
      </c>
    </row>
    <row r="23" spans="1:3" x14ac:dyDescent="0.25">
      <c r="A23" t="s">
        <v>82</v>
      </c>
    </row>
    <row r="26" spans="1:3" x14ac:dyDescent="0.25">
      <c r="A26" t="s">
        <v>87</v>
      </c>
    </row>
    <row r="27" spans="1:3" x14ac:dyDescent="0.25">
      <c r="B27" s="1" t="s">
        <v>2</v>
      </c>
    </row>
    <row r="28" spans="1:3" x14ac:dyDescent="0.25">
      <c r="A28" t="s">
        <v>5</v>
      </c>
      <c r="B28" t="s">
        <v>3</v>
      </c>
      <c r="C28" t="s">
        <v>4</v>
      </c>
    </row>
    <row r="29" spans="1:3" x14ac:dyDescent="0.25">
      <c r="A29">
        <v>1</v>
      </c>
      <c r="B29">
        <v>100</v>
      </c>
      <c r="C29">
        <v>100.5</v>
      </c>
    </row>
    <row r="30" spans="1:3" x14ac:dyDescent="0.25">
      <c r="A30">
        <v>2</v>
      </c>
      <c r="B30">
        <v>99.55</v>
      </c>
      <c r="C30">
        <v>101</v>
      </c>
    </row>
    <row r="31" spans="1:3" x14ac:dyDescent="0.25">
      <c r="A31">
        <v>3</v>
      </c>
      <c r="B31">
        <v>99.5</v>
      </c>
      <c r="C31">
        <v>101.5</v>
      </c>
    </row>
    <row r="32" spans="1:3" x14ac:dyDescent="0.25">
      <c r="A32">
        <v>4</v>
      </c>
      <c r="B32">
        <v>99</v>
      </c>
      <c r="C32">
        <v>102.5</v>
      </c>
    </row>
    <row r="33" spans="1:12" x14ac:dyDescent="0.25">
      <c r="A33">
        <v>5</v>
      </c>
      <c r="B33">
        <v>98.25</v>
      </c>
      <c r="C33">
        <v>103</v>
      </c>
    </row>
    <row r="34" spans="1:12" x14ac:dyDescent="0.25">
      <c r="B34">
        <v>98</v>
      </c>
    </row>
    <row r="36" spans="1:12" x14ac:dyDescent="0.25">
      <c r="A36" t="s">
        <v>125</v>
      </c>
    </row>
    <row r="37" spans="1:12" x14ac:dyDescent="0.25">
      <c r="B37" s="1" t="s">
        <v>2</v>
      </c>
      <c r="J37" s="1" t="s">
        <v>2</v>
      </c>
    </row>
    <row r="38" spans="1:12" x14ac:dyDescent="0.25">
      <c r="A38" t="s">
        <v>5</v>
      </c>
      <c r="B38" t="s">
        <v>3</v>
      </c>
      <c r="C38" t="s">
        <v>4</v>
      </c>
      <c r="I38" t="s">
        <v>41</v>
      </c>
      <c r="J38" t="s">
        <v>3</v>
      </c>
      <c r="K38" t="s">
        <v>4</v>
      </c>
      <c r="L38" t="s">
        <v>41</v>
      </c>
    </row>
    <row r="39" spans="1:12" x14ac:dyDescent="0.25">
      <c r="A39">
        <v>1</v>
      </c>
      <c r="B39">
        <v>100.2</v>
      </c>
      <c r="C39">
        <v>100.5</v>
      </c>
      <c r="I39">
        <v>100</v>
      </c>
      <c r="J39">
        <v>100.2</v>
      </c>
      <c r="K39">
        <v>100.5</v>
      </c>
      <c r="L39">
        <v>200</v>
      </c>
    </row>
    <row r="40" spans="1:12" x14ac:dyDescent="0.25">
      <c r="A40">
        <v>2</v>
      </c>
      <c r="B40">
        <v>100</v>
      </c>
      <c r="C40">
        <v>101</v>
      </c>
      <c r="I40">
        <v>50</v>
      </c>
      <c r="J40">
        <v>100.05</v>
      </c>
      <c r="K40">
        <v>101</v>
      </c>
      <c r="L40">
        <v>300</v>
      </c>
    </row>
    <row r="41" spans="1:12" x14ac:dyDescent="0.25">
      <c r="A41">
        <v>3</v>
      </c>
      <c r="B41" s="8">
        <v>99.55</v>
      </c>
      <c r="C41">
        <v>101.5</v>
      </c>
      <c r="I41">
        <v>150</v>
      </c>
      <c r="J41">
        <v>100</v>
      </c>
      <c r="K41">
        <v>102</v>
      </c>
      <c r="L41">
        <v>400</v>
      </c>
    </row>
    <row r="42" spans="1:12" x14ac:dyDescent="0.25">
      <c r="A42">
        <v>4</v>
      </c>
      <c r="B42">
        <v>99.5</v>
      </c>
      <c r="C42">
        <v>102.5</v>
      </c>
    </row>
    <row r="43" spans="1:12" x14ac:dyDescent="0.25">
      <c r="A43">
        <v>5</v>
      </c>
      <c r="B43">
        <v>99</v>
      </c>
      <c r="C43">
        <v>103</v>
      </c>
      <c r="H43" s="1" t="s">
        <v>327</v>
      </c>
      <c r="I43" s="1" t="s">
        <v>326</v>
      </c>
    </row>
    <row r="44" spans="1:12" x14ac:dyDescent="0.25">
      <c r="B44">
        <v>98.25</v>
      </c>
      <c r="I44" t="s">
        <v>328</v>
      </c>
    </row>
    <row r="45" spans="1:12" x14ac:dyDescent="0.25">
      <c r="B45">
        <v>98</v>
      </c>
      <c r="H45" s="1" t="s">
        <v>330</v>
      </c>
      <c r="I45" s="1" t="s">
        <v>41</v>
      </c>
      <c r="J45" s="1" t="s">
        <v>329</v>
      </c>
    </row>
    <row r="46" spans="1:12" x14ac:dyDescent="0.25">
      <c r="I46">
        <v>100</v>
      </c>
      <c r="J46">
        <v>100.2</v>
      </c>
    </row>
    <row r="47" spans="1:12" x14ac:dyDescent="0.25">
      <c r="A47" s="1" t="s">
        <v>88</v>
      </c>
      <c r="I47">
        <v>50</v>
      </c>
      <c r="J47">
        <v>100.05</v>
      </c>
    </row>
    <row r="48" spans="1:12" x14ac:dyDescent="0.25">
      <c r="I48">
        <v>50</v>
      </c>
      <c r="J48">
        <v>100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J51"/>
  <sheetViews>
    <sheetView topLeftCell="A25" zoomScale="170" zoomScaleNormal="170" workbookViewId="0">
      <selection activeCell="F41" sqref="F41"/>
    </sheetView>
  </sheetViews>
  <sheetFormatPr defaultRowHeight="15" x14ac:dyDescent="0.25"/>
  <cols>
    <col min="6" max="6" width="21.28515625" customWidth="1"/>
    <col min="7" max="7" width="10.85546875" customWidth="1"/>
  </cols>
  <sheetData>
    <row r="2" spans="1:7" x14ac:dyDescent="0.25">
      <c r="E2" s="1" t="s">
        <v>16</v>
      </c>
    </row>
    <row r="3" spans="1:7" x14ac:dyDescent="0.25">
      <c r="B3" s="1" t="s">
        <v>2</v>
      </c>
      <c r="C3" s="1"/>
      <c r="E3" t="s">
        <v>17</v>
      </c>
    </row>
    <row r="4" spans="1:7" x14ac:dyDescent="0.25">
      <c r="A4" t="s">
        <v>5</v>
      </c>
      <c r="B4" t="s">
        <v>3</v>
      </c>
      <c r="D4" t="s">
        <v>4</v>
      </c>
      <c r="E4" t="s">
        <v>18</v>
      </c>
    </row>
    <row r="5" spans="1:7" x14ac:dyDescent="0.25">
      <c r="A5">
        <v>1</v>
      </c>
      <c r="B5">
        <v>100</v>
      </c>
      <c r="D5">
        <v>100.5</v>
      </c>
      <c r="E5" s="1" t="s">
        <v>154</v>
      </c>
    </row>
    <row r="6" spans="1:7" x14ac:dyDescent="0.25">
      <c r="A6">
        <v>2</v>
      </c>
      <c r="B6">
        <v>99.5</v>
      </c>
      <c r="D6">
        <v>101</v>
      </c>
      <c r="G6" s="1"/>
    </row>
    <row r="7" spans="1:7" x14ac:dyDescent="0.25">
      <c r="A7">
        <v>3</v>
      </c>
      <c r="B7">
        <v>99</v>
      </c>
      <c r="D7">
        <v>101.5</v>
      </c>
      <c r="G7" s="1"/>
    </row>
    <row r="8" spans="1:7" x14ac:dyDescent="0.25">
      <c r="A8">
        <v>4</v>
      </c>
      <c r="B8">
        <v>98.25</v>
      </c>
      <c r="D8">
        <v>102.5</v>
      </c>
    </row>
    <row r="9" spans="1:7" x14ac:dyDescent="0.25">
      <c r="A9">
        <v>5</v>
      </c>
      <c r="B9">
        <v>98</v>
      </c>
      <c r="D9">
        <v>103</v>
      </c>
    </row>
    <row r="13" spans="1:7" x14ac:dyDescent="0.25">
      <c r="A13" t="s">
        <v>20</v>
      </c>
      <c r="D13" s="1" t="s">
        <v>2</v>
      </c>
    </row>
    <row r="14" spans="1:7" x14ac:dyDescent="0.25">
      <c r="B14" t="s">
        <v>5</v>
      </c>
      <c r="D14" t="s">
        <v>3</v>
      </c>
      <c r="E14" t="s">
        <v>4</v>
      </c>
      <c r="F14" s="1"/>
      <c r="G14" t="s">
        <v>131</v>
      </c>
    </row>
    <row r="15" spans="1:7" x14ac:dyDescent="0.25">
      <c r="B15">
        <v>1</v>
      </c>
      <c r="D15" s="1">
        <v>100</v>
      </c>
      <c r="E15" s="1">
        <v>100.5</v>
      </c>
      <c r="F15" s="9"/>
      <c r="G15" t="s">
        <v>201</v>
      </c>
    </row>
    <row r="16" spans="1:7" x14ac:dyDescent="0.25">
      <c r="B16">
        <v>2</v>
      </c>
      <c r="D16">
        <v>99.75</v>
      </c>
      <c r="E16">
        <v>100.5</v>
      </c>
    </row>
    <row r="17" spans="1:6" x14ac:dyDescent="0.25">
      <c r="B17">
        <v>3</v>
      </c>
      <c r="D17">
        <v>99.5</v>
      </c>
      <c r="E17">
        <v>101</v>
      </c>
    </row>
    <row r="18" spans="1:6" x14ac:dyDescent="0.25">
      <c r="B18">
        <v>4</v>
      </c>
      <c r="D18">
        <v>99</v>
      </c>
      <c r="E18">
        <v>101.5</v>
      </c>
    </row>
    <row r="19" spans="1:6" x14ac:dyDescent="0.25">
      <c r="B19">
        <v>5</v>
      </c>
      <c r="D19">
        <v>98.25</v>
      </c>
      <c r="E19">
        <v>102.5</v>
      </c>
    </row>
    <row r="20" spans="1:6" x14ac:dyDescent="0.25">
      <c r="D20">
        <v>98</v>
      </c>
      <c r="E20">
        <v>103</v>
      </c>
    </row>
    <row r="21" spans="1:6" x14ac:dyDescent="0.25">
      <c r="A21" s="15">
        <v>0.4201388888888889</v>
      </c>
    </row>
    <row r="22" spans="1:6" x14ac:dyDescent="0.25">
      <c r="D22" s="1" t="s">
        <v>2</v>
      </c>
      <c r="F22" s="1" t="s">
        <v>132</v>
      </c>
    </row>
    <row r="23" spans="1:6" x14ac:dyDescent="0.25">
      <c r="B23" t="s">
        <v>5</v>
      </c>
      <c r="D23" t="s">
        <v>3</v>
      </c>
      <c r="E23" t="s">
        <v>4</v>
      </c>
    </row>
    <row r="24" spans="1:6" x14ac:dyDescent="0.25">
      <c r="B24">
        <v>1</v>
      </c>
      <c r="D24">
        <v>100</v>
      </c>
      <c r="E24">
        <v>100.1</v>
      </c>
    </row>
    <row r="25" spans="1:6" x14ac:dyDescent="0.25">
      <c r="B25">
        <v>2</v>
      </c>
      <c r="D25">
        <v>99.75</v>
      </c>
      <c r="E25">
        <v>100.5</v>
      </c>
    </row>
    <row r="26" spans="1:6" x14ac:dyDescent="0.25">
      <c r="B26">
        <v>3</v>
      </c>
      <c r="D26">
        <v>99.5</v>
      </c>
      <c r="E26">
        <v>101</v>
      </c>
    </row>
    <row r="27" spans="1:6" x14ac:dyDescent="0.25">
      <c r="B27">
        <v>4</v>
      </c>
      <c r="D27">
        <v>99</v>
      </c>
      <c r="E27">
        <v>101.5</v>
      </c>
    </row>
    <row r="28" spans="1:6" x14ac:dyDescent="0.25">
      <c r="B28">
        <v>5</v>
      </c>
      <c r="D28">
        <v>98.25</v>
      </c>
      <c r="E28">
        <v>102.5</v>
      </c>
    </row>
    <row r="29" spans="1:6" x14ac:dyDescent="0.25">
      <c r="D29">
        <v>98</v>
      </c>
      <c r="E29">
        <v>103</v>
      </c>
    </row>
    <row r="31" spans="1:6" x14ac:dyDescent="0.25">
      <c r="A31" s="1" t="s">
        <v>127</v>
      </c>
    </row>
    <row r="33" spans="1:10" x14ac:dyDescent="0.25">
      <c r="A33" t="s">
        <v>128</v>
      </c>
      <c r="D33" s="1"/>
    </row>
    <row r="35" spans="1:10" x14ac:dyDescent="0.25">
      <c r="A35" t="s">
        <v>133</v>
      </c>
      <c r="D35" s="1"/>
      <c r="E35" s="1"/>
      <c r="G35" s="1" t="s">
        <v>158</v>
      </c>
    </row>
    <row r="36" spans="1:10" x14ac:dyDescent="0.25">
      <c r="G36" s="1" t="s">
        <v>157</v>
      </c>
    </row>
    <row r="37" spans="1:10" x14ac:dyDescent="0.25">
      <c r="G37" s="1"/>
    </row>
    <row r="38" spans="1:10" x14ac:dyDescent="0.25">
      <c r="A38" s="13" t="s">
        <v>129</v>
      </c>
      <c r="B38" s="8"/>
      <c r="C38" s="8"/>
      <c r="D38" s="8"/>
      <c r="E38" s="8"/>
      <c r="G38" s="1" t="s">
        <v>155</v>
      </c>
    </row>
    <row r="39" spans="1:10" x14ac:dyDescent="0.25">
      <c r="A39" s="8" t="s">
        <v>130</v>
      </c>
      <c r="B39" s="8"/>
      <c r="C39" s="8"/>
      <c r="D39" s="8"/>
      <c r="E39" s="8"/>
      <c r="G39" s="1" t="s">
        <v>156</v>
      </c>
      <c r="J39" t="s">
        <v>159</v>
      </c>
    </row>
    <row r="40" spans="1:10" x14ac:dyDescent="0.25">
      <c r="A40" s="14" t="s">
        <v>134</v>
      </c>
      <c r="B40" s="8"/>
      <c r="C40" s="14" t="s">
        <v>135</v>
      </c>
      <c r="D40" s="8"/>
      <c r="E40" s="8"/>
    </row>
    <row r="41" spans="1:10" x14ac:dyDescent="0.25">
      <c r="A41" s="2"/>
    </row>
    <row r="42" spans="1:10" x14ac:dyDescent="0.25">
      <c r="A42" s="1" t="s">
        <v>136</v>
      </c>
      <c r="D42" s="1"/>
      <c r="H42" s="1"/>
    </row>
    <row r="43" spans="1:10" x14ac:dyDescent="0.25">
      <c r="A43" t="s">
        <v>130</v>
      </c>
      <c r="G43" t="s">
        <v>160</v>
      </c>
      <c r="H43" s="1"/>
    </row>
    <row r="44" spans="1:10" x14ac:dyDescent="0.25">
      <c r="A44" s="5" t="s">
        <v>137</v>
      </c>
      <c r="C44" s="9" t="s">
        <v>138</v>
      </c>
      <c r="G44">
        <f>0.15</f>
        <v>0.15</v>
      </c>
      <c r="H44" s="1"/>
    </row>
    <row r="46" spans="1:10" x14ac:dyDescent="0.25">
      <c r="H46" s="1"/>
    </row>
    <row r="50" spans="4:8" x14ac:dyDescent="0.25">
      <c r="H50" s="1"/>
    </row>
    <row r="51" spans="4:8" x14ac:dyDescent="0.25">
      <c r="D51"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J31"/>
  <sheetViews>
    <sheetView zoomScale="180" zoomScaleNormal="180" workbookViewId="0">
      <selection activeCell="I12" sqref="I12"/>
    </sheetView>
  </sheetViews>
  <sheetFormatPr defaultRowHeight="15" x14ac:dyDescent="0.25"/>
  <cols>
    <col min="1" max="1" width="12.140625" customWidth="1"/>
    <col min="4" max="4" width="21.7109375" customWidth="1"/>
    <col min="5" max="5" width="14.85546875" customWidth="1"/>
    <col min="6" max="6" width="12.28515625" customWidth="1"/>
    <col min="7" max="12" width="9.140625" customWidth="1"/>
  </cols>
  <sheetData>
    <row r="1" spans="1:10" x14ac:dyDescent="0.25">
      <c r="A1" s="1" t="s">
        <v>280</v>
      </c>
    </row>
    <row r="2" spans="1:10" x14ac:dyDescent="0.25">
      <c r="A2" s="1" t="s">
        <v>281</v>
      </c>
    </row>
    <row r="4" spans="1:10" x14ac:dyDescent="0.25">
      <c r="F4" s="5" t="s">
        <v>263</v>
      </c>
      <c r="G4" s="5" t="s">
        <v>264</v>
      </c>
    </row>
    <row r="5" spans="1:10" x14ac:dyDescent="0.25">
      <c r="A5" s="1" t="s">
        <v>167</v>
      </c>
      <c r="B5" s="1" t="s">
        <v>37</v>
      </c>
      <c r="C5" s="1" t="s">
        <v>4</v>
      </c>
      <c r="D5" s="1" t="s">
        <v>304</v>
      </c>
      <c r="E5" s="1" t="s">
        <v>303</v>
      </c>
      <c r="F5" t="s">
        <v>153</v>
      </c>
      <c r="G5" s="1" t="s">
        <v>216</v>
      </c>
      <c r="I5" s="1" t="s">
        <v>312</v>
      </c>
    </row>
    <row r="6" spans="1:10" x14ac:dyDescent="0.25">
      <c r="A6" s="12">
        <v>0.41666666666666669</v>
      </c>
      <c r="B6">
        <v>920</v>
      </c>
      <c r="C6">
        <v>921.3</v>
      </c>
      <c r="D6">
        <v>5000</v>
      </c>
      <c r="E6">
        <f>AVERAGE(B6:C6)</f>
        <v>920.65</v>
      </c>
      <c r="F6">
        <f>D6*E6</f>
        <v>4603250</v>
      </c>
      <c r="G6">
        <f>SUM($F$6:F6)/SUM($D$6:D6)</f>
        <v>920.65</v>
      </c>
      <c r="I6" s="1" t="s">
        <v>250</v>
      </c>
    </row>
    <row r="7" spans="1:10" x14ac:dyDescent="0.25">
      <c r="A7" s="23">
        <f>A6+15/24/60</f>
        <v>0.42708333333333337</v>
      </c>
      <c r="B7" s="8">
        <v>920.4</v>
      </c>
      <c r="C7" s="8">
        <v>921.5</v>
      </c>
      <c r="D7" s="8">
        <v>15000</v>
      </c>
      <c r="E7" s="8">
        <f t="shared" ref="E7:E26" si="0">AVERAGE(B7:C7)</f>
        <v>920.95</v>
      </c>
      <c r="F7" s="8">
        <f>D7*E7</f>
        <v>13814250</v>
      </c>
      <c r="G7" s="8">
        <f>SUM($F$6:F7)/SUM($D$6:D7)</f>
        <v>920.875</v>
      </c>
    </row>
    <row r="8" spans="1:10" x14ac:dyDescent="0.25">
      <c r="A8" s="12">
        <f t="shared" ref="A8:A26" si="1">A7+15/24/60</f>
        <v>0.43750000000000006</v>
      </c>
      <c r="B8">
        <v>921.2</v>
      </c>
      <c r="C8">
        <v>922.3</v>
      </c>
      <c r="D8">
        <v>7500</v>
      </c>
      <c r="E8">
        <f t="shared" si="0"/>
        <v>921.75</v>
      </c>
      <c r="F8">
        <f t="shared" ref="F8:F26" si="2">D8*E8</f>
        <v>6913125</v>
      </c>
      <c r="G8">
        <f>SUM($F$6:F8)/SUM($D$6:D8)</f>
        <v>921.11363636363637</v>
      </c>
    </row>
    <row r="9" spans="1:10" x14ac:dyDescent="0.25">
      <c r="A9" s="12">
        <f t="shared" si="1"/>
        <v>0.44791666666666674</v>
      </c>
      <c r="B9">
        <v>920</v>
      </c>
      <c r="C9">
        <v>921</v>
      </c>
      <c r="D9">
        <v>10000</v>
      </c>
      <c r="E9">
        <f t="shared" si="0"/>
        <v>920.5</v>
      </c>
      <c r="F9">
        <f t="shared" si="2"/>
        <v>9205000</v>
      </c>
      <c r="G9">
        <f>SUM($F$6:F9)/SUM($D$6:D9)</f>
        <v>920.95</v>
      </c>
      <c r="I9" t="s">
        <v>151</v>
      </c>
    </row>
    <row r="10" spans="1:10" x14ac:dyDescent="0.25">
      <c r="A10" s="12">
        <f t="shared" si="1"/>
        <v>0.45833333333333343</v>
      </c>
      <c r="B10">
        <v>922.8</v>
      </c>
      <c r="C10">
        <v>923.5</v>
      </c>
      <c r="D10">
        <v>50000</v>
      </c>
      <c r="E10">
        <f t="shared" si="0"/>
        <v>923.15</v>
      </c>
      <c r="F10">
        <f t="shared" si="2"/>
        <v>46157500</v>
      </c>
      <c r="G10">
        <f>SUM($F$6:F10)/SUM($D$6:D10)</f>
        <v>922.20714285714291</v>
      </c>
      <c r="I10" s="1" t="s">
        <v>207</v>
      </c>
      <c r="J10" s="9"/>
    </row>
    <row r="11" spans="1:10" x14ac:dyDescent="0.25">
      <c r="A11" s="12">
        <f t="shared" si="1"/>
        <v>0.46875000000000011</v>
      </c>
      <c r="B11">
        <v>923.4</v>
      </c>
      <c r="C11">
        <v>924.7</v>
      </c>
      <c r="D11">
        <v>150000</v>
      </c>
      <c r="E11">
        <f t="shared" si="0"/>
        <v>924.05</v>
      </c>
      <c r="F11">
        <f t="shared" si="2"/>
        <v>138607500</v>
      </c>
      <c r="G11">
        <f>SUM($F$6:F11)/SUM($D$6:D11)</f>
        <v>923.37105263157889</v>
      </c>
      <c r="I11" s="1" t="s">
        <v>215</v>
      </c>
    </row>
    <row r="12" spans="1:10" x14ac:dyDescent="0.25">
      <c r="A12" s="12">
        <f t="shared" si="1"/>
        <v>0.4791666666666668</v>
      </c>
      <c r="B12">
        <v>924</v>
      </c>
      <c r="C12">
        <v>924.7</v>
      </c>
      <c r="D12">
        <v>5000</v>
      </c>
      <c r="E12">
        <f t="shared" si="0"/>
        <v>924.35</v>
      </c>
      <c r="F12">
        <f t="shared" si="2"/>
        <v>4621750</v>
      </c>
      <c r="G12">
        <f>SUM($F$6:F12)/SUM($D$6:D12)</f>
        <v>923.3912371134021</v>
      </c>
      <c r="I12" t="s">
        <v>152</v>
      </c>
    </row>
    <row r="13" spans="1:10" x14ac:dyDescent="0.25">
      <c r="A13" s="12">
        <f t="shared" si="1"/>
        <v>0.48958333333333348</v>
      </c>
      <c r="B13">
        <v>924.8</v>
      </c>
      <c r="C13">
        <v>925.5</v>
      </c>
      <c r="D13">
        <v>125000</v>
      </c>
      <c r="E13">
        <f t="shared" si="0"/>
        <v>925.15</v>
      </c>
      <c r="F13">
        <f t="shared" si="2"/>
        <v>115643750</v>
      </c>
      <c r="G13">
        <f>SUM($F$6:F13)/SUM($D$6:D13)</f>
        <v>923.98945578231292</v>
      </c>
    </row>
    <row r="14" spans="1:10" x14ac:dyDescent="0.25">
      <c r="A14" s="12">
        <f t="shared" si="1"/>
        <v>0.50000000000000011</v>
      </c>
      <c r="B14">
        <v>923.2</v>
      </c>
      <c r="C14">
        <v>923.6</v>
      </c>
      <c r="D14">
        <v>10000</v>
      </c>
      <c r="E14">
        <f t="shared" si="0"/>
        <v>923.40000000000009</v>
      </c>
      <c r="F14">
        <f t="shared" si="2"/>
        <v>9234000</v>
      </c>
      <c r="G14">
        <f>SUM($F$6:F14)/SUM($D$6:D14)</f>
        <v>923.97384105960271</v>
      </c>
    </row>
    <row r="15" spans="1:10" x14ac:dyDescent="0.25">
      <c r="A15" s="12">
        <f t="shared" si="1"/>
        <v>0.51041666666666674</v>
      </c>
      <c r="B15">
        <v>924.2</v>
      </c>
      <c r="C15">
        <v>924.5</v>
      </c>
      <c r="D15">
        <v>17000</v>
      </c>
      <c r="E15">
        <f t="shared" si="0"/>
        <v>924.35</v>
      </c>
      <c r="F15">
        <f t="shared" si="2"/>
        <v>15713950</v>
      </c>
      <c r="G15">
        <f>SUM($F$6:F15)/SUM($D$6:D15)</f>
        <v>923.99005069708494</v>
      </c>
    </row>
    <row r="16" spans="1:10" x14ac:dyDescent="0.25">
      <c r="A16" s="12">
        <f t="shared" si="1"/>
        <v>0.52083333333333337</v>
      </c>
      <c r="B16">
        <v>925</v>
      </c>
      <c r="C16">
        <v>925.5</v>
      </c>
      <c r="D16">
        <v>150000</v>
      </c>
      <c r="E16">
        <f t="shared" si="0"/>
        <v>925.25</v>
      </c>
      <c r="F16">
        <f t="shared" si="2"/>
        <v>138787500</v>
      </c>
      <c r="G16">
        <f>SUM($F$6:F16)/SUM($D$6:D16)</f>
        <v>924.33714416896237</v>
      </c>
    </row>
    <row r="17" spans="1:7" x14ac:dyDescent="0.25">
      <c r="A17" s="12">
        <f t="shared" si="1"/>
        <v>0.53125</v>
      </c>
      <c r="B17">
        <v>926.7</v>
      </c>
      <c r="C17">
        <v>927</v>
      </c>
      <c r="D17">
        <v>2500000</v>
      </c>
      <c r="E17">
        <f t="shared" si="0"/>
        <v>926.85</v>
      </c>
      <c r="F17">
        <f t="shared" si="2"/>
        <v>2317125000</v>
      </c>
      <c r="G17">
        <f>SUM($F$6:F17)/SUM($D$6:D17)</f>
        <v>926.40058301855811</v>
      </c>
    </row>
    <row r="18" spans="1:7" x14ac:dyDescent="0.25">
      <c r="A18" s="12">
        <f t="shared" si="1"/>
        <v>0.54166666666666663</v>
      </c>
      <c r="B18">
        <v>928.2</v>
      </c>
      <c r="C18">
        <v>928.9</v>
      </c>
      <c r="D18">
        <v>5000000</v>
      </c>
      <c r="E18">
        <f t="shared" si="0"/>
        <v>928.55</v>
      </c>
      <c r="F18">
        <f t="shared" si="2"/>
        <v>4642750000</v>
      </c>
      <c r="G18">
        <f>SUM($F$6:F18)/SUM($D$6:D18)</f>
        <v>927.73653738579151</v>
      </c>
    </row>
    <row r="19" spans="1:7" x14ac:dyDescent="0.25">
      <c r="A19" s="12">
        <f t="shared" si="1"/>
        <v>0.55208333333333326</v>
      </c>
      <c r="B19">
        <v>927</v>
      </c>
      <c r="C19">
        <v>927.1</v>
      </c>
      <c r="D19">
        <v>500000</v>
      </c>
      <c r="E19">
        <f t="shared" si="0"/>
        <v>927.05</v>
      </c>
      <c r="F19">
        <f t="shared" si="2"/>
        <v>463525000</v>
      </c>
      <c r="G19">
        <f>SUM($F$6:F19)/SUM($D$6:D19)</f>
        <v>927.6963631575868</v>
      </c>
    </row>
    <row r="20" spans="1:7" x14ac:dyDescent="0.25">
      <c r="A20" s="12">
        <f t="shared" si="1"/>
        <v>0.56249999999999989</v>
      </c>
      <c r="B20">
        <v>926.5</v>
      </c>
      <c r="C20">
        <v>927</v>
      </c>
      <c r="D20">
        <v>650000</v>
      </c>
      <c r="E20">
        <f t="shared" si="0"/>
        <v>926.75</v>
      </c>
      <c r="F20">
        <f t="shared" si="2"/>
        <v>602387500</v>
      </c>
      <c r="G20">
        <f>SUM($F$6:F20)/SUM($D$6:D20)</f>
        <v>927.62946054706617</v>
      </c>
    </row>
    <row r="21" spans="1:7" x14ac:dyDescent="0.25">
      <c r="A21" s="12">
        <f t="shared" si="1"/>
        <v>0.57291666666666652</v>
      </c>
      <c r="B21">
        <v>926</v>
      </c>
      <c r="C21">
        <v>926.7</v>
      </c>
      <c r="D21">
        <v>15000000</v>
      </c>
      <c r="E21">
        <f t="shared" si="0"/>
        <v>926.35</v>
      </c>
      <c r="F21">
        <f t="shared" si="2"/>
        <v>13895250000</v>
      </c>
      <c r="G21">
        <f>SUM($F$6:F21)/SUM($D$6:D21)</f>
        <v>926.83622620843585</v>
      </c>
    </row>
    <row r="22" spans="1:7" x14ac:dyDescent="0.25">
      <c r="A22" s="12">
        <f t="shared" si="1"/>
        <v>0.58333333333333315</v>
      </c>
      <c r="B22">
        <v>927.5</v>
      </c>
      <c r="C22">
        <v>928</v>
      </c>
      <c r="D22">
        <v>1500000</v>
      </c>
      <c r="E22">
        <f t="shared" si="0"/>
        <v>927.75</v>
      </c>
      <c r="F22">
        <f t="shared" si="2"/>
        <v>1391625000</v>
      </c>
      <c r="G22">
        <f>SUM($F$6:F22)/SUM($D$6:D22)</f>
        <v>926.8895707252525</v>
      </c>
    </row>
    <row r="23" spans="1:7" x14ac:dyDescent="0.25">
      <c r="A23" s="12">
        <f t="shared" si="1"/>
        <v>0.59374999999999978</v>
      </c>
      <c r="B23">
        <v>929</v>
      </c>
      <c r="C23">
        <v>929.2</v>
      </c>
      <c r="D23">
        <v>25000</v>
      </c>
      <c r="E23">
        <f t="shared" si="0"/>
        <v>929.1</v>
      </c>
      <c r="F23">
        <f t="shared" si="2"/>
        <v>23227500</v>
      </c>
      <c r="G23">
        <f>SUM($F$6:F23)/SUM($D$6:D23)</f>
        <v>926.89171931802719</v>
      </c>
    </row>
    <row r="24" spans="1:7" x14ac:dyDescent="0.25">
      <c r="A24" s="12">
        <f t="shared" si="1"/>
        <v>0.60416666666666641</v>
      </c>
      <c r="B24">
        <v>930.2</v>
      </c>
      <c r="C24">
        <v>930.5</v>
      </c>
      <c r="D24">
        <v>5000000</v>
      </c>
      <c r="E24">
        <f t="shared" si="0"/>
        <v>930.35</v>
      </c>
      <c r="F24">
        <f t="shared" si="2"/>
        <v>4651750000</v>
      </c>
      <c r="G24">
        <f>SUM($F$6:F24)/SUM($D$6:D24)</f>
        <v>927.45459968423961</v>
      </c>
    </row>
    <row r="25" spans="1:7" x14ac:dyDescent="0.25">
      <c r="A25" s="12">
        <f t="shared" si="1"/>
        <v>0.61458333333333304</v>
      </c>
      <c r="B25">
        <v>931.1</v>
      </c>
      <c r="C25">
        <v>931.5</v>
      </c>
      <c r="D25">
        <v>150000</v>
      </c>
      <c r="E25">
        <f t="shared" si="0"/>
        <v>931.3</v>
      </c>
      <c r="F25">
        <f t="shared" si="2"/>
        <v>139695000</v>
      </c>
      <c r="G25">
        <f>SUM($F$6:F25)/SUM($D$6:D25)</f>
        <v>927.47328511961643</v>
      </c>
    </row>
    <row r="26" spans="1:7" x14ac:dyDescent="0.25">
      <c r="A26" s="18">
        <f t="shared" si="1"/>
        <v>0.62499999999999967</v>
      </c>
      <c r="B26" s="17">
        <v>930.5</v>
      </c>
      <c r="C26" s="17">
        <v>930.8</v>
      </c>
      <c r="D26" s="17">
        <v>10000</v>
      </c>
      <c r="E26" s="17">
        <f t="shared" si="0"/>
        <v>930.65</v>
      </c>
      <c r="F26">
        <f t="shared" si="2"/>
        <v>9306500</v>
      </c>
      <c r="G26">
        <f>SUM($F$6:F26)/SUM($D$6:D26)</f>
        <v>927.47431386518565</v>
      </c>
    </row>
    <row r="27" spans="1:7" x14ac:dyDescent="0.25">
      <c r="A27" s="12"/>
      <c r="D27" s="9">
        <f>SUM(D6:D26)</f>
        <v>30879500</v>
      </c>
      <c r="F27" s="9">
        <f>SUM(F6:F26)</f>
        <v>28639943075</v>
      </c>
    </row>
    <row r="28" spans="1:7" x14ac:dyDescent="0.25">
      <c r="A28" s="12"/>
    </row>
    <row r="29" spans="1:7" x14ac:dyDescent="0.25">
      <c r="A29" s="12"/>
    </row>
    <row r="30" spans="1:7" x14ac:dyDescent="0.25">
      <c r="A30" s="12"/>
      <c r="F30">
        <f>F27/D27</f>
        <v>927.47431386518565</v>
      </c>
    </row>
    <row r="31" spans="1:7" x14ac:dyDescent="0.25">
      <c r="A31"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2:K26"/>
  <sheetViews>
    <sheetView topLeftCell="A13" zoomScale="180" zoomScaleNormal="180" workbookViewId="0">
      <selection activeCell="A13" sqref="A13"/>
    </sheetView>
  </sheetViews>
  <sheetFormatPr defaultRowHeight="15" x14ac:dyDescent="0.25"/>
  <cols>
    <col min="2" max="2" width="10.140625" customWidth="1"/>
    <col min="3" max="3" width="22" customWidth="1"/>
    <col min="4" max="4" width="10.85546875" bestFit="1" customWidth="1"/>
    <col min="9" max="9" width="17.85546875" customWidth="1"/>
    <col min="10" max="10" width="13.140625" customWidth="1"/>
  </cols>
  <sheetData>
    <row r="2" spans="1:11" x14ac:dyDescent="0.25">
      <c r="A2" s="1" t="s">
        <v>280</v>
      </c>
    </row>
    <row r="3" spans="1:11" x14ac:dyDescent="0.25">
      <c r="C3" s="1" t="s">
        <v>305</v>
      </c>
      <c r="D3" s="1" t="s">
        <v>248</v>
      </c>
      <c r="J3" s="1" t="s">
        <v>216</v>
      </c>
    </row>
    <row r="4" spans="1:11" x14ac:dyDescent="0.25">
      <c r="B4" t="s">
        <v>22</v>
      </c>
      <c r="C4" s="3">
        <v>920</v>
      </c>
      <c r="D4">
        <v>50000</v>
      </c>
      <c r="J4" s="3">
        <f>D4*C4</f>
        <v>46000000</v>
      </c>
    </row>
    <row r="5" spans="1:11" x14ac:dyDescent="0.25">
      <c r="B5" t="s">
        <v>23</v>
      </c>
      <c r="C5" s="3">
        <v>923</v>
      </c>
      <c r="D5">
        <v>25000</v>
      </c>
      <c r="J5" s="3">
        <f t="shared" ref="J5:J8" si="0">D5*C5</f>
        <v>23075000</v>
      </c>
    </row>
    <row r="6" spans="1:11" x14ac:dyDescent="0.25">
      <c r="B6" t="s">
        <v>25</v>
      </c>
      <c r="C6" s="3">
        <v>925</v>
      </c>
      <c r="D6">
        <v>20000</v>
      </c>
      <c r="J6" s="3">
        <f t="shared" si="0"/>
        <v>18500000</v>
      </c>
    </row>
    <row r="7" spans="1:11" x14ac:dyDescent="0.25">
      <c r="B7" t="s">
        <v>26</v>
      </c>
      <c r="C7" s="3">
        <v>928</v>
      </c>
      <c r="D7">
        <v>100000</v>
      </c>
      <c r="J7" s="3">
        <f t="shared" si="0"/>
        <v>92800000</v>
      </c>
    </row>
    <row r="8" spans="1:11" x14ac:dyDescent="0.25">
      <c r="B8" t="s">
        <v>126</v>
      </c>
      <c r="C8" s="3">
        <v>930</v>
      </c>
      <c r="D8">
        <v>75000</v>
      </c>
      <c r="J8" s="3">
        <f t="shared" si="0"/>
        <v>69750000</v>
      </c>
      <c r="K8" s="1" t="s">
        <v>261</v>
      </c>
    </row>
    <row r="9" spans="1:11" x14ac:dyDescent="0.25">
      <c r="I9" t="s">
        <v>262</v>
      </c>
      <c r="J9" s="3">
        <f>SUM(J4:J8)</f>
        <v>250125000</v>
      </c>
      <c r="K9">
        <f>SUM(D4:D8)</f>
        <v>270000</v>
      </c>
    </row>
    <row r="10" spans="1:11" x14ac:dyDescent="0.25">
      <c r="B10" s="1" t="s">
        <v>205</v>
      </c>
    </row>
    <row r="11" spans="1:11" x14ac:dyDescent="0.25">
      <c r="I11" s="1" t="s">
        <v>216</v>
      </c>
      <c r="J11" s="6">
        <f>J9/K9</f>
        <v>926.38888888888891</v>
      </c>
    </row>
    <row r="21" spans="1:8" x14ac:dyDescent="0.25">
      <c r="A21" t="s">
        <v>24</v>
      </c>
    </row>
    <row r="24" spans="1:8" x14ac:dyDescent="0.25">
      <c r="C24" t="s">
        <v>27</v>
      </c>
      <c r="D24" s="4" t="s">
        <v>28</v>
      </c>
      <c r="E24" s="5" t="s">
        <v>202</v>
      </c>
      <c r="F24" t="s">
        <v>29</v>
      </c>
      <c r="H24" t="s">
        <v>30</v>
      </c>
    </row>
    <row r="26" spans="1:8" x14ac:dyDescent="0.25">
      <c r="D26" s="19">
        <f>SUMPRODUCT(C4:C8,D4:D8)/SUM(D4:D8)</f>
        <v>926.38888888888891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G65"/>
  <sheetViews>
    <sheetView zoomScale="150" zoomScaleNormal="150" workbookViewId="0">
      <selection activeCell="F9" sqref="F9"/>
    </sheetView>
  </sheetViews>
  <sheetFormatPr defaultRowHeight="15" x14ac:dyDescent="0.25"/>
  <sheetData>
    <row r="2" spans="1:6" x14ac:dyDescent="0.25">
      <c r="F2" s="1" t="s">
        <v>31</v>
      </c>
    </row>
    <row r="3" spans="1:6" x14ac:dyDescent="0.25">
      <c r="B3" s="1" t="s">
        <v>2</v>
      </c>
    </row>
    <row r="4" spans="1:6" x14ac:dyDescent="0.25">
      <c r="A4" t="s">
        <v>5</v>
      </c>
      <c r="B4" t="s">
        <v>3</v>
      </c>
      <c r="C4" t="s">
        <v>4</v>
      </c>
    </row>
    <row r="5" spans="1:6" x14ac:dyDescent="0.25">
      <c r="A5">
        <v>1</v>
      </c>
      <c r="B5">
        <v>100</v>
      </c>
      <c r="C5">
        <v>100.5</v>
      </c>
    </row>
    <row r="6" spans="1:6" x14ac:dyDescent="0.25">
      <c r="A6">
        <v>2</v>
      </c>
      <c r="B6">
        <v>99.5</v>
      </c>
      <c r="C6">
        <v>101</v>
      </c>
    </row>
    <row r="7" spans="1:6" x14ac:dyDescent="0.25">
      <c r="A7">
        <v>3</v>
      </c>
      <c r="B7">
        <v>99</v>
      </c>
      <c r="C7">
        <v>101.5</v>
      </c>
    </row>
    <row r="8" spans="1:6" x14ac:dyDescent="0.25">
      <c r="A8">
        <v>4</v>
      </c>
      <c r="B8">
        <v>98.25</v>
      </c>
      <c r="C8">
        <v>102.5</v>
      </c>
    </row>
    <row r="9" spans="1:6" x14ac:dyDescent="0.25">
      <c r="A9">
        <v>5</v>
      </c>
      <c r="B9">
        <v>98</v>
      </c>
      <c r="C9">
        <v>103</v>
      </c>
    </row>
    <row r="13" spans="1:6" x14ac:dyDescent="0.25">
      <c r="A13" t="s">
        <v>18</v>
      </c>
    </row>
    <row r="14" spans="1:6" x14ac:dyDescent="0.25">
      <c r="A14" s="1" t="s">
        <v>32</v>
      </c>
    </row>
    <row r="15" spans="1:6" x14ac:dyDescent="0.25">
      <c r="C15" s="1"/>
    </row>
    <row r="16" spans="1:6" x14ac:dyDescent="0.25">
      <c r="C16" s="1"/>
    </row>
    <row r="17" spans="1:7" x14ac:dyDescent="0.25">
      <c r="B17" t="s">
        <v>20</v>
      </c>
      <c r="D17" s="1" t="s">
        <v>2</v>
      </c>
    </row>
    <row r="18" spans="1:7" x14ac:dyDescent="0.25">
      <c r="C18" t="s">
        <v>5</v>
      </c>
      <c r="D18" t="s">
        <v>3</v>
      </c>
      <c r="E18" t="s">
        <v>4</v>
      </c>
      <c r="G18" s="1" t="s">
        <v>19</v>
      </c>
    </row>
    <row r="19" spans="1:7" x14ac:dyDescent="0.25">
      <c r="C19">
        <v>1</v>
      </c>
      <c r="D19" s="8">
        <v>100.1</v>
      </c>
      <c r="E19">
        <v>100.5</v>
      </c>
      <c r="G19" s="1" t="s">
        <v>206</v>
      </c>
    </row>
    <row r="20" spans="1:7" x14ac:dyDescent="0.25">
      <c r="C20">
        <v>2</v>
      </c>
      <c r="D20">
        <v>100</v>
      </c>
      <c r="E20">
        <v>100.5</v>
      </c>
    </row>
    <row r="21" spans="1:7" x14ac:dyDescent="0.25">
      <c r="C21">
        <v>3</v>
      </c>
      <c r="D21">
        <v>99.5</v>
      </c>
      <c r="E21">
        <v>101</v>
      </c>
    </row>
    <row r="22" spans="1:7" x14ac:dyDescent="0.25">
      <c r="C22">
        <v>4</v>
      </c>
      <c r="D22">
        <v>99</v>
      </c>
      <c r="E22">
        <v>101.5</v>
      </c>
    </row>
    <row r="23" spans="1:7" x14ac:dyDescent="0.25">
      <c r="C23">
        <v>5</v>
      </c>
      <c r="D23">
        <v>98.25</v>
      </c>
      <c r="E23">
        <v>102.5</v>
      </c>
    </row>
    <row r="24" spans="1:7" x14ac:dyDescent="0.25">
      <c r="D24">
        <v>98</v>
      </c>
      <c r="E24">
        <v>103</v>
      </c>
    </row>
    <row r="25" spans="1:7" x14ac:dyDescent="0.25">
      <c r="A25" s="1" t="s">
        <v>33</v>
      </c>
      <c r="B25" s="2">
        <v>0.4201388888888889</v>
      </c>
    </row>
    <row r="26" spans="1:7" x14ac:dyDescent="0.25">
      <c r="A26" s="1" t="s">
        <v>189</v>
      </c>
    </row>
    <row r="27" spans="1:7" x14ac:dyDescent="0.25">
      <c r="D27" s="1" t="s">
        <v>2</v>
      </c>
      <c r="G27" s="1" t="s">
        <v>21</v>
      </c>
    </row>
    <row r="28" spans="1:7" x14ac:dyDescent="0.25">
      <c r="C28" t="s">
        <v>5</v>
      </c>
      <c r="D28" t="s">
        <v>3</v>
      </c>
      <c r="E28" t="s">
        <v>4</v>
      </c>
    </row>
    <row r="29" spans="1:7" x14ac:dyDescent="0.25">
      <c r="C29">
        <v>1</v>
      </c>
      <c r="D29">
        <v>100.1</v>
      </c>
      <c r="E29">
        <v>100.3</v>
      </c>
    </row>
    <row r="30" spans="1:7" x14ac:dyDescent="0.25">
      <c r="C30">
        <v>2</v>
      </c>
      <c r="D30">
        <v>100</v>
      </c>
      <c r="E30">
        <v>100.5</v>
      </c>
    </row>
    <row r="31" spans="1:7" x14ac:dyDescent="0.25">
      <c r="C31">
        <v>3</v>
      </c>
      <c r="D31">
        <v>99.5</v>
      </c>
      <c r="E31">
        <v>101</v>
      </c>
    </row>
    <row r="32" spans="1:7" x14ac:dyDescent="0.25">
      <c r="C32">
        <v>4</v>
      </c>
      <c r="D32">
        <v>99</v>
      </c>
      <c r="E32">
        <v>101.5</v>
      </c>
    </row>
    <row r="33" spans="1:5" x14ac:dyDescent="0.25">
      <c r="C33">
        <v>5</v>
      </c>
      <c r="D33">
        <v>98.25</v>
      </c>
      <c r="E33">
        <v>102.5</v>
      </c>
    </row>
    <row r="34" spans="1:5" x14ac:dyDescent="0.25">
      <c r="D34">
        <v>98</v>
      </c>
      <c r="E34">
        <v>103</v>
      </c>
    </row>
    <row r="35" spans="1:5" x14ac:dyDescent="0.25">
      <c r="A35" s="1" t="s">
        <v>34</v>
      </c>
    </row>
    <row r="36" spans="1:5" x14ac:dyDescent="0.25">
      <c r="A36" s="1" t="s">
        <v>165</v>
      </c>
    </row>
    <row r="37" spans="1:5" x14ac:dyDescent="0.25">
      <c r="A37" s="1"/>
      <c r="B37" t="s">
        <v>35</v>
      </c>
      <c r="D37" s="1" t="s">
        <v>2</v>
      </c>
    </row>
    <row r="38" spans="1:5" x14ac:dyDescent="0.25">
      <c r="C38" t="s">
        <v>5</v>
      </c>
      <c r="D38" t="s">
        <v>3</v>
      </c>
      <c r="E38" t="s">
        <v>4</v>
      </c>
    </row>
    <row r="39" spans="1:5" x14ac:dyDescent="0.25">
      <c r="C39">
        <v>1</v>
      </c>
      <c r="D39">
        <v>100.2</v>
      </c>
      <c r="E39">
        <v>100.5</v>
      </c>
    </row>
    <row r="40" spans="1:5" x14ac:dyDescent="0.25">
      <c r="D40" s="8">
        <v>100.1</v>
      </c>
      <c r="E40">
        <v>100.5</v>
      </c>
    </row>
    <row r="41" spans="1:5" x14ac:dyDescent="0.25">
      <c r="C41">
        <v>2</v>
      </c>
      <c r="D41">
        <v>100</v>
      </c>
      <c r="E41">
        <v>101</v>
      </c>
    </row>
    <row r="42" spans="1:5" x14ac:dyDescent="0.25">
      <c r="C42">
        <v>3</v>
      </c>
      <c r="D42">
        <v>99.5</v>
      </c>
      <c r="E42">
        <v>101.5</v>
      </c>
    </row>
    <row r="43" spans="1:5" x14ac:dyDescent="0.25">
      <c r="C43">
        <v>4</v>
      </c>
      <c r="D43">
        <v>99</v>
      </c>
      <c r="E43">
        <v>102.5</v>
      </c>
    </row>
    <row r="44" spans="1:5" x14ac:dyDescent="0.25">
      <c r="C44">
        <v>5</v>
      </c>
      <c r="D44">
        <v>98.25</v>
      </c>
      <c r="E44">
        <v>103</v>
      </c>
    </row>
    <row r="45" spans="1:5" x14ac:dyDescent="0.25">
      <c r="B45" s="2"/>
      <c r="D45">
        <v>98</v>
      </c>
    </row>
    <row r="47" spans="1:5" x14ac:dyDescent="0.25">
      <c r="A47" t="s">
        <v>164</v>
      </c>
    </row>
    <row r="48" spans="1:5" x14ac:dyDescent="0.25">
      <c r="A48">
        <v>100.3</v>
      </c>
    </row>
    <row r="49" spans="1:5" x14ac:dyDescent="0.25">
      <c r="A49" s="1" t="s">
        <v>36</v>
      </c>
    </row>
    <row r="51" spans="1:5" x14ac:dyDescent="0.25">
      <c r="A51" t="s">
        <v>161</v>
      </c>
    </row>
    <row r="52" spans="1:5" x14ac:dyDescent="0.25">
      <c r="A52" s="1" t="s">
        <v>34</v>
      </c>
      <c r="B52" t="s">
        <v>35</v>
      </c>
      <c r="D52" s="1" t="s">
        <v>2</v>
      </c>
    </row>
    <row r="53" spans="1:5" x14ac:dyDescent="0.25">
      <c r="C53" t="s">
        <v>5</v>
      </c>
      <c r="D53" t="s">
        <v>3</v>
      </c>
      <c r="E53" t="s">
        <v>4</v>
      </c>
    </row>
    <row r="54" spans="1:5" x14ac:dyDescent="0.25">
      <c r="C54">
        <v>1</v>
      </c>
      <c r="D54" s="8">
        <v>100.3</v>
      </c>
      <c r="E54">
        <v>100.5</v>
      </c>
    </row>
    <row r="55" spans="1:5" x14ac:dyDescent="0.25">
      <c r="C55">
        <v>2</v>
      </c>
      <c r="D55">
        <v>100.2</v>
      </c>
      <c r="E55">
        <v>100.5</v>
      </c>
    </row>
    <row r="56" spans="1:5" x14ac:dyDescent="0.25">
      <c r="C56">
        <v>3</v>
      </c>
      <c r="D56">
        <v>100</v>
      </c>
      <c r="E56">
        <v>101</v>
      </c>
    </row>
    <row r="57" spans="1:5" x14ac:dyDescent="0.25">
      <c r="C57">
        <v>4</v>
      </c>
      <c r="D57">
        <v>99.5</v>
      </c>
      <c r="E57">
        <v>101.5</v>
      </c>
    </row>
    <row r="58" spans="1:5" x14ac:dyDescent="0.25">
      <c r="C58">
        <v>5</v>
      </c>
      <c r="D58">
        <v>99</v>
      </c>
      <c r="E58">
        <v>102.5</v>
      </c>
    </row>
    <row r="59" spans="1:5" x14ac:dyDescent="0.25">
      <c r="D59">
        <v>98.25</v>
      </c>
      <c r="E59">
        <v>103</v>
      </c>
    </row>
    <row r="60" spans="1:5" x14ac:dyDescent="0.25">
      <c r="D60">
        <v>98</v>
      </c>
    </row>
    <row r="62" spans="1:5" x14ac:dyDescent="0.25">
      <c r="A62" t="s">
        <v>162</v>
      </c>
    </row>
    <row r="63" spans="1:5" x14ac:dyDescent="0.25">
      <c r="A63" s="1" t="s">
        <v>163</v>
      </c>
    </row>
    <row r="65" spans="1:1" x14ac:dyDescent="0.25">
      <c r="A65" s="1" t="s">
        <v>265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2:G74"/>
  <sheetViews>
    <sheetView topLeftCell="A49" zoomScale="150" zoomScaleNormal="150" workbookViewId="0">
      <selection activeCell="G66" sqref="G66"/>
    </sheetView>
  </sheetViews>
  <sheetFormatPr defaultRowHeight="15" x14ac:dyDescent="0.25"/>
  <sheetData>
    <row r="2" spans="1:6" x14ac:dyDescent="0.25">
      <c r="F2" s="1" t="s">
        <v>31</v>
      </c>
    </row>
    <row r="3" spans="1:6" x14ac:dyDescent="0.25">
      <c r="B3" s="1" t="s">
        <v>2</v>
      </c>
    </row>
    <row r="4" spans="1:6" x14ac:dyDescent="0.25">
      <c r="A4" t="s">
        <v>5</v>
      </c>
      <c r="B4" t="s">
        <v>3</v>
      </c>
      <c r="C4" t="s">
        <v>4</v>
      </c>
    </row>
    <row r="5" spans="1:6" x14ac:dyDescent="0.25">
      <c r="A5">
        <v>1</v>
      </c>
      <c r="B5">
        <v>100</v>
      </c>
      <c r="C5">
        <v>100.5</v>
      </c>
    </row>
    <row r="6" spans="1:6" x14ac:dyDescent="0.25">
      <c r="A6">
        <v>2</v>
      </c>
      <c r="B6">
        <v>99.5</v>
      </c>
      <c r="C6">
        <v>101</v>
      </c>
    </row>
    <row r="7" spans="1:6" x14ac:dyDescent="0.25">
      <c r="A7">
        <v>3</v>
      </c>
      <c r="B7">
        <v>99</v>
      </c>
      <c r="C7">
        <v>101.5</v>
      </c>
    </row>
    <row r="8" spans="1:6" x14ac:dyDescent="0.25">
      <c r="A8">
        <v>4</v>
      </c>
      <c r="B8">
        <v>98.25</v>
      </c>
      <c r="C8">
        <v>102.5</v>
      </c>
    </row>
    <row r="9" spans="1:6" x14ac:dyDescent="0.25">
      <c r="A9">
        <v>5</v>
      </c>
      <c r="B9">
        <v>98</v>
      </c>
      <c r="C9">
        <v>103</v>
      </c>
    </row>
    <row r="13" spans="1:6" x14ac:dyDescent="0.25">
      <c r="A13" t="s">
        <v>18</v>
      </c>
    </row>
    <row r="14" spans="1:6" x14ac:dyDescent="0.25">
      <c r="A14" s="1" t="s">
        <v>313</v>
      </c>
    </row>
    <row r="15" spans="1:6" x14ac:dyDescent="0.25">
      <c r="C15" s="1"/>
    </row>
    <row r="16" spans="1:6" x14ac:dyDescent="0.25">
      <c r="C16" s="1"/>
    </row>
    <row r="17" spans="1:7" x14ac:dyDescent="0.25">
      <c r="B17" t="s">
        <v>20</v>
      </c>
      <c r="D17" s="1" t="s">
        <v>2</v>
      </c>
    </row>
    <row r="18" spans="1:7" x14ac:dyDescent="0.25">
      <c r="C18" t="s">
        <v>5</v>
      </c>
      <c r="D18" t="s">
        <v>3</v>
      </c>
      <c r="E18" t="s">
        <v>4</v>
      </c>
      <c r="G18" s="1" t="s">
        <v>19</v>
      </c>
    </row>
    <row r="19" spans="1:7" x14ac:dyDescent="0.25">
      <c r="C19">
        <v>1</v>
      </c>
      <c r="D19">
        <v>100</v>
      </c>
      <c r="E19">
        <v>100.4</v>
      </c>
      <c r="G19" s="1" t="s">
        <v>283</v>
      </c>
    </row>
    <row r="20" spans="1:7" x14ac:dyDescent="0.25">
      <c r="C20">
        <v>2</v>
      </c>
      <c r="D20">
        <v>99.5</v>
      </c>
      <c r="E20">
        <v>100.5</v>
      </c>
    </row>
    <row r="21" spans="1:7" x14ac:dyDescent="0.25">
      <c r="C21">
        <v>3</v>
      </c>
      <c r="D21">
        <v>99</v>
      </c>
      <c r="E21">
        <v>101</v>
      </c>
    </row>
    <row r="22" spans="1:7" x14ac:dyDescent="0.25">
      <c r="C22">
        <v>4</v>
      </c>
      <c r="D22">
        <v>98.25</v>
      </c>
      <c r="E22">
        <v>101.5</v>
      </c>
    </row>
    <row r="23" spans="1:7" x14ac:dyDescent="0.25">
      <c r="C23">
        <v>5</v>
      </c>
      <c r="D23">
        <v>98</v>
      </c>
      <c r="E23">
        <v>102.5</v>
      </c>
    </row>
    <row r="24" spans="1:7" x14ac:dyDescent="0.25">
      <c r="E24">
        <v>103</v>
      </c>
    </row>
    <row r="25" spans="1:7" x14ac:dyDescent="0.25">
      <c r="A25" s="1" t="s">
        <v>33</v>
      </c>
      <c r="B25" s="2">
        <v>0.4201388888888889</v>
      </c>
    </row>
    <row r="26" spans="1:7" x14ac:dyDescent="0.25">
      <c r="A26" s="1" t="s">
        <v>284</v>
      </c>
    </row>
    <row r="27" spans="1:7" x14ac:dyDescent="0.25">
      <c r="D27" s="1" t="s">
        <v>2</v>
      </c>
      <c r="G27" s="1" t="s">
        <v>285</v>
      </c>
    </row>
    <row r="28" spans="1:7" x14ac:dyDescent="0.25">
      <c r="C28" t="s">
        <v>5</v>
      </c>
      <c r="D28" t="s">
        <v>3</v>
      </c>
      <c r="E28" t="s">
        <v>4</v>
      </c>
    </row>
    <row r="29" spans="1:7" x14ac:dyDescent="0.25">
      <c r="C29">
        <v>1</v>
      </c>
      <c r="D29">
        <v>100.2</v>
      </c>
      <c r="E29">
        <v>100.4</v>
      </c>
    </row>
    <row r="30" spans="1:7" x14ac:dyDescent="0.25">
      <c r="C30">
        <v>2</v>
      </c>
      <c r="D30">
        <v>100</v>
      </c>
      <c r="E30">
        <v>100.5</v>
      </c>
    </row>
    <row r="31" spans="1:7" x14ac:dyDescent="0.25">
      <c r="C31">
        <v>3</v>
      </c>
      <c r="D31">
        <v>99.5</v>
      </c>
      <c r="E31">
        <v>101</v>
      </c>
    </row>
    <row r="32" spans="1:7" x14ac:dyDescent="0.25">
      <c r="C32">
        <v>4</v>
      </c>
      <c r="D32">
        <v>99</v>
      </c>
      <c r="E32">
        <v>101.5</v>
      </c>
    </row>
    <row r="33" spans="1:5" x14ac:dyDescent="0.25">
      <c r="C33">
        <v>5</v>
      </c>
      <c r="D33">
        <v>98.25</v>
      </c>
      <c r="E33">
        <v>102.5</v>
      </c>
    </row>
    <row r="34" spans="1:5" x14ac:dyDescent="0.25">
      <c r="D34">
        <v>98</v>
      </c>
      <c r="E34">
        <v>103</v>
      </c>
    </row>
    <row r="35" spans="1:5" x14ac:dyDescent="0.25">
      <c r="A35" s="1" t="s">
        <v>34</v>
      </c>
    </row>
    <row r="36" spans="1:5" x14ac:dyDescent="0.25">
      <c r="A36" s="1" t="s">
        <v>286</v>
      </c>
    </row>
    <row r="37" spans="1:5" x14ac:dyDescent="0.25">
      <c r="A37" s="1"/>
      <c r="B37" t="s">
        <v>35</v>
      </c>
      <c r="D37" s="1" t="s">
        <v>2</v>
      </c>
    </row>
    <row r="38" spans="1:5" x14ac:dyDescent="0.25">
      <c r="C38" t="s">
        <v>5</v>
      </c>
      <c r="D38" t="s">
        <v>3</v>
      </c>
      <c r="E38" t="s">
        <v>4</v>
      </c>
    </row>
    <row r="39" spans="1:5" x14ac:dyDescent="0.25">
      <c r="C39">
        <v>1</v>
      </c>
      <c r="D39">
        <v>100</v>
      </c>
      <c r="E39">
        <v>100.3</v>
      </c>
    </row>
    <row r="40" spans="1:5" x14ac:dyDescent="0.25">
      <c r="D40">
        <v>99.5</v>
      </c>
      <c r="E40">
        <v>100.4</v>
      </c>
    </row>
    <row r="41" spans="1:5" x14ac:dyDescent="0.25">
      <c r="C41">
        <v>2</v>
      </c>
      <c r="D41">
        <v>99</v>
      </c>
      <c r="E41">
        <v>100.5</v>
      </c>
    </row>
    <row r="42" spans="1:5" x14ac:dyDescent="0.25">
      <c r="C42">
        <v>3</v>
      </c>
      <c r="D42">
        <v>98.25</v>
      </c>
      <c r="E42">
        <v>101</v>
      </c>
    </row>
    <row r="43" spans="1:5" x14ac:dyDescent="0.25">
      <c r="C43">
        <v>4</v>
      </c>
      <c r="D43">
        <v>98</v>
      </c>
      <c r="E43">
        <v>101.5</v>
      </c>
    </row>
    <row r="44" spans="1:5" x14ac:dyDescent="0.25">
      <c r="C44">
        <v>5</v>
      </c>
      <c r="E44">
        <v>102.5</v>
      </c>
    </row>
    <row r="45" spans="1:5" x14ac:dyDescent="0.25">
      <c r="B45" s="2"/>
      <c r="E45">
        <v>103</v>
      </c>
    </row>
    <row r="47" spans="1:5" x14ac:dyDescent="0.25">
      <c r="A47" t="s">
        <v>287</v>
      </c>
    </row>
    <row r="49" spans="1:5" x14ac:dyDescent="0.25">
      <c r="A49" s="1" t="s">
        <v>288</v>
      </c>
    </row>
    <row r="51" spans="1:5" x14ac:dyDescent="0.25">
      <c r="A51" s="1" t="s">
        <v>289</v>
      </c>
    </row>
    <row r="52" spans="1:5" x14ac:dyDescent="0.25">
      <c r="A52" s="1" t="s">
        <v>34</v>
      </c>
      <c r="B52" t="s">
        <v>35</v>
      </c>
      <c r="D52" s="1" t="s">
        <v>2</v>
      </c>
    </row>
    <row r="53" spans="1:5" x14ac:dyDescent="0.25">
      <c r="C53" t="s">
        <v>5</v>
      </c>
      <c r="D53" t="s">
        <v>3</v>
      </c>
      <c r="E53" t="s">
        <v>4</v>
      </c>
    </row>
    <row r="54" spans="1:5" x14ac:dyDescent="0.25">
      <c r="C54">
        <v>1</v>
      </c>
      <c r="D54">
        <v>100</v>
      </c>
      <c r="E54">
        <v>100.2</v>
      </c>
    </row>
    <row r="55" spans="1:5" x14ac:dyDescent="0.25">
      <c r="C55">
        <v>2</v>
      </c>
      <c r="D55">
        <v>99.5</v>
      </c>
      <c r="E55">
        <v>100.3</v>
      </c>
    </row>
    <row r="56" spans="1:5" x14ac:dyDescent="0.25">
      <c r="C56">
        <v>3</v>
      </c>
      <c r="D56">
        <v>99</v>
      </c>
      <c r="E56">
        <v>100.5</v>
      </c>
    </row>
    <row r="57" spans="1:5" x14ac:dyDescent="0.25">
      <c r="C57">
        <v>4</v>
      </c>
      <c r="D57">
        <v>98.25</v>
      </c>
      <c r="E57">
        <v>101</v>
      </c>
    </row>
    <row r="58" spans="1:5" x14ac:dyDescent="0.25">
      <c r="C58">
        <v>5</v>
      </c>
      <c r="D58">
        <v>98</v>
      </c>
      <c r="E58">
        <v>101.5</v>
      </c>
    </row>
    <row r="59" spans="1:5" x14ac:dyDescent="0.25">
      <c r="E59">
        <v>102.5</v>
      </c>
    </row>
    <row r="60" spans="1:5" x14ac:dyDescent="0.25">
      <c r="E60">
        <v>103</v>
      </c>
    </row>
    <row r="62" spans="1:5" x14ac:dyDescent="0.25">
      <c r="A62" t="s">
        <v>162</v>
      </c>
    </row>
    <row r="63" spans="1:5" x14ac:dyDescent="0.25">
      <c r="A63" s="1" t="s">
        <v>306</v>
      </c>
    </row>
    <row r="74" spans="1:1" hidden="1" x14ac:dyDescent="0.25">
      <c r="A74" s="1"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O53"/>
  <sheetViews>
    <sheetView topLeftCell="A28" zoomScale="150" zoomScaleNormal="150" workbookViewId="0">
      <selection activeCell="H42" sqref="H42"/>
    </sheetView>
  </sheetViews>
  <sheetFormatPr defaultRowHeight="15" x14ac:dyDescent="0.25"/>
  <cols>
    <col min="1" max="1" width="13" customWidth="1"/>
  </cols>
  <sheetData>
    <row r="1" spans="1:15" x14ac:dyDescent="0.25">
      <c r="A1" s="1" t="s">
        <v>166</v>
      </c>
    </row>
    <row r="2" spans="1:15" x14ac:dyDescent="0.25">
      <c r="C2" s="1" t="s">
        <v>37</v>
      </c>
      <c r="D2" s="1" t="s">
        <v>4</v>
      </c>
      <c r="E2" s="1" t="s">
        <v>38</v>
      </c>
      <c r="G2" t="s">
        <v>39</v>
      </c>
      <c r="K2" s="1"/>
      <c r="L2" s="1"/>
      <c r="M2" s="1"/>
    </row>
    <row r="3" spans="1:15" x14ac:dyDescent="0.25">
      <c r="C3">
        <v>100</v>
      </c>
      <c r="D3">
        <v>101</v>
      </c>
      <c r="E3" s="1">
        <v>100.5</v>
      </c>
      <c r="G3" s="1">
        <v>0.5</v>
      </c>
      <c r="M3" s="1"/>
      <c r="O3" s="1"/>
    </row>
    <row r="4" spans="1:15" x14ac:dyDescent="0.25">
      <c r="G4" s="1"/>
    </row>
    <row r="5" spans="1:15" x14ac:dyDescent="0.25">
      <c r="G5" s="1"/>
    </row>
    <row r="7" spans="1:15" x14ac:dyDescent="0.25">
      <c r="A7" s="1" t="s">
        <v>185</v>
      </c>
      <c r="C7" t="s">
        <v>92</v>
      </c>
    </row>
    <row r="9" spans="1:15" x14ac:dyDescent="0.25">
      <c r="A9" s="1" t="s">
        <v>93</v>
      </c>
      <c r="C9" s="1" t="s">
        <v>37</v>
      </c>
      <c r="D9" s="1" t="s">
        <v>4</v>
      </c>
    </row>
    <row r="10" spans="1:15" x14ac:dyDescent="0.25">
      <c r="C10">
        <v>100.1</v>
      </c>
      <c r="D10">
        <v>101</v>
      </c>
    </row>
    <row r="12" spans="1:15" x14ac:dyDescent="0.25">
      <c r="A12" t="s">
        <v>212</v>
      </c>
    </row>
    <row r="13" spans="1:15" x14ac:dyDescent="0.25">
      <c r="A13" t="s">
        <v>188</v>
      </c>
    </row>
    <row r="14" spans="1:15" x14ac:dyDescent="0.25">
      <c r="C14" s="1" t="s">
        <v>37</v>
      </c>
      <c r="D14" s="1" t="s">
        <v>4</v>
      </c>
    </row>
    <row r="15" spans="1:15" x14ac:dyDescent="0.25">
      <c r="C15">
        <v>100.15</v>
      </c>
      <c r="D15">
        <v>101</v>
      </c>
    </row>
    <row r="17" spans="1:14" x14ac:dyDescent="0.25">
      <c r="A17" t="s">
        <v>186</v>
      </c>
    </row>
    <row r="18" spans="1:14" x14ac:dyDescent="0.25">
      <c r="A18" t="s">
        <v>93</v>
      </c>
      <c r="C18" s="1" t="s">
        <v>37</v>
      </c>
      <c r="D18" s="1" t="s">
        <v>4</v>
      </c>
    </row>
    <row r="19" spans="1:14" x14ac:dyDescent="0.25">
      <c r="C19">
        <v>100.25</v>
      </c>
      <c r="D19">
        <v>101</v>
      </c>
    </row>
    <row r="21" spans="1:14" x14ac:dyDescent="0.25">
      <c r="A21" s="1" t="s">
        <v>187</v>
      </c>
    </row>
    <row r="22" spans="1:14" x14ac:dyDescent="0.25">
      <c r="A22" s="1"/>
    </row>
    <row r="23" spans="1:14" x14ac:dyDescent="0.25">
      <c r="A23" s="1" t="s">
        <v>40</v>
      </c>
    </row>
    <row r="24" spans="1:14" x14ac:dyDescent="0.25">
      <c r="C24" t="s">
        <v>3</v>
      </c>
      <c r="D24" t="s">
        <v>4</v>
      </c>
    </row>
    <row r="25" spans="1:14" x14ac:dyDescent="0.25">
      <c r="C25">
        <v>100</v>
      </c>
      <c r="D25">
        <v>101</v>
      </c>
    </row>
    <row r="26" spans="1:14" x14ac:dyDescent="0.25">
      <c r="C26" s="1" t="s">
        <v>217</v>
      </c>
    </row>
    <row r="28" spans="1:14" x14ac:dyDescent="0.25">
      <c r="M28" s="1"/>
      <c r="N28" s="1"/>
    </row>
    <row r="29" spans="1:14" x14ac:dyDescent="0.25">
      <c r="A29" s="1" t="s">
        <v>94</v>
      </c>
    </row>
    <row r="30" spans="1:14" x14ac:dyDescent="0.25">
      <c r="A30" s="1"/>
      <c r="C30" t="s">
        <v>37</v>
      </c>
      <c r="D30" t="s">
        <v>4</v>
      </c>
    </row>
    <row r="31" spans="1:14" x14ac:dyDescent="0.25">
      <c r="C31">
        <v>100.2</v>
      </c>
      <c r="D31">
        <v>101</v>
      </c>
    </row>
    <row r="33" spans="1:10" x14ac:dyDescent="0.25">
      <c r="A33" t="s">
        <v>218</v>
      </c>
    </row>
    <row r="34" spans="1:10" x14ac:dyDescent="0.25">
      <c r="C34" s="13" t="s">
        <v>37</v>
      </c>
      <c r="D34" s="13" t="s">
        <v>4</v>
      </c>
    </row>
    <row r="35" spans="1:10" x14ac:dyDescent="0.25">
      <c r="C35" s="8">
        <v>100.25</v>
      </c>
      <c r="D35" s="8">
        <v>101</v>
      </c>
    </row>
    <row r="37" spans="1:10" s="28" customFormat="1" x14ac:dyDescent="0.25">
      <c r="A37" s="27" t="s">
        <v>95</v>
      </c>
    </row>
    <row r="38" spans="1:10" s="28" customFormat="1" x14ac:dyDescent="0.25">
      <c r="C38" s="28" t="s">
        <v>219</v>
      </c>
    </row>
    <row r="40" spans="1:10" x14ac:dyDescent="0.25">
      <c r="A40" s="1" t="s">
        <v>220</v>
      </c>
    </row>
    <row r="42" spans="1:10" x14ac:dyDescent="0.25">
      <c r="C42" t="s">
        <v>96</v>
      </c>
      <c r="J42" s="1" t="s">
        <v>221</v>
      </c>
    </row>
    <row r="43" spans="1:10" x14ac:dyDescent="0.25">
      <c r="B43" t="s">
        <v>97</v>
      </c>
    </row>
    <row r="44" spans="1:10" x14ac:dyDescent="0.25">
      <c r="C44" s="1" t="s">
        <v>3</v>
      </c>
      <c r="D44" s="1" t="s">
        <v>4</v>
      </c>
    </row>
    <row r="45" spans="1:10" x14ac:dyDescent="0.25">
      <c r="C45" s="1">
        <v>100</v>
      </c>
      <c r="D45" s="1">
        <v>101</v>
      </c>
    </row>
    <row r="46" spans="1:10" x14ac:dyDescent="0.25">
      <c r="B46" s="13" t="s">
        <v>222</v>
      </c>
      <c r="C46" s="8"/>
      <c r="D46" s="8"/>
      <c r="E46" s="8"/>
      <c r="F46" s="8"/>
      <c r="G46" s="8"/>
      <c r="H46" s="8"/>
      <c r="I46" s="8"/>
    </row>
    <row r="50" spans="1:1" x14ac:dyDescent="0.25">
      <c r="A50" s="1"/>
    </row>
    <row r="53" spans="1:1" x14ac:dyDescent="0.25">
      <c r="A53" s="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2:H29"/>
  <sheetViews>
    <sheetView topLeftCell="A22" zoomScale="170" zoomScaleNormal="170" workbookViewId="0">
      <selection activeCell="E14" sqref="E14"/>
    </sheetView>
  </sheetViews>
  <sheetFormatPr defaultRowHeight="15" x14ac:dyDescent="0.25"/>
  <cols>
    <col min="1" max="1" width="16.28515625" bestFit="1" customWidth="1"/>
    <col min="2" max="2" width="39.5703125" customWidth="1"/>
    <col min="7" max="7" width="14.7109375" bestFit="1" customWidth="1"/>
  </cols>
  <sheetData>
    <row r="2" spans="1:8" x14ac:dyDescent="0.25">
      <c r="D2" s="1"/>
      <c r="E2" s="1" t="s">
        <v>2</v>
      </c>
      <c r="F2" s="1"/>
      <c r="G2" s="1"/>
    </row>
    <row r="3" spans="1:8" x14ac:dyDescent="0.25">
      <c r="A3" s="1" t="s">
        <v>20</v>
      </c>
      <c r="C3" t="s">
        <v>5</v>
      </c>
      <c r="D3" s="1" t="s">
        <v>41</v>
      </c>
      <c r="E3" s="1" t="s">
        <v>3</v>
      </c>
      <c r="F3" s="1" t="s">
        <v>4</v>
      </c>
      <c r="G3" s="1" t="s">
        <v>41</v>
      </c>
      <c r="H3" s="1"/>
    </row>
    <row r="4" spans="1:8" x14ac:dyDescent="0.25">
      <c r="A4" s="1" t="s">
        <v>44</v>
      </c>
      <c r="B4" t="s">
        <v>224</v>
      </c>
      <c r="C4">
        <v>1</v>
      </c>
      <c r="D4" s="1">
        <v>500</v>
      </c>
      <c r="E4" s="1">
        <v>100</v>
      </c>
      <c r="F4" s="1">
        <v>100.5</v>
      </c>
      <c r="G4" s="1">
        <v>100</v>
      </c>
    </row>
    <row r="5" spans="1:8" x14ac:dyDescent="0.25">
      <c r="A5">
        <v>500</v>
      </c>
      <c r="C5">
        <v>2</v>
      </c>
      <c r="D5" s="1">
        <v>250</v>
      </c>
      <c r="E5" s="1">
        <v>99.5</v>
      </c>
      <c r="F5" s="1">
        <v>101</v>
      </c>
      <c r="G5" s="1">
        <v>200</v>
      </c>
    </row>
    <row r="6" spans="1:8" x14ac:dyDescent="0.25">
      <c r="A6" s="1" t="s">
        <v>168</v>
      </c>
      <c r="C6">
        <v>3</v>
      </c>
      <c r="D6" s="1">
        <v>100</v>
      </c>
      <c r="E6" s="1">
        <v>99</v>
      </c>
      <c r="F6" s="1">
        <v>101.5</v>
      </c>
      <c r="G6" s="1">
        <v>50</v>
      </c>
    </row>
    <row r="7" spans="1:8" x14ac:dyDescent="0.25">
      <c r="A7">
        <v>750</v>
      </c>
      <c r="C7">
        <v>4</v>
      </c>
      <c r="D7" s="1">
        <v>300</v>
      </c>
      <c r="E7" s="1">
        <v>98.25</v>
      </c>
      <c r="F7" s="1">
        <v>102.5</v>
      </c>
      <c r="G7" s="1">
        <v>10</v>
      </c>
    </row>
    <row r="8" spans="1:8" x14ac:dyDescent="0.25">
      <c r="C8">
        <v>5</v>
      </c>
      <c r="D8" s="1">
        <v>500</v>
      </c>
      <c r="E8" s="1">
        <v>98</v>
      </c>
      <c r="F8" s="1">
        <v>103</v>
      </c>
      <c r="G8" s="1">
        <v>30</v>
      </c>
    </row>
    <row r="10" spans="1:8" x14ac:dyDescent="0.25">
      <c r="A10" s="1" t="s">
        <v>249</v>
      </c>
      <c r="B10" t="s">
        <v>42</v>
      </c>
    </row>
    <row r="11" spans="1:8" x14ac:dyDescent="0.25">
      <c r="E11" t="s">
        <v>2</v>
      </c>
    </row>
    <row r="12" spans="1:8" x14ac:dyDescent="0.25">
      <c r="C12" t="s">
        <v>5</v>
      </c>
      <c r="D12" t="s">
        <v>41</v>
      </c>
      <c r="E12" t="s">
        <v>3</v>
      </c>
      <c r="F12" t="s">
        <v>4</v>
      </c>
      <c r="G12" t="s">
        <v>41</v>
      </c>
    </row>
    <row r="13" spans="1:8" x14ac:dyDescent="0.25">
      <c r="A13" s="1" t="s">
        <v>43</v>
      </c>
      <c r="B13" t="s">
        <v>223</v>
      </c>
      <c r="C13">
        <v>1</v>
      </c>
      <c r="D13" s="1">
        <v>200</v>
      </c>
      <c r="E13" s="1">
        <v>100.1</v>
      </c>
      <c r="F13" s="1">
        <v>100.5</v>
      </c>
      <c r="G13" s="1">
        <v>100</v>
      </c>
    </row>
    <row r="14" spans="1:8" x14ac:dyDescent="0.25">
      <c r="A14" t="s">
        <v>44</v>
      </c>
      <c r="C14">
        <f>C13+1</f>
        <v>2</v>
      </c>
      <c r="D14" s="1">
        <v>500</v>
      </c>
      <c r="E14" s="1">
        <v>100</v>
      </c>
      <c r="F14" s="1">
        <v>101</v>
      </c>
      <c r="G14" s="1">
        <v>200</v>
      </c>
    </row>
    <row r="15" spans="1:8" x14ac:dyDescent="0.25">
      <c r="A15">
        <v>200</v>
      </c>
      <c r="C15">
        <f t="shared" ref="C15:C18" si="0">C14+1</f>
        <v>3</v>
      </c>
      <c r="D15" s="1">
        <v>250</v>
      </c>
      <c r="E15" s="1">
        <v>99.5</v>
      </c>
      <c r="F15" s="1">
        <v>101.5</v>
      </c>
      <c r="G15" s="1">
        <v>50</v>
      </c>
    </row>
    <row r="16" spans="1:8" x14ac:dyDescent="0.25">
      <c r="C16">
        <f t="shared" si="0"/>
        <v>4</v>
      </c>
      <c r="D16" s="1">
        <v>100</v>
      </c>
      <c r="E16" s="1">
        <v>99</v>
      </c>
      <c r="F16" s="1">
        <v>102.5</v>
      </c>
      <c r="G16" s="1">
        <v>10</v>
      </c>
    </row>
    <row r="17" spans="1:7" x14ac:dyDescent="0.25">
      <c r="C17">
        <f t="shared" si="0"/>
        <v>5</v>
      </c>
      <c r="D17" s="1">
        <v>300</v>
      </c>
      <c r="E17" s="1">
        <v>98.25</v>
      </c>
      <c r="F17" s="1">
        <v>103</v>
      </c>
      <c r="G17" s="1">
        <v>30</v>
      </c>
    </row>
    <row r="18" spans="1:7" x14ac:dyDescent="0.25">
      <c r="C18">
        <f t="shared" si="0"/>
        <v>6</v>
      </c>
      <c r="D18" s="1">
        <v>500</v>
      </c>
      <c r="E18" s="1">
        <v>98</v>
      </c>
    </row>
    <row r="20" spans="1:7" x14ac:dyDescent="0.25">
      <c r="B20" s="1" t="s">
        <v>225</v>
      </c>
    </row>
    <row r="22" spans="1:7" x14ac:dyDescent="0.25">
      <c r="A22" s="1" t="s">
        <v>33</v>
      </c>
    </row>
    <row r="23" spans="1:7" x14ac:dyDescent="0.25">
      <c r="A23" s="1"/>
      <c r="B23" t="s">
        <v>236</v>
      </c>
      <c r="C23" t="s">
        <v>239</v>
      </c>
      <c r="G23" t="s">
        <v>240</v>
      </c>
    </row>
    <row r="25" spans="1:7" x14ac:dyDescent="0.25">
      <c r="A25" s="1" t="s">
        <v>34</v>
      </c>
      <c r="B25" t="s">
        <v>236</v>
      </c>
      <c r="C25" t="s">
        <v>237</v>
      </c>
      <c r="G25" t="s">
        <v>244</v>
      </c>
    </row>
    <row r="26" spans="1:7" x14ac:dyDescent="0.25">
      <c r="B26" t="s">
        <v>238</v>
      </c>
      <c r="C26" t="s">
        <v>237</v>
      </c>
      <c r="G26" t="s">
        <v>245</v>
      </c>
    </row>
    <row r="27" spans="1:7" x14ac:dyDescent="0.25">
      <c r="B27" t="s">
        <v>241</v>
      </c>
      <c r="C27" t="s">
        <v>237</v>
      </c>
    </row>
    <row r="28" spans="1:7" x14ac:dyDescent="0.25">
      <c r="B28" t="s">
        <v>242</v>
      </c>
      <c r="C28" t="s">
        <v>237</v>
      </c>
    </row>
    <row r="29" spans="1:7" x14ac:dyDescent="0.25">
      <c r="B29" t="s">
        <v>243</v>
      </c>
      <c r="C29" t="s">
        <v>237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37"/>
  <sheetViews>
    <sheetView zoomScale="150" zoomScaleNormal="150" workbookViewId="0">
      <selection activeCell="I21" sqref="I21"/>
    </sheetView>
  </sheetViews>
  <sheetFormatPr defaultRowHeight="15" x14ac:dyDescent="0.25"/>
  <cols>
    <col min="2" max="2" width="19.28515625" customWidth="1"/>
    <col min="3" max="3" width="24.140625" customWidth="1"/>
  </cols>
  <sheetData>
    <row r="1" spans="1:15" x14ac:dyDescent="0.25">
      <c r="O1" s="1"/>
    </row>
    <row r="2" spans="1:15" x14ac:dyDescent="0.25">
      <c r="B2" t="s">
        <v>49</v>
      </c>
      <c r="C2" t="s">
        <v>50</v>
      </c>
    </row>
    <row r="3" spans="1:15" x14ac:dyDescent="0.25">
      <c r="C3" t="s">
        <v>45</v>
      </c>
      <c r="D3" t="s">
        <v>46</v>
      </c>
      <c r="E3" t="s">
        <v>47</v>
      </c>
      <c r="F3" t="s">
        <v>48</v>
      </c>
      <c r="H3" s="1" t="s">
        <v>204</v>
      </c>
      <c r="I3" s="1" t="s">
        <v>315</v>
      </c>
    </row>
    <row r="4" spans="1:15" x14ac:dyDescent="0.25">
      <c r="C4" t="s">
        <v>46</v>
      </c>
      <c r="D4" t="s">
        <v>52</v>
      </c>
      <c r="H4" t="s">
        <v>52</v>
      </c>
      <c r="I4" s="7">
        <v>0.01</v>
      </c>
    </row>
    <row r="5" spans="1:15" x14ac:dyDescent="0.25">
      <c r="C5" t="s">
        <v>47</v>
      </c>
      <c r="E5" t="s">
        <v>53</v>
      </c>
      <c r="H5" t="s">
        <v>53</v>
      </c>
      <c r="I5" s="7">
        <v>0.05</v>
      </c>
    </row>
    <row r="6" spans="1:15" x14ac:dyDescent="0.25">
      <c r="C6" t="s">
        <v>48</v>
      </c>
      <c r="F6" t="s">
        <v>51</v>
      </c>
      <c r="H6" t="s">
        <v>51</v>
      </c>
      <c r="I6" s="7">
        <v>0.15</v>
      </c>
    </row>
    <row r="8" spans="1:15" x14ac:dyDescent="0.25">
      <c r="B8" t="s">
        <v>139</v>
      </c>
    </row>
    <row r="11" spans="1:15" x14ac:dyDescent="0.25">
      <c r="A11" s="1" t="s">
        <v>169</v>
      </c>
      <c r="B11" s="1" t="s">
        <v>170</v>
      </c>
    </row>
    <row r="12" spans="1:15" x14ac:dyDescent="0.25">
      <c r="A12" t="s">
        <v>171</v>
      </c>
    </row>
    <row r="13" spans="1:15" x14ac:dyDescent="0.25">
      <c r="A13" s="1" t="s">
        <v>100</v>
      </c>
      <c r="B13" s="11" t="s">
        <v>141</v>
      </c>
    </row>
    <row r="14" spans="1:15" x14ac:dyDescent="0.25">
      <c r="B14" s="16">
        <v>180000</v>
      </c>
      <c r="C14" t="s">
        <v>140</v>
      </c>
    </row>
    <row r="15" spans="1:15" x14ac:dyDescent="0.25">
      <c r="B15" s="16">
        <f>B14/6</f>
        <v>30000</v>
      </c>
      <c r="C15" t="s">
        <v>98</v>
      </c>
    </row>
    <row r="17" spans="1:9" x14ac:dyDescent="0.25">
      <c r="B17">
        <f>B15/60</f>
        <v>500</v>
      </c>
      <c r="C17" t="s">
        <v>99</v>
      </c>
    </row>
    <row r="20" spans="1:9" x14ac:dyDescent="0.25">
      <c r="A20" s="1" t="s">
        <v>203</v>
      </c>
    </row>
    <row r="21" spans="1:9" x14ac:dyDescent="0.25">
      <c r="A21" t="s">
        <v>172</v>
      </c>
    </row>
    <row r="22" spans="1:9" x14ac:dyDescent="0.25">
      <c r="A22" s="1" t="s">
        <v>174</v>
      </c>
    </row>
    <row r="23" spans="1:9" x14ac:dyDescent="0.25">
      <c r="A23" s="1" t="s">
        <v>173</v>
      </c>
    </row>
    <row r="25" spans="1:9" x14ac:dyDescent="0.25">
      <c r="A25" t="s">
        <v>175</v>
      </c>
    </row>
    <row r="26" spans="1:9" x14ac:dyDescent="0.25">
      <c r="A26" s="9" t="s">
        <v>176</v>
      </c>
      <c r="B26" t="s">
        <v>177</v>
      </c>
    </row>
    <row r="27" spans="1:9" x14ac:dyDescent="0.25">
      <c r="A27" s="1">
        <f>500*0.15</f>
        <v>75</v>
      </c>
      <c r="B27" t="s">
        <v>177</v>
      </c>
      <c r="D27" s="1" t="s">
        <v>208</v>
      </c>
      <c r="F27">
        <v>10000</v>
      </c>
    </row>
    <row r="28" spans="1:9" x14ac:dyDescent="0.25">
      <c r="F28">
        <f>F27/A27</f>
        <v>133.33333333333334</v>
      </c>
      <c r="G28" t="s">
        <v>59</v>
      </c>
      <c r="I28" s="1" t="s">
        <v>190</v>
      </c>
    </row>
    <row r="30" spans="1:9" x14ac:dyDescent="0.25">
      <c r="F30" s="1"/>
    </row>
    <row r="31" spans="1:9" x14ac:dyDescent="0.25">
      <c r="B31" t="s">
        <v>54</v>
      </c>
      <c r="C31" t="s">
        <v>55</v>
      </c>
    </row>
    <row r="32" spans="1:9" x14ac:dyDescent="0.25">
      <c r="B32" t="s">
        <v>307</v>
      </c>
    </row>
    <row r="33" spans="2:8" x14ac:dyDescent="0.25">
      <c r="B33" s="1" t="s">
        <v>101</v>
      </c>
      <c r="C33" s="1" t="s">
        <v>56</v>
      </c>
      <c r="D33" s="1">
        <v>10000</v>
      </c>
    </row>
    <row r="34" spans="2:8" x14ac:dyDescent="0.25">
      <c r="C34" t="s">
        <v>266</v>
      </c>
      <c r="D34" s="7">
        <v>0.15</v>
      </c>
      <c r="E34" t="s">
        <v>57</v>
      </c>
      <c r="G34" t="s">
        <v>178</v>
      </c>
    </row>
    <row r="35" spans="2:8" x14ac:dyDescent="0.25">
      <c r="C35" t="s">
        <v>58</v>
      </c>
      <c r="D35">
        <v>500</v>
      </c>
      <c r="E35" t="s">
        <v>142</v>
      </c>
    </row>
    <row r="36" spans="2:8" x14ac:dyDescent="0.25">
      <c r="G36">
        <f>500*0.15</f>
        <v>75</v>
      </c>
      <c r="H36" t="s">
        <v>179</v>
      </c>
    </row>
    <row r="37" spans="2:8" x14ac:dyDescent="0.25">
      <c r="C37" s="1" t="s">
        <v>54</v>
      </c>
      <c r="D37" s="1">
        <f>D33/D34/D35</f>
        <v>133.33333333333334</v>
      </c>
      <c r="E37" s="1" t="s">
        <v>59</v>
      </c>
      <c r="G37" s="1">
        <f>D33/G36</f>
        <v>133.33333333333334</v>
      </c>
      <c r="H37" s="1" t="s">
        <v>59</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2:G62"/>
  <sheetViews>
    <sheetView topLeftCell="A16" zoomScale="150" zoomScaleNormal="150" workbookViewId="0">
      <selection activeCell="G24" sqref="G24:L25"/>
    </sheetView>
  </sheetViews>
  <sheetFormatPr defaultRowHeight="15" x14ac:dyDescent="0.25"/>
  <cols>
    <col min="1" max="1" width="14.28515625" customWidth="1"/>
    <col min="2" max="2" width="19.85546875" customWidth="1"/>
  </cols>
  <sheetData>
    <row r="2" spans="1:3" x14ac:dyDescent="0.25">
      <c r="A2" t="s">
        <v>108</v>
      </c>
      <c r="C2" s="1" t="s">
        <v>191</v>
      </c>
    </row>
    <row r="5" spans="1:3" x14ac:dyDescent="0.25">
      <c r="A5" t="s">
        <v>109</v>
      </c>
      <c r="C5" t="s">
        <v>110</v>
      </c>
    </row>
    <row r="8" spans="1:3" x14ac:dyDescent="0.25">
      <c r="C8" s="1" t="s">
        <v>102</v>
      </c>
    </row>
    <row r="9" spans="1:3" x14ac:dyDescent="0.25">
      <c r="B9" s="1" t="s">
        <v>103</v>
      </c>
      <c r="C9" t="s">
        <v>111</v>
      </c>
    </row>
    <row r="10" spans="1:3" x14ac:dyDescent="0.25">
      <c r="B10" s="1" t="s">
        <v>105</v>
      </c>
      <c r="C10" t="s">
        <v>104</v>
      </c>
    </row>
    <row r="11" spans="1:3" x14ac:dyDescent="0.25">
      <c r="B11" s="1" t="s">
        <v>107</v>
      </c>
      <c r="C11" t="s">
        <v>106</v>
      </c>
    </row>
    <row r="16" spans="1:3" x14ac:dyDescent="0.25">
      <c r="B16" t="s">
        <v>2</v>
      </c>
    </row>
    <row r="17" spans="1:7" x14ac:dyDescent="0.25">
      <c r="A17" t="s">
        <v>5</v>
      </c>
      <c r="B17" t="s">
        <v>3</v>
      </c>
      <c r="C17" t="s">
        <v>4</v>
      </c>
    </row>
    <row r="18" spans="1:7" x14ac:dyDescent="0.25">
      <c r="A18">
        <v>1</v>
      </c>
      <c r="B18">
        <v>100</v>
      </c>
      <c r="C18">
        <v>100.5</v>
      </c>
    </row>
    <row r="19" spans="1:7" x14ac:dyDescent="0.25">
      <c r="A19">
        <v>2</v>
      </c>
      <c r="B19">
        <v>99.5</v>
      </c>
      <c r="C19">
        <v>101</v>
      </c>
    </row>
    <row r="20" spans="1:7" x14ac:dyDescent="0.25">
      <c r="A20">
        <v>3</v>
      </c>
      <c r="B20">
        <v>99</v>
      </c>
      <c r="C20">
        <v>101.5</v>
      </c>
    </row>
    <row r="21" spans="1:7" x14ac:dyDescent="0.25">
      <c r="A21">
        <v>4</v>
      </c>
      <c r="B21">
        <v>98.25</v>
      </c>
      <c r="C21">
        <v>102.5</v>
      </c>
    </row>
    <row r="22" spans="1:7" x14ac:dyDescent="0.25">
      <c r="A22">
        <v>5</v>
      </c>
      <c r="B22">
        <v>98</v>
      </c>
      <c r="C22">
        <v>103</v>
      </c>
    </row>
    <row r="24" spans="1:7" x14ac:dyDescent="0.25">
      <c r="B24" t="s">
        <v>60</v>
      </c>
      <c r="G24" s="1" t="s">
        <v>192</v>
      </c>
    </row>
    <row r="25" spans="1:7" x14ac:dyDescent="0.25">
      <c r="B25" t="s">
        <v>61</v>
      </c>
      <c r="G25" s="1" t="s">
        <v>193</v>
      </c>
    </row>
    <row r="26" spans="1:7" x14ac:dyDescent="0.25">
      <c r="B26" t="s">
        <v>62</v>
      </c>
    </row>
    <row r="27" spans="1:7" x14ac:dyDescent="0.25">
      <c r="B27" t="s">
        <v>267</v>
      </c>
      <c r="G27" s="1" t="s">
        <v>268</v>
      </c>
    </row>
    <row r="28" spans="1:7" x14ac:dyDescent="0.25">
      <c r="A28" s="1" t="s">
        <v>143</v>
      </c>
      <c r="B28" t="s">
        <v>146</v>
      </c>
      <c r="G28" s="1"/>
    </row>
    <row r="30" spans="1:7" x14ac:dyDescent="0.25">
      <c r="A30" t="s">
        <v>20</v>
      </c>
    </row>
    <row r="31" spans="1:7" x14ac:dyDescent="0.25">
      <c r="B31" t="s">
        <v>2</v>
      </c>
    </row>
    <row r="32" spans="1:7" x14ac:dyDescent="0.25">
      <c r="A32" t="s">
        <v>5</v>
      </c>
      <c r="B32" t="s">
        <v>3</v>
      </c>
      <c r="C32" t="s">
        <v>4</v>
      </c>
    </row>
    <row r="33" spans="1:4" x14ac:dyDescent="0.25">
      <c r="A33">
        <v>1</v>
      </c>
      <c r="B33">
        <v>100.05</v>
      </c>
      <c r="C33">
        <v>100.5</v>
      </c>
    </row>
    <row r="34" spans="1:4" x14ac:dyDescent="0.25">
      <c r="A34">
        <v>2</v>
      </c>
      <c r="B34">
        <v>100</v>
      </c>
      <c r="C34">
        <v>101</v>
      </c>
    </row>
    <row r="35" spans="1:4" x14ac:dyDescent="0.25">
      <c r="A35">
        <v>3</v>
      </c>
      <c r="B35">
        <v>99.5</v>
      </c>
      <c r="C35">
        <v>101.5</v>
      </c>
    </row>
    <row r="36" spans="1:4" x14ac:dyDescent="0.25">
      <c r="A36">
        <v>4</v>
      </c>
      <c r="B36">
        <v>99</v>
      </c>
      <c r="C36">
        <v>102.5</v>
      </c>
    </row>
    <row r="37" spans="1:4" x14ac:dyDescent="0.25">
      <c r="A37">
        <v>5</v>
      </c>
      <c r="B37">
        <v>98.25</v>
      </c>
      <c r="C37">
        <v>103</v>
      </c>
      <c r="D37" s="1"/>
    </row>
    <row r="38" spans="1:4" x14ac:dyDescent="0.25">
      <c r="B38">
        <v>98</v>
      </c>
    </row>
    <row r="39" spans="1:4" x14ac:dyDescent="0.25">
      <c r="A39" s="1" t="s">
        <v>180</v>
      </c>
    </row>
    <row r="40" spans="1:4" x14ac:dyDescent="0.25">
      <c r="A40" t="s">
        <v>35</v>
      </c>
    </row>
    <row r="42" spans="1:4" x14ac:dyDescent="0.25">
      <c r="B42" t="s">
        <v>2</v>
      </c>
    </row>
    <row r="43" spans="1:4" x14ac:dyDescent="0.25">
      <c r="A43" t="s">
        <v>5</v>
      </c>
      <c r="B43" t="s">
        <v>3</v>
      </c>
      <c r="C43" t="s">
        <v>4</v>
      </c>
    </row>
    <row r="44" spans="1:4" x14ac:dyDescent="0.25">
      <c r="A44">
        <v>1</v>
      </c>
      <c r="B44">
        <v>100.05</v>
      </c>
      <c r="C44">
        <v>100.2</v>
      </c>
    </row>
    <row r="45" spans="1:4" x14ac:dyDescent="0.25">
      <c r="A45">
        <v>2</v>
      </c>
      <c r="B45">
        <v>100</v>
      </c>
      <c r="C45">
        <v>101</v>
      </c>
    </row>
    <row r="46" spans="1:4" x14ac:dyDescent="0.25">
      <c r="A46">
        <v>3</v>
      </c>
      <c r="B46">
        <v>99.5</v>
      </c>
      <c r="C46">
        <v>101.5</v>
      </c>
    </row>
    <row r="47" spans="1:4" x14ac:dyDescent="0.25">
      <c r="A47">
        <v>4</v>
      </c>
      <c r="B47">
        <v>99</v>
      </c>
      <c r="C47">
        <v>102.5</v>
      </c>
    </row>
    <row r="48" spans="1:4" x14ac:dyDescent="0.25">
      <c r="A48">
        <v>5</v>
      </c>
      <c r="B48">
        <v>98.25</v>
      </c>
      <c r="C48">
        <v>103</v>
      </c>
    </row>
    <row r="49" spans="1:6" x14ac:dyDescent="0.25">
      <c r="B49">
        <v>98</v>
      </c>
    </row>
    <row r="51" spans="1:6" x14ac:dyDescent="0.25">
      <c r="A51" s="1" t="s">
        <v>145</v>
      </c>
      <c r="B51" t="s">
        <v>144</v>
      </c>
    </row>
    <row r="52" spans="1:6" x14ac:dyDescent="0.25">
      <c r="B52" s="1" t="s">
        <v>181</v>
      </c>
    </row>
    <row r="53" spans="1:6" x14ac:dyDescent="0.25">
      <c r="A53" t="s">
        <v>147</v>
      </c>
    </row>
    <row r="55" spans="1:6" x14ac:dyDescent="0.25">
      <c r="B55" t="s">
        <v>2</v>
      </c>
    </row>
    <row r="56" spans="1:6" x14ac:dyDescent="0.25">
      <c r="A56" t="s">
        <v>5</v>
      </c>
      <c r="B56" t="s">
        <v>3</v>
      </c>
      <c r="C56" t="s">
        <v>4</v>
      </c>
    </row>
    <row r="57" spans="1:6" x14ac:dyDescent="0.25">
      <c r="A57">
        <v>1</v>
      </c>
      <c r="B57" s="8">
        <v>100.2</v>
      </c>
      <c r="C57">
        <v>100.5</v>
      </c>
      <c r="F57" s="1" t="s">
        <v>184</v>
      </c>
    </row>
    <row r="58" spans="1:6" x14ac:dyDescent="0.25">
      <c r="A58">
        <v>2</v>
      </c>
      <c r="B58">
        <v>100</v>
      </c>
      <c r="C58">
        <v>101</v>
      </c>
    </row>
    <row r="59" spans="1:6" x14ac:dyDescent="0.25">
      <c r="A59">
        <v>3</v>
      </c>
      <c r="B59">
        <v>99.5</v>
      </c>
      <c r="C59">
        <v>101.5</v>
      </c>
    </row>
    <row r="60" spans="1:6" x14ac:dyDescent="0.25">
      <c r="A60">
        <v>4</v>
      </c>
      <c r="B60">
        <v>99</v>
      </c>
      <c r="C60">
        <v>102.5</v>
      </c>
    </row>
    <row r="61" spans="1:6" x14ac:dyDescent="0.25">
      <c r="A61">
        <v>5</v>
      </c>
      <c r="B61">
        <v>98.25</v>
      </c>
      <c r="C61">
        <v>103</v>
      </c>
    </row>
    <row r="62" spans="1:6" x14ac:dyDescent="0.25">
      <c r="B62">
        <v>98</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4:Q31"/>
  <sheetViews>
    <sheetView zoomScale="150" zoomScaleNormal="150" workbookViewId="0">
      <selection activeCell="I29" sqref="I29"/>
    </sheetView>
  </sheetViews>
  <sheetFormatPr defaultRowHeight="15" x14ac:dyDescent="0.25"/>
  <sheetData>
    <row r="4" spans="1:17" x14ac:dyDescent="0.25">
      <c r="D4" s="1" t="s">
        <v>2</v>
      </c>
      <c r="L4" s="1" t="s">
        <v>194</v>
      </c>
      <c r="M4" s="1"/>
      <c r="N4" s="1"/>
      <c r="O4" s="1"/>
      <c r="P4" s="1"/>
      <c r="Q4" s="1"/>
    </row>
    <row r="5" spans="1:17" x14ac:dyDescent="0.25">
      <c r="B5" t="s">
        <v>5</v>
      </c>
      <c r="D5" t="s">
        <v>3</v>
      </c>
      <c r="E5" t="s">
        <v>4</v>
      </c>
    </row>
    <row r="6" spans="1:17" x14ac:dyDescent="0.25">
      <c r="B6">
        <v>1</v>
      </c>
      <c r="C6">
        <v>1000</v>
      </c>
      <c r="D6">
        <v>100</v>
      </c>
      <c r="E6">
        <v>100.5</v>
      </c>
      <c r="F6">
        <v>200</v>
      </c>
      <c r="L6" t="s">
        <v>195</v>
      </c>
    </row>
    <row r="7" spans="1:17" x14ac:dyDescent="0.25">
      <c r="B7">
        <v>2</v>
      </c>
      <c r="C7">
        <v>400</v>
      </c>
      <c r="D7">
        <v>99.95</v>
      </c>
      <c r="E7">
        <v>101</v>
      </c>
      <c r="F7">
        <v>500</v>
      </c>
    </row>
    <row r="8" spans="1:17" x14ac:dyDescent="0.25">
      <c r="B8">
        <v>3</v>
      </c>
      <c r="C8">
        <v>300</v>
      </c>
      <c r="D8">
        <v>99</v>
      </c>
      <c r="E8">
        <v>101.5</v>
      </c>
      <c r="F8">
        <v>500</v>
      </c>
      <c r="L8" t="s">
        <v>196</v>
      </c>
    </row>
    <row r="9" spans="1:17" x14ac:dyDescent="0.25">
      <c r="B9">
        <v>4</v>
      </c>
      <c r="C9">
        <v>300</v>
      </c>
      <c r="D9">
        <v>98.25</v>
      </c>
      <c r="E9">
        <v>102.5</v>
      </c>
      <c r="F9">
        <v>500</v>
      </c>
      <c r="L9" s="1" t="s">
        <v>197</v>
      </c>
    </row>
    <row r="10" spans="1:17" x14ac:dyDescent="0.25">
      <c r="B10">
        <v>5</v>
      </c>
      <c r="C10">
        <v>300</v>
      </c>
      <c r="D10">
        <v>98</v>
      </c>
      <c r="E10">
        <v>103</v>
      </c>
      <c r="F10">
        <v>500</v>
      </c>
      <c r="L10" t="s">
        <v>308</v>
      </c>
    </row>
    <row r="12" spans="1:17" x14ac:dyDescent="0.25">
      <c r="A12" t="s">
        <v>83</v>
      </c>
    </row>
    <row r="13" spans="1:17" x14ac:dyDescent="0.25">
      <c r="A13" t="s">
        <v>63</v>
      </c>
    </row>
    <row r="17" spans="1:9" x14ac:dyDescent="0.25">
      <c r="A17" t="s">
        <v>20</v>
      </c>
      <c r="D17" s="1" t="s">
        <v>2</v>
      </c>
    </row>
    <row r="18" spans="1:9" x14ac:dyDescent="0.25">
      <c r="B18" t="s">
        <v>5</v>
      </c>
      <c r="C18" t="s">
        <v>41</v>
      </c>
      <c r="D18" t="s">
        <v>3</v>
      </c>
      <c r="E18" t="s">
        <v>4</v>
      </c>
      <c r="F18" t="s">
        <v>41</v>
      </c>
    </row>
    <row r="19" spans="1:9" x14ac:dyDescent="0.25">
      <c r="B19">
        <v>1</v>
      </c>
      <c r="C19" s="8">
        <v>600</v>
      </c>
      <c r="D19" s="8">
        <v>100</v>
      </c>
      <c r="E19">
        <v>100.5</v>
      </c>
      <c r="F19">
        <v>200</v>
      </c>
      <c r="I19" t="s">
        <v>226</v>
      </c>
    </row>
    <row r="20" spans="1:9" x14ac:dyDescent="0.25">
      <c r="B20">
        <v>2</v>
      </c>
      <c r="C20">
        <v>400</v>
      </c>
      <c r="D20">
        <v>99.95</v>
      </c>
      <c r="E20">
        <v>101</v>
      </c>
      <c r="F20">
        <v>500</v>
      </c>
    </row>
    <row r="21" spans="1:9" x14ac:dyDescent="0.25">
      <c r="B21">
        <v>3</v>
      </c>
      <c r="C21">
        <v>300</v>
      </c>
      <c r="D21">
        <v>99</v>
      </c>
      <c r="E21">
        <v>101.5</v>
      </c>
      <c r="F21">
        <v>600</v>
      </c>
    </row>
    <row r="22" spans="1:9" x14ac:dyDescent="0.25">
      <c r="B22">
        <v>4</v>
      </c>
      <c r="C22">
        <v>300</v>
      </c>
      <c r="D22">
        <v>98.25</v>
      </c>
      <c r="E22">
        <v>102.5</v>
      </c>
      <c r="F22">
        <v>500</v>
      </c>
    </row>
    <row r="23" spans="1:9" x14ac:dyDescent="0.25">
      <c r="B23">
        <v>5</v>
      </c>
      <c r="C23">
        <v>300</v>
      </c>
      <c r="D23">
        <v>98</v>
      </c>
      <c r="E23">
        <v>103</v>
      </c>
      <c r="F23">
        <v>50</v>
      </c>
    </row>
    <row r="26" spans="1:9" x14ac:dyDescent="0.25">
      <c r="A26" s="1" t="s">
        <v>64</v>
      </c>
    </row>
    <row r="27" spans="1:9" x14ac:dyDescent="0.25">
      <c r="A27" t="s">
        <v>148</v>
      </c>
    </row>
    <row r="30" spans="1:9" x14ac:dyDescent="0.25">
      <c r="A30" s="1" t="s">
        <v>198</v>
      </c>
    </row>
    <row r="31" spans="1:9" x14ac:dyDescent="0.25">
      <c r="A31" s="1" t="s">
        <v>199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3:K35"/>
  <sheetViews>
    <sheetView tabSelected="1" zoomScale="150" zoomScaleNormal="150" workbookViewId="0"/>
  </sheetViews>
  <sheetFormatPr defaultRowHeight="15" x14ac:dyDescent="0.25"/>
  <cols>
    <col min="8" max="8" width="26.5703125" customWidth="1"/>
    <col min="9" max="9" width="14" bestFit="1" customWidth="1"/>
  </cols>
  <sheetData>
    <row r="3" spans="1:11" x14ac:dyDescent="0.25">
      <c r="A3" t="s">
        <v>112</v>
      </c>
      <c r="H3" s="1" t="s">
        <v>124</v>
      </c>
      <c r="I3" s="20">
        <v>100000</v>
      </c>
    </row>
    <row r="4" spans="1:11" x14ac:dyDescent="0.25">
      <c r="B4" t="s">
        <v>41</v>
      </c>
      <c r="C4" s="1" t="s">
        <v>2</v>
      </c>
      <c r="F4" s="1"/>
      <c r="H4" t="s">
        <v>227</v>
      </c>
      <c r="I4" s="16">
        <v>10000</v>
      </c>
    </row>
    <row r="5" spans="1:11" x14ac:dyDescent="0.25">
      <c r="A5" t="s">
        <v>5</v>
      </c>
      <c r="C5" t="s">
        <v>3</v>
      </c>
      <c r="D5" t="s">
        <v>4</v>
      </c>
      <c r="E5" t="s">
        <v>41</v>
      </c>
      <c r="H5" s="1" t="s">
        <v>113</v>
      </c>
      <c r="I5" s="20">
        <f>I3-I4</f>
        <v>90000</v>
      </c>
    </row>
    <row r="6" spans="1:11" x14ac:dyDescent="0.25">
      <c r="A6">
        <v>1</v>
      </c>
      <c r="B6">
        <v>1000</v>
      </c>
      <c r="C6" s="8">
        <v>100</v>
      </c>
      <c r="D6">
        <v>100.2</v>
      </c>
      <c r="E6">
        <v>500</v>
      </c>
    </row>
    <row r="7" spans="1:11" x14ac:dyDescent="0.25">
      <c r="A7">
        <v>2</v>
      </c>
      <c r="B7">
        <v>100</v>
      </c>
      <c r="C7">
        <v>99.5</v>
      </c>
      <c r="D7">
        <v>101</v>
      </c>
      <c r="E7">
        <v>100</v>
      </c>
    </row>
    <row r="8" spans="1:11" x14ac:dyDescent="0.25">
      <c r="A8">
        <v>3</v>
      </c>
      <c r="B8">
        <v>500</v>
      </c>
      <c r="C8">
        <v>99</v>
      </c>
      <c r="D8">
        <v>101.5</v>
      </c>
      <c r="E8">
        <v>300</v>
      </c>
    </row>
    <row r="9" spans="1:11" x14ac:dyDescent="0.25">
      <c r="A9">
        <v>4</v>
      </c>
      <c r="B9">
        <v>10000</v>
      </c>
      <c r="C9">
        <v>98.25</v>
      </c>
      <c r="D9">
        <v>102.5</v>
      </c>
      <c r="E9">
        <v>500</v>
      </c>
    </row>
    <row r="10" spans="1:11" x14ac:dyDescent="0.25">
      <c r="A10">
        <v>5</v>
      </c>
      <c r="C10">
        <v>98</v>
      </c>
      <c r="D10">
        <v>103</v>
      </c>
      <c r="E10">
        <v>10000</v>
      </c>
    </row>
    <row r="12" spans="1:11" x14ac:dyDescent="0.25">
      <c r="A12" t="s">
        <v>121</v>
      </c>
    </row>
    <row r="13" spans="1:11" x14ac:dyDescent="0.25">
      <c r="A13" s="1" t="s">
        <v>120</v>
      </c>
    </row>
    <row r="14" spans="1:11" x14ac:dyDescent="0.25">
      <c r="A14" t="s">
        <v>122</v>
      </c>
      <c r="K14" s="3"/>
    </row>
    <row r="15" spans="1:11" x14ac:dyDescent="0.25">
      <c r="A15" s="1" t="s">
        <v>123</v>
      </c>
    </row>
    <row r="16" spans="1:11" x14ac:dyDescent="0.25">
      <c r="A16" s="1"/>
    </row>
    <row r="17" spans="1:11" x14ac:dyDescent="0.25">
      <c r="A17" s="1" t="s">
        <v>149</v>
      </c>
      <c r="F17" s="1"/>
      <c r="K17" s="3"/>
    </row>
    <row r="18" spans="1:11" x14ac:dyDescent="0.25">
      <c r="A18" s="1" t="s">
        <v>228</v>
      </c>
      <c r="H18" s="1"/>
    </row>
    <row r="20" spans="1:11" x14ac:dyDescent="0.25">
      <c r="B20" t="s">
        <v>41</v>
      </c>
      <c r="C20" s="1" t="s">
        <v>2</v>
      </c>
    </row>
    <row r="21" spans="1:11" x14ac:dyDescent="0.25">
      <c r="A21" t="s">
        <v>5</v>
      </c>
      <c r="C21" t="s">
        <v>3</v>
      </c>
      <c r="D21" t="s">
        <v>4</v>
      </c>
      <c r="E21" t="s">
        <v>41</v>
      </c>
    </row>
    <row r="22" spans="1:11" x14ac:dyDescent="0.25">
      <c r="A22">
        <v>1</v>
      </c>
      <c r="B22" s="1">
        <v>1100</v>
      </c>
      <c r="C22" s="8">
        <v>100</v>
      </c>
      <c r="D22">
        <v>100.2</v>
      </c>
      <c r="E22">
        <v>500</v>
      </c>
    </row>
    <row r="23" spans="1:11" x14ac:dyDescent="0.25">
      <c r="A23">
        <v>2</v>
      </c>
      <c r="B23">
        <v>100</v>
      </c>
      <c r="C23">
        <v>99.5</v>
      </c>
      <c r="D23">
        <v>101</v>
      </c>
      <c r="E23">
        <v>100</v>
      </c>
    </row>
    <row r="24" spans="1:11" x14ac:dyDescent="0.25">
      <c r="A24">
        <v>3</v>
      </c>
      <c r="B24">
        <v>500</v>
      </c>
      <c r="C24">
        <v>99</v>
      </c>
      <c r="D24">
        <v>101.5</v>
      </c>
      <c r="E24">
        <v>300</v>
      </c>
    </row>
    <row r="25" spans="1:11" x14ac:dyDescent="0.25">
      <c r="A25">
        <v>4</v>
      </c>
      <c r="B25">
        <v>10000</v>
      </c>
      <c r="C25">
        <v>98.25</v>
      </c>
      <c r="D25">
        <v>102.5</v>
      </c>
      <c r="E25">
        <v>500</v>
      </c>
    </row>
    <row r="26" spans="1:11" x14ac:dyDescent="0.25">
      <c r="A26">
        <v>5</v>
      </c>
      <c r="C26">
        <v>98</v>
      </c>
      <c r="D26">
        <v>103</v>
      </c>
      <c r="E26">
        <v>10000</v>
      </c>
    </row>
    <row r="29" spans="1:11" x14ac:dyDescent="0.25">
      <c r="A29" t="s">
        <v>150</v>
      </c>
    </row>
    <row r="30" spans="1:11" x14ac:dyDescent="0.25">
      <c r="C30" s="1"/>
    </row>
    <row r="31" spans="1:11" x14ac:dyDescent="0.25">
      <c r="A31" s="1" t="s">
        <v>33</v>
      </c>
      <c r="B31" t="s">
        <v>251</v>
      </c>
    </row>
    <row r="32" spans="1:11" x14ac:dyDescent="0.25">
      <c r="A32" s="1" t="s">
        <v>34</v>
      </c>
      <c r="B32" t="s">
        <v>260</v>
      </c>
    </row>
    <row r="33" spans="1:2" x14ac:dyDescent="0.25">
      <c r="A33" s="1" t="s">
        <v>257</v>
      </c>
      <c r="B33" t="s">
        <v>258</v>
      </c>
    </row>
    <row r="34" spans="1:2" x14ac:dyDescent="0.25">
      <c r="A34" t="s">
        <v>114</v>
      </c>
    </row>
    <row r="35" spans="1:2" x14ac:dyDescent="0.25">
      <c r="A35" s="1" t="s">
        <v>282</v>
      </c>
      <c r="B35" s="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2:P62"/>
  <sheetViews>
    <sheetView zoomScale="150" zoomScaleNormal="150" workbookViewId="0">
      <selection activeCell="D10" sqref="D10"/>
    </sheetView>
  </sheetViews>
  <sheetFormatPr defaultRowHeight="15" x14ac:dyDescent="0.25"/>
  <cols>
    <col min="2" max="2" width="52.85546875" customWidth="1"/>
    <col min="5" max="5" width="15.85546875" customWidth="1"/>
    <col min="8" max="8" width="26.5703125" customWidth="1"/>
  </cols>
  <sheetData>
    <row r="2" spans="1:16" x14ac:dyDescent="0.25">
      <c r="B2" t="s">
        <v>41</v>
      </c>
      <c r="C2" s="1" t="s">
        <v>2</v>
      </c>
      <c r="G2" s="1" t="s">
        <v>252</v>
      </c>
      <c r="L2" s="1"/>
      <c r="M2" s="1"/>
      <c r="N2" s="1" t="s">
        <v>316</v>
      </c>
      <c r="O2" s="1" t="s">
        <v>322</v>
      </c>
      <c r="P2" s="1"/>
    </row>
    <row r="3" spans="1:16" x14ac:dyDescent="0.25">
      <c r="A3" t="s">
        <v>5</v>
      </c>
      <c r="C3" t="s">
        <v>3</v>
      </c>
      <c r="D3" t="s">
        <v>4</v>
      </c>
      <c r="E3" t="s">
        <v>41</v>
      </c>
      <c r="G3" s="1" t="s">
        <v>209</v>
      </c>
      <c r="L3" s="1" t="s">
        <v>321</v>
      </c>
      <c r="M3" s="1">
        <v>1700</v>
      </c>
      <c r="N3" s="1">
        <v>100</v>
      </c>
      <c r="O3" s="1">
        <v>101</v>
      </c>
      <c r="P3" s="1">
        <v>2500</v>
      </c>
    </row>
    <row r="4" spans="1:16" x14ac:dyDescent="0.25">
      <c r="A4">
        <v>1</v>
      </c>
      <c r="B4" s="1" t="s">
        <v>256</v>
      </c>
      <c r="C4" s="8">
        <v>100</v>
      </c>
      <c r="D4">
        <v>100.2</v>
      </c>
      <c r="E4">
        <v>500</v>
      </c>
      <c r="G4">
        <v>100.1</v>
      </c>
    </row>
    <row r="5" spans="1:16" x14ac:dyDescent="0.25">
      <c r="A5">
        <v>2</v>
      </c>
      <c r="B5">
        <v>100</v>
      </c>
      <c r="C5">
        <v>99.5</v>
      </c>
      <c r="D5">
        <v>101</v>
      </c>
      <c r="E5">
        <v>100</v>
      </c>
      <c r="N5" t="s">
        <v>316</v>
      </c>
    </row>
    <row r="6" spans="1:16" x14ac:dyDescent="0.25">
      <c r="A6">
        <v>3</v>
      </c>
      <c r="B6">
        <v>500</v>
      </c>
      <c r="C6">
        <v>99</v>
      </c>
      <c r="D6">
        <v>101.5</v>
      </c>
      <c r="E6">
        <v>300</v>
      </c>
      <c r="L6" t="s">
        <v>317</v>
      </c>
      <c r="M6">
        <v>500</v>
      </c>
      <c r="N6">
        <v>100</v>
      </c>
    </row>
    <row r="7" spans="1:16" x14ac:dyDescent="0.25">
      <c r="A7">
        <v>4</v>
      </c>
      <c r="B7">
        <v>10000</v>
      </c>
      <c r="C7">
        <v>98.25</v>
      </c>
      <c r="D7">
        <v>102.5</v>
      </c>
      <c r="E7">
        <v>500</v>
      </c>
      <c r="L7" t="s">
        <v>318</v>
      </c>
      <c r="M7">
        <v>200</v>
      </c>
      <c r="N7">
        <v>100</v>
      </c>
    </row>
    <row r="8" spans="1:16" x14ac:dyDescent="0.25">
      <c r="A8">
        <v>5</v>
      </c>
      <c r="C8">
        <v>98</v>
      </c>
      <c r="D8">
        <v>103</v>
      </c>
      <c r="E8">
        <v>10000</v>
      </c>
      <c r="L8" t="s">
        <v>319</v>
      </c>
      <c r="M8">
        <v>300</v>
      </c>
      <c r="N8">
        <v>100</v>
      </c>
    </row>
    <row r="9" spans="1:16" x14ac:dyDescent="0.25">
      <c r="L9" t="s">
        <v>320</v>
      </c>
      <c r="M9">
        <v>700</v>
      </c>
      <c r="N9">
        <v>100</v>
      </c>
    </row>
    <row r="11" spans="1:16" x14ac:dyDescent="0.25">
      <c r="A11" s="1" t="s">
        <v>33</v>
      </c>
      <c r="B11" t="s">
        <v>296</v>
      </c>
    </row>
    <row r="12" spans="1:16" x14ac:dyDescent="0.25">
      <c r="A12" s="1" t="s">
        <v>34</v>
      </c>
      <c r="B12" t="s">
        <v>314</v>
      </c>
    </row>
    <row r="13" spans="1:16" x14ac:dyDescent="0.25">
      <c r="A13" s="1" t="s">
        <v>257</v>
      </c>
      <c r="B13" t="s">
        <v>258</v>
      </c>
    </row>
    <row r="14" spans="1:16" x14ac:dyDescent="0.25">
      <c r="A14" t="s">
        <v>114</v>
      </c>
    </row>
    <row r="15" spans="1:16" x14ac:dyDescent="0.25">
      <c r="A15" s="24" t="s">
        <v>269</v>
      </c>
      <c r="B15" s="24"/>
      <c r="C15" s="25"/>
      <c r="D15" s="25"/>
      <c r="E15" s="25"/>
    </row>
    <row r="17" spans="1:9" x14ac:dyDescent="0.25">
      <c r="A17" s="1" t="s">
        <v>115</v>
      </c>
    </row>
    <row r="18" spans="1:9" x14ac:dyDescent="0.25">
      <c r="A18" s="1" t="s">
        <v>117</v>
      </c>
    </row>
    <row r="19" spans="1:9" x14ac:dyDescent="0.25">
      <c r="A19" t="s">
        <v>182</v>
      </c>
    </row>
    <row r="20" spans="1:9" x14ac:dyDescent="0.25">
      <c r="A20" t="s">
        <v>33</v>
      </c>
      <c r="B20" s="1" t="s">
        <v>253</v>
      </c>
      <c r="C20" s="1" t="s">
        <v>298</v>
      </c>
      <c r="E20" t="s">
        <v>290</v>
      </c>
      <c r="I20" t="s">
        <v>292</v>
      </c>
    </row>
    <row r="21" spans="1:9" x14ac:dyDescent="0.25">
      <c r="B21" s="8" t="s">
        <v>116</v>
      </c>
      <c r="E21" t="s">
        <v>293</v>
      </c>
      <c r="I21" t="s">
        <v>294</v>
      </c>
    </row>
    <row r="22" spans="1:9" x14ac:dyDescent="0.25">
      <c r="E22" s="5" t="s">
        <v>291</v>
      </c>
      <c r="I22" s="5" t="s">
        <v>295</v>
      </c>
    </row>
    <row r="23" spans="1:9" x14ac:dyDescent="0.25">
      <c r="A23" t="s">
        <v>34</v>
      </c>
      <c r="B23" s="1" t="s">
        <v>118</v>
      </c>
    </row>
    <row r="24" spans="1:9" x14ac:dyDescent="0.25">
      <c r="B24" t="s">
        <v>119</v>
      </c>
      <c r="C24" s="26">
        <f>0.6*1000*0.05</f>
        <v>30</v>
      </c>
    </row>
    <row r="26" spans="1:9" x14ac:dyDescent="0.25">
      <c r="A26" t="s">
        <v>257</v>
      </c>
      <c r="B26" t="s">
        <v>259</v>
      </c>
      <c r="C26" s="26">
        <f xml:space="preserve"> 100*0.6*0.1 + 900*0.6*0.05</f>
        <v>33</v>
      </c>
      <c r="E26" s="1"/>
    </row>
    <row r="32" spans="1:9" x14ac:dyDescent="0.25">
      <c r="E32" s="1" t="s">
        <v>33</v>
      </c>
    </row>
    <row r="33" spans="3:7" x14ac:dyDescent="0.25">
      <c r="E33" s="1" t="s">
        <v>41</v>
      </c>
      <c r="F33" t="s">
        <v>3</v>
      </c>
      <c r="G33" t="s">
        <v>4</v>
      </c>
    </row>
    <row r="34" spans="3:7" x14ac:dyDescent="0.25">
      <c r="E34" t="s">
        <v>270</v>
      </c>
      <c r="F34" s="8">
        <v>100</v>
      </c>
      <c r="G34">
        <v>100.2</v>
      </c>
    </row>
    <row r="35" spans="3:7" x14ac:dyDescent="0.25">
      <c r="F35">
        <v>99.5</v>
      </c>
      <c r="G35">
        <v>101</v>
      </c>
    </row>
    <row r="36" spans="3:7" x14ac:dyDescent="0.25">
      <c r="D36" t="s">
        <v>271</v>
      </c>
    </row>
    <row r="37" spans="3:7" x14ac:dyDescent="0.25">
      <c r="D37" s="1" t="s">
        <v>272</v>
      </c>
    </row>
    <row r="38" spans="3:7" x14ac:dyDescent="0.25">
      <c r="D38">
        <v>1</v>
      </c>
      <c r="E38" t="s">
        <v>273</v>
      </c>
      <c r="F38" t="s">
        <v>274</v>
      </c>
    </row>
    <row r="39" spans="3:7" x14ac:dyDescent="0.25">
      <c r="D39">
        <v>2</v>
      </c>
      <c r="E39" t="s">
        <v>275</v>
      </c>
      <c r="F39" t="s">
        <v>276</v>
      </c>
    </row>
    <row r="40" spans="3:7" x14ac:dyDescent="0.25">
      <c r="D40">
        <v>3</v>
      </c>
      <c r="E40" t="s">
        <v>277</v>
      </c>
      <c r="F40" t="s">
        <v>274</v>
      </c>
    </row>
    <row r="41" spans="3:7" x14ac:dyDescent="0.25">
      <c r="C41" t="s">
        <v>114</v>
      </c>
    </row>
    <row r="42" spans="3:7" x14ac:dyDescent="0.25">
      <c r="C42" s="24" t="s">
        <v>269</v>
      </c>
    </row>
    <row r="44" spans="3:7" x14ac:dyDescent="0.25">
      <c r="C44" s="1" t="s">
        <v>278</v>
      </c>
    </row>
    <row r="45" spans="3:7" x14ac:dyDescent="0.25">
      <c r="C45" s="1" t="s">
        <v>279</v>
      </c>
    </row>
    <row r="47" spans="3:7" x14ac:dyDescent="0.25">
      <c r="E47" s="1" t="s">
        <v>257</v>
      </c>
    </row>
    <row r="48" spans="3:7" x14ac:dyDescent="0.25">
      <c r="D48" t="s">
        <v>5</v>
      </c>
      <c r="E48" s="1" t="s">
        <v>41</v>
      </c>
      <c r="F48" t="s">
        <v>3</v>
      </c>
      <c r="G48" t="s">
        <v>4</v>
      </c>
    </row>
    <row r="49" spans="4:7" x14ac:dyDescent="0.25">
      <c r="D49">
        <v>1</v>
      </c>
      <c r="E49">
        <v>900</v>
      </c>
      <c r="F49" s="8">
        <v>100.05</v>
      </c>
      <c r="G49">
        <v>100.2</v>
      </c>
    </row>
    <row r="50" spans="4:7" x14ac:dyDescent="0.25">
      <c r="D50">
        <v>2</v>
      </c>
      <c r="E50" t="s">
        <v>297</v>
      </c>
      <c r="F50" s="8">
        <v>100</v>
      </c>
      <c r="G50">
        <v>101</v>
      </c>
    </row>
    <row r="51" spans="4:7" x14ac:dyDescent="0.25">
      <c r="D51">
        <v>3</v>
      </c>
      <c r="F51">
        <v>99.5</v>
      </c>
    </row>
    <row r="54" spans="4:7" x14ac:dyDescent="0.25">
      <c r="D54" t="s">
        <v>5</v>
      </c>
      <c r="E54" s="1" t="s">
        <v>41</v>
      </c>
      <c r="F54" t="s">
        <v>3</v>
      </c>
      <c r="G54" t="s">
        <v>4</v>
      </c>
    </row>
    <row r="55" spans="4:7" x14ac:dyDescent="0.25">
      <c r="D55">
        <v>1</v>
      </c>
      <c r="E55">
        <v>900</v>
      </c>
      <c r="F55" s="8">
        <v>100.05</v>
      </c>
      <c r="G55">
        <v>100.2</v>
      </c>
    </row>
    <row r="56" spans="4:7" x14ac:dyDescent="0.25">
      <c r="D56">
        <v>2</v>
      </c>
      <c r="E56">
        <v>1100</v>
      </c>
      <c r="F56" s="8">
        <v>100</v>
      </c>
      <c r="G56">
        <v>101</v>
      </c>
    </row>
    <row r="57" spans="4:7" x14ac:dyDescent="0.25">
      <c r="D57">
        <v>3</v>
      </c>
      <c r="E57">
        <v>1000</v>
      </c>
      <c r="F57">
        <v>99.5</v>
      </c>
    </row>
    <row r="59" spans="4:7" x14ac:dyDescent="0.25">
      <c r="D59" t="s">
        <v>302</v>
      </c>
    </row>
    <row r="60" spans="4:7" x14ac:dyDescent="0.25">
      <c r="D60" t="s">
        <v>299</v>
      </c>
    </row>
    <row r="61" spans="4:7" x14ac:dyDescent="0.25">
      <c r="D61" t="s">
        <v>300</v>
      </c>
    </row>
    <row r="62" spans="4:7" x14ac:dyDescent="0.25">
      <c r="D62" t="s">
        <v>301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77"/>
  <sheetViews>
    <sheetView zoomScale="150" zoomScaleNormal="150" workbookViewId="0">
      <selection activeCell="G21" sqref="G21"/>
    </sheetView>
  </sheetViews>
  <sheetFormatPr defaultRowHeight="15" x14ac:dyDescent="0.25"/>
  <sheetData>
    <row r="1" spans="1:11" x14ac:dyDescent="0.25">
      <c r="A1" s="1" t="s">
        <v>65</v>
      </c>
    </row>
    <row r="2" spans="1:11" x14ac:dyDescent="0.25">
      <c r="I2" t="s">
        <v>74</v>
      </c>
    </row>
    <row r="3" spans="1:11" x14ac:dyDescent="0.25">
      <c r="E3" s="1" t="s">
        <v>2</v>
      </c>
      <c r="I3" s="1" t="s">
        <v>229</v>
      </c>
    </row>
    <row r="4" spans="1:11" x14ac:dyDescent="0.25">
      <c r="C4" t="s">
        <v>5</v>
      </c>
      <c r="E4" t="s">
        <v>3</v>
      </c>
      <c r="F4" t="s">
        <v>4</v>
      </c>
      <c r="H4" s="1"/>
      <c r="I4" s="1" t="s">
        <v>200</v>
      </c>
    </row>
    <row r="5" spans="1:11" x14ac:dyDescent="0.25">
      <c r="C5">
        <v>1</v>
      </c>
      <c r="D5">
        <v>100</v>
      </c>
      <c r="E5">
        <v>99.95</v>
      </c>
      <c r="F5">
        <v>100.5</v>
      </c>
      <c r="G5">
        <v>200</v>
      </c>
      <c r="K5" s="1"/>
    </row>
    <row r="6" spans="1:11" x14ac:dyDescent="0.25">
      <c r="C6">
        <v>2</v>
      </c>
      <c r="D6">
        <v>400</v>
      </c>
      <c r="E6">
        <v>99.5</v>
      </c>
      <c r="F6">
        <v>101</v>
      </c>
      <c r="G6">
        <v>500</v>
      </c>
      <c r="K6" s="1"/>
    </row>
    <row r="7" spans="1:11" x14ac:dyDescent="0.25">
      <c r="C7">
        <v>3</v>
      </c>
      <c r="D7">
        <v>300</v>
      </c>
      <c r="E7">
        <v>99</v>
      </c>
      <c r="F7">
        <v>101.5</v>
      </c>
      <c r="G7">
        <v>500</v>
      </c>
    </row>
    <row r="8" spans="1:11" x14ac:dyDescent="0.25">
      <c r="C8">
        <v>4</v>
      </c>
      <c r="D8">
        <v>300</v>
      </c>
      <c r="E8">
        <v>98.25</v>
      </c>
      <c r="F8">
        <v>102.5</v>
      </c>
      <c r="G8">
        <v>500</v>
      </c>
    </row>
    <row r="9" spans="1:11" x14ac:dyDescent="0.25">
      <c r="C9">
        <v>5</v>
      </c>
      <c r="D9">
        <v>300</v>
      </c>
      <c r="E9">
        <v>98</v>
      </c>
      <c r="F9">
        <v>103</v>
      </c>
      <c r="G9">
        <v>500</v>
      </c>
    </row>
    <row r="11" spans="1:11" x14ac:dyDescent="0.25">
      <c r="A11" s="1" t="s">
        <v>66</v>
      </c>
    </row>
    <row r="12" spans="1:11" x14ac:dyDescent="0.25">
      <c r="A12" s="1" t="s">
        <v>67</v>
      </c>
      <c r="B12" s="1"/>
      <c r="C12" s="1"/>
    </row>
    <row r="13" spans="1:11" x14ac:dyDescent="0.25">
      <c r="A13" s="1" t="s">
        <v>68</v>
      </c>
      <c r="B13" s="1"/>
      <c r="C13" s="1"/>
      <c r="D13" t="s">
        <v>73</v>
      </c>
    </row>
    <row r="15" spans="1:11" x14ac:dyDescent="0.25">
      <c r="A15" t="s">
        <v>69</v>
      </c>
    </row>
    <row r="17" spans="1:6" x14ac:dyDescent="0.25">
      <c r="D17" s="1" t="s">
        <v>2</v>
      </c>
    </row>
    <row r="18" spans="1:6" x14ac:dyDescent="0.25">
      <c r="B18" t="s">
        <v>5</v>
      </c>
      <c r="D18" t="s">
        <v>3</v>
      </c>
      <c r="E18" t="s">
        <v>4</v>
      </c>
    </row>
    <row r="19" spans="1:6" x14ac:dyDescent="0.25">
      <c r="B19">
        <v>1</v>
      </c>
      <c r="C19" s="8">
        <v>1000</v>
      </c>
      <c r="D19" s="8">
        <v>100</v>
      </c>
      <c r="E19">
        <v>100.5</v>
      </c>
      <c r="F19">
        <v>200</v>
      </c>
    </row>
    <row r="20" spans="1:6" x14ac:dyDescent="0.25">
      <c r="B20">
        <v>2</v>
      </c>
      <c r="C20">
        <v>100</v>
      </c>
      <c r="D20">
        <v>99.95</v>
      </c>
      <c r="E20">
        <v>101</v>
      </c>
      <c r="F20">
        <v>500</v>
      </c>
    </row>
    <row r="21" spans="1:6" x14ac:dyDescent="0.25">
      <c r="B21">
        <v>3</v>
      </c>
      <c r="C21">
        <v>400</v>
      </c>
      <c r="D21">
        <v>99.5</v>
      </c>
      <c r="E21">
        <v>101.5</v>
      </c>
      <c r="F21">
        <v>500</v>
      </c>
    </row>
    <row r="22" spans="1:6" x14ac:dyDescent="0.25">
      <c r="B22">
        <v>4</v>
      </c>
      <c r="C22">
        <v>300</v>
      </c>
      <c r="D22">
        <v>99</v>
      </c>
      <c r="E22">
        <v>102.5</v>
      </c>
      <c r="F22">
        <v>500</v>
      </c>
    </row>
    <row r="23" spans="1:6" x14ac:dyDescent="0.25">
      <c r="B23">
        <v>5</v>
      </c>
      <c r="C23">
        <v>300</v>
      </c>
      <c r="D23">
        <v>98.25</v>
      </c>
      <c r="E23">
        <v>103</v>
      </c>
      <c r="F23">
        <v>500</v>
      </c>
    </row>
    <row r="24" spans="1:6" x14ac:dyDescent="0.25">
      <c r="B24">
        <v>6</v>
      </c>
      <c r="C24">
        <v>300</v>
      </c>
      <c r="D24">
        <v>98</v>
      </c>
    </row>
    <row r="26" spans="1:6" x14ac:dyDescent="0.25">
      <c r="A26" s="1" t="s">
        <v>183</v>
      </c>
    </row>
    <row r="27" spans="1:6" x14ac:dyDescent="0.25">
      <c r="D27" s="1" t="s">
        <v>2</v>
      </c>
    </row>
    <row r="28" spans="1:6" x14ac:dyDescent="0.25">
      <c r="B28" t="s">
        <v>5</v>
      </c>
      <c r="D28" t="s">
        <v>3</v>
      </c>
      <c r="E28" t="s">
        <v>4</v>
      </c>
    </row>
    <row r="29" spans="1:6" x14ac:dyDescent="0.25">
      <c r="B29">
        <v>1</v>
      </c>
      <c r="C29" s="10">
        <v>200</v>
      </c>
      <c r="D29">
        <v>100.1</v>
      </c>
      <c r="E29">
        <v>100.5</v>
      </c>
      <c r="F29">
        <v>200</v>
      </c>
    </row>
    <row r="30" spans="1:6" x14ac:dyDescent="0.25">
      <c r="B30">
        <v>2</v>
      </c>
      <c r="C30" s="8">
        <v>1000</v>
      </c>
      <c r="D30" s="8">
        <v>100</v>
      </c>
      <c r="E30">
        <v>101</v>
      </c>
      <c r="F30">
        <v>500</v>
      </c>
    </row>
    <row r="31" spans="1:6" x14ac:dyDescent="0.25">
      <c r="B31">
        <v>3</v>
      </c>
      <c r="C31">
        <v>100</v>
      </c>
      <c r="D31">
        <v>99.95</v>
      </c>
      <c r="E31">
        <v>101.5</v>
      </c>
      <c r="F31">
        <v>500</v>
      </c>
    </row>
    <row r="32" spans="1:6" x14ac:dyDescent="0.25">
      <c r="B32">
        <v>4</v>
      </c>
      <c r="C32">
        <v>400</v>
      </c>
      <c r="D32">
        <v>99.5</v>
      </c>
      <c r="E32">
        <v>102.5</v>
      </c>
      <c r="F32">
        <v>500</v>
      </c>
    </row>
    <row r="33" spans="1:6" x14ac:dyDescent="0.25">
      <c r="B33">
        <v>5</v>
      </c>
      <c r="C33">
        <v>300</v>
      </c>
      <c r="D33">
        <v>99</v>
      </c>
      <c r="E33">
        <v>103</v>
      </c>
      <c r="F33">
        <v>500</v>
      </c>
    </row>
    <row r="34" spans="1:6" x14ac:dyDescent="0.25">
      <c r="B34">
        <v>6</v>
      </c>
      <c r="C34">
        <v>300</v>
      </c>
      <c r="D34">
        <v>98.25</v>
      </c>
    </row>
    <row r="35" spans="1:6" x14ac:dyDescent="0.25">
      <c r="C35">
        <v>300</v>
      </c>
      <c r="D35">
        <v>98</v>
      </c>
    </row>
    <row r="37" spans="1:6" x14ac:dyDescent="0.25">
      <c r="A37" t="s">
        <v>70</v>
      </c>
    </row>
    <row r="38" spans="1:6" x14ac:dyDescent="0.25">
      <c r="A38" t="s">
        <v>71</v>
      </c>
    </row>
    <row r="39" spans="1:6" x14ac:dyDescent="0.25">
      <c r="A39" t="s">
        <v>84</v>
      </c>
    </row>
    <row r="40" spans="1:6" x14ac:dyDescent="0.25">
      <c r="A40" s="1" t="s">
        <v>246</v>
      </c>
    </row>
    <row r="41" spans="1:6" x14ac:dyDescent="0.25">
      <c r="D41" s="1" t="s">
        <v>2</v>
      </c>
    </row>
    <row r="42" spans="1:6" x14ac:dyDescent="0.25">
      <c r="B42" t="s">
        <v>5</v>
      </c>
      <c r="D42" t="s">
        <v>3</v>
      </c>
      <c r="E42" t="s">
        <v>4</v>
      </c>
    </row>
    <row r="43" spans="1:6" x14ac:dyDescent="0.25">
      <c r="B43">
        <v>1</v>
      </c>
      <c r="C43">
        <v>200</v>
      </c>
      <c r="D43">
        <v>100.2</v>
      </c>
      <c r="E43">
        <v>100.5</v>
      </c>
      <c r="F43">
        <v>200</v>
      </c>
    </row>
    <row r="44" spans="1:6" x14ac:dyDescent="0.25">
      <c r="B44">
        <v>2</v>
      </c>
      <c r="C44" s="8">
        <v>1000</v>
      </c>
      <c r="D44" s="8">
        <v>100</v>
      </c>
      <c r="E44">
        <v>101</v>
      </c>
      <c r="F44">
        <v>500</v>
      </c>
    </row>
    <row r="45" spans="1:6" x14ac:dyDescent="0.25">
      <c r="B45">
        <v>3</v>
      </c>
      <c r="C45">
        <v>100</v>
      </c>
      <c r="D45">
        <v>99.95</v>
      </c>
      <c r="E45">
        <v>101.5</v>
      </c>
      <c r="F45">
        <v>500</v>
      </c>
    </row>
    <row r="46" spans="1:6" x14ac:dyDescent="0.25">
      <c r="B46">
        <v>4</v>
      </c>
      <c r="C46">
        <v>400</v>
      </c>
      <c r="D46">
        <v>99.5</v>
      </c>
      <c r="E46">
        <v>102.5</v>
      </c>
      <c r="F46">
        <v>500</v>
      </c>
    </row>
    <row r="47" spans="1:6" x14ac:dyDescent="0.25">
      <c r="B47">
        <v>5</v>
      </c>
      <c r="C47">
        <v>300</v>
      </c>
      <c r="D47">
        <v>99</v>
      </c>
      <c r="E47">
        <v>103</v>
      </c>
      <c r="F47">
        <v>500</v>
      </c>
    </row>
    <row r="48" spans="1:6" x14ac:dyDescent="0.25">
      <c r="B48">
        <v>6</v>
      </c>
      <c r="C48">
        <v>300</v>
      </c>
      <c r="D48">
        <v>98.25</v>
      </c>
    </row>
    <row r="49" spans="1:6" x14ac:dyDescent="0.25">
      <c r="C49">
        <v>300</v>
      </c>
      <c r="D49">
        <v>98</v>
      </c>
    </row>
    <row r="51" spans="1:6" x14ac:dyDescent="0.25">
      <c r="A51" t="s">
        <v>70</v>
      </c>
    </row>
    <row r="52" spans="1:6" x14ac:dyDescent="0.25">
      <c r="A52" t="s">
        <v>71</v>
      </c>
    </row>
    <row r="53" spans="1:6" x14ac:dyDescent="0.25">
      <c r="A53" t="s">
        <v>85</v>
      </c>
    </row>
    <row r="54" spans="1:6" x14ac:dyDescent="0.25">
      <c r="A54" s="1" t="s">
        <v>247</v>
      </c>
    </row>
    <row r="55" spans="1:6" x14ac:dyDescent="0.25">
      <c r="D55" s="1" t="s">
        <v>2</v>
      </c>
    </row>
    <row r="56" spans="1:6" x14ac:dyDescent="0.25">
      <c r="B56" t="s">
        <v>5</v>
      </c>
      <c r="D56" t="s">
        <v>3</v>
      </c>
      <c r="E56" t="s">
        <v>4</v>
      </c>
    </row>
    <row r="57" spans="1:6" x14ac:dyDescent="0.25">
      <c r="B57">
        <v>1</v>
      </c>
      <c r="C57">
        <v>200</v>
      </c>
      <c r="D57">
        <v>100.3</v>
      </c>
      <c r="E57">
        <v>100.5</v>
      </c>
      <c r="F57">
        <v>200</v>
      </c>
    </row>
    <row r="58" spans="1:6" x14ac:dyDescent="0.25">
      <c r="B58">
        <v>2</v>
      </c>
      <c r="C58" s="8">
        <v>1000</v>
      </c>
      <c r="D58" s="8">
        <v>100</v>
      </c>
      <c r="E58">
        <v>101</v>
      </c>
      <c r="F58">
        <v>500</v>
      </c>
    </row>
    <row r="59" spans="1:6" x14ac:dyDescent="0.25">
      <c r="B59">
        <v>3</v>
      </c>
      <c r="C59">
        <v>100</v>
      </c>
      <c r="D59">
        <v>99.95</v>
      </c>
      <c r="E59">
        <v>101.5</v>
      </c>
      <c r="F59">
        <v>500</v>
      </c>
    </row>
    <row r="60" spans="1:6" x14ac:dyDescent="0.25">
      <c r="B60">
        <v>4</v>
      </c>
      <c r="C60">
        <v>400</v>
      </c>
      <c r="D60">
        <v>99.5</v>
      </c>
      <c r="E60">
        <v>102.5</v>
      </c>
      <c r="F60">
        <v>500</v>
      </c>
    </row>
    <row r="61" spans="1:6" x14ac:dyDescent="0.25">
      <c r="B61">
        <v>5</v>
      </c>
      <c r="C61">
        <v>300</v>
      </c>
      <c r="D61">
        <v>99</v>
      </c>
      <c r="E61">
        <v>103</v>
      </c>
      <c r="F61">
        <v>500</v>
      </c>
    </row>
    <row r="62" spans="1:6" x14ac:dyDescent="0.25">
      <c r="B62">
        <v>6</v>
      </c>
      <c r="C62">
        <v>300</v>
      </c>
      <c r="D62">
        <v>98.25</v>
      </c>
    </row>
    <row r="63" spans="1:6" x14ac:dyDescent="0.25">
      <c r="C63">
        <v>300</v>
      </c>
      <c r="D63">
        <v>98</v>
      </c>
    </row>
    <row r="65" spans="1:6" x14ac:dyDescent="0.25">
      <c r="A65" t="s">
        <v>70</v>
      </c>
    </row>
    <row r="66" spans="1:6" x14ac:dyDescent="0.25">
      <c r="A66" t="s">
        <v>72</v>
      </c>
    </row>
    <row r="67" spans="1:6" x14ac:dyDescent="0.25">
      <c r="A67" t="s">
        <v>86</v>
      </c>
    </row>
    <row r="69" spans="1:6" x14ac:dyDescent="0.25">
      <c r="D69" s="1" t="s">
        <v>2</v>
      </c>
    </row>
    <row r="70" spans="1:6" x14ac:dyDescent="0.25">
      <c r="B70" t="s">
        <v>5</v>
      </c>
      <c r="D70" t="s">
        <v>3</v>
      </c>
      <c r="E70" t="s">
        <v>4</v>
      </c>
    </row>
    <row r="71" spans="1:6" x14ac:dyDescent="0.25">
      <c r="B71">
        <v>1</v>
      </c>
      <c r="C71" s="8">
        <v>1000</v>
      </c>
      <c r="D71" s="8">
        <v>100.35</v>
      </c>
      <c r="E71">
        <v>100.5</v>
      </c>
      <c r="F71">
        <v>200</v>
      </c>
    </row>
    <row r="72" spans="1:6" x14ac:dyDescent="0.25">
      <c r="B72">
        <v>2</v>
      </c>
      <c r="C72">
        <v>200</v>
      </c>
      <c r="D72">
        <v>100.3</v>
      </c>
      <c r="E72">
        <v>101</v>
      </c>
      <c r="F72">
        <v>500</v>
      </c>
    </row>
    <row r="73" spans="1:6" x14ac:dyDescent="0.25">
      <c r="B73">
        <v>3</v>
      </c>
      <c r="C73">
        <v>100</v>
      </c>
      <c r="D73">
        <v>99.95</v>
      </c>
      <c r="E73">
        <v>101.5</v>
      </c>
      <c r="F73">
        <v>500</v>
      </c>
    </row>
    <row r="74" spans="1:6" x14ac:dyDescent="0.25">
      <c r="B74">
        <v>4</v>
      </c>
      <c r="C74">
        <v>400</v>
      </c>
      <c r="D74">
        <v>99.5</v>
      </c>
      <c r="E74">
        <v>102.5</v>
      </c>
      <c r="F74">
        <v>500</v>
      </c>
    </row>
    <row r="75" spans="1:6" x14ac:dyDescent="0.25">
      <c r="B75">
        <v>5</v>
      </c>
      <c r="C75">
        <v>300</v>
      </c>
      <c r="D75">
        <v>99</v>
      </c>
      <c r="E75">
        <v>103</v>
      </c>
      <c r="F75">
        <v>500</v>
      </c>
    </row>
    <row r="76" spans="1:6" x14ac:dyDescent="0.25">
      <c r="B76">
        <v>6</v>
      </c>
      <c r="C76">
        <v>300</v>
      </c>
      <c r="D76">
        <v>98.25</v>
      </c>
    </row>
    <row r="77" spans="1:6" x14ac:dyDescent="0.25">
      <c r="C77">
        <v>300</v>
      </c>
      <c r="D77">
        <v>98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K77"/>
  <sheetViews>
    <sheetView topLeftCell="A67" zoomScale="150" zoomScaleNormal="150" workbookViewId="0">
      <selection activeCell="C76" sqref="C76"/>
    </sheetView>
  </sheetViews>
  <sheetFormatPr defaultRowHeight="15" x14ac:dyDescent="0.25"/>
  <sheetData>
    <row r="1" spans="1:11" x14ac:dyDescent="0.25">
      <c r="A1" s="1" t="s">
        <v>65</v>
      </c>
    </row>
    <row r="2" spans="1:11" x14ac:dyDescent="0.25">
      <c r="I2" t="s">
        <v>74</v>
      </c>
    </row>
    <row r="3" spans="1:11" x14ac:dyDescent="0.25">
      <c r="E3" s="1" t="s">
        <v>2</v>
      </c>
      <c r="I3" s="1" t="s">
        <v>229</v>
      </c>
    </row>
    <row r="4" spans="1:11" x14ac:dyDescent="0.25">
      <c r="C4" t="s">
        <v>5</v>
      </c>
      <c r="E4" t="s">
        <v>3</v>
      </c>
      <c r="F4" t="s">
        <v>4</v>
      </c>
      <c r="H4" s="1"/>
      <c r="I4" s="1" t="s">
        <v>200</v>
      </c>
    </row>
    <row r="5" spans="1:11" x14ac:dyDescent="0.25">
      <c r="C5">
        <v>1</v>
      </c>
      <c r="D5">
        <v>100</v>
      </c>
      <c r="E5">
        <v>99.95</v>
      </c>
      <c r="F5">
        <v>100.5</v>
      </c>
      <c r="G5">
        <v>200</v>
      </c>
      <c r="K5" s="1"/>
    </row>
    <row r="6" spans="1:11" x14ac:dyDescent="0.25">
      <c r="C6">
        <v>2</v>
      </c>
      <c r="D6">
        <v>400</v>
      </c>
      <c r="E6">
        <v>99.5</v>
      </c>
      <c r="F6">
        <v>101</v>
      </c>
      <c r="G6">
        <v>500</v>
      </c>
      <c r="K6" s="1"/>
    </row>
    <row r="7" spans="1:11" x14ac:dyDescent="0.25">
      <c r="C7">
        <v>3</v>
      </c>
      <c r="D7">
        <v>300</v>
      </c>
      <c r="E7">
        <v>99</v>
      </c>
      <c r="F7">
        <v>101.5</v>
      </c>
      <c r="G7">
        <v>500</v>
      </c>
    </row>
    <row r="8" spans="1:11" x14ac:dyDescent="0.25">
      <c r="C8">
        <v>4</v>
      </c>
      <c r="D8">
        <v>300</v>
      </c>
      <c r="E8">
        <v>98.25</v>
      </c>
      <c r="F8">
        <v>102.5</v>
      </c>
      <c r="G8">
        <v>500</v>
      </c>
    </row>
    <row r="9" spans="1:11" x14ac:dyDescent="0.25">
      <c r="C9">
        <v>5</v>
      </c>
      <c r="D9">
        <v>300</v>
      </c>
      <c r="E9">
        <v>98</v>
      </c>
      <c r="F9">
        <v>103</v>
      </c>
      <c r="G9">
        <v>500</v>
      </c>
    </row>
    <row r="10" spans="1:11" x14ac:dyDescent="0.25">
      <c r="K10" s="1" t="s">
        <v>231</v>
      </c>
    </row>
    <row r="11" spans="1:11" x14ac:dyDescent="0.25">
      <c r="A11" s="1" t="s">
        <v>66</v>
      </c>
      <c r="K11" s="1" t="s">
        <v>230</v>
      </c>
    </row>
    <row r="12" spans="1:11" x14ac:dyDescent="0.25">
      <c r="A12" s="1" t="s">
        <v>67</v>
      </c>
      <c r="B12" s="1"/>
      <c r="C12" s="1"/>
    </row>
    <row r="13" spans="1:11" x14ac:dyDescent="0.25">
      <c r="A13" s="1" t="s">
        <v>68</v>
      </c>
      <c r="B13" s="1"/>
      <c r="C13" s="1"/>
      <c r="D13" t="s">
        <v>73</v>
      </c>
    </row>
    <row r="15" spans="1:11" x14ac:dyDescent="0.25">
      <c r="A15" t="s">
        <v>69</v>
      </c>
    </row>
    <row r="17" spans="1:6" x14ac:dyDescent="0.25">
      <c r="D17" s="1" t="s">
        <v>2</v>
      </c>
    </row>
    <row r="18" spans="1:6" x14ac:dyDescent="0.25">
      <c r="B18" t="s">
        <v>5</v>
      </c>
      <c r="D18" t="s">
        <v>3</v>
      </c>
      <c r="E18" t="s">
        <v>4</v>
      </c>
    </row>
    <row r="19" spans="1:6" x14ac:dyDescent="0.25">
      <c r="B19">
        <v>1</v>
      </c>
      <c r="C19" s="8">
        <v>1000</v>
      </c>
      <c r="D19" s="8">
        <v>100</v>
      </c>
      <c r="E19">
        <v>100.5</v>
      </c>
      <c r="F19">
        <v>200</v>
      </c>
    </row>
    <row r="20" spans="1:6" x14ac:dyDescent="0.25">
      <c r="B20">
        <v>2</v>
      </c>
      <c r="C20">
        <v>100</v>
      </c>
      <c r="D20">
        <v>99.95</v>
      </c>
      <c r="E20">
        <v>101</v>
      </c>
      <c r="F20">
        <v>500</v>
      </c>
    </row>
    <row r="21" spans="1:6" x14ac:dyDescent="0.25">
      <c r="B21">
        <v>3</v>
      </c>
      <c r="C21">
        <v>400</v>
      </c>
      <c r="D21">
        <v>99.5</v>
      </c>
      <c r="E21">
        <v>101.5</v>
      </c>
      <c r="F21">
        <v>500</v>
      </c>
    </row>
    <row r="22" spans="1:6" x14ac:dyDescent="0.25">
      <c r="B22">
        <v>4</v>
      </c>
      <c r="C22">
        <v>300</v>
      </c>
      <c r="D22">
        <v>99</v>
      </c>
      <c r="E22">
        <v>102.5</v>
      </c>
      <c r="F22">
        <v>500</v>
      </c>
    </row>
    <row r="23" spans="1:6" x14ac:dyDescent="0.25">
      <c r="B23">
        <v>5</v>
      </c>
      <c r="C23">
        <v>300</v>
      </c>
      <c r="D23">
        <v>98.25</v>
      </c>
      <c r="E23">
        <v>103</v>
      </c>
      <c r="F23">
        <v>500</v>
      </c>
    </row>
    <row r="24" spans="1:6" x14ac:dyDescent="0.25">
      <c r="B24">
        <v>6</v>
      </c>
      <c r="C24">
        <v>300</v>
      </c>
      <c r="D24">
        <v>98</v>
      </c>
    </row>
    <row r="26" spans="1:6" x14ac:dyDescent="0.25">
      <c r="A26" s="1" t="s">
        <v>183</v>
      </c>
    </row>
    <row r="27" spans="1:6" x14ac:dyDescent="0.25">
      <c r="D27" s="1" t="s">
        <v>2</v>
      </c>
    </row>
    <row r="28" spans="1:6" x14ac:dyDescent="0.25">
      <c r="B28" t="s">
        <v>5</v>
      </c>
      <c r="D28" t="s">
        <v>3</v>
      </c>
      <c r="E28" t="s">
        <v>4</v>
      </c>
    </row>
    <row r="29" spans="1:6" x14ac:dyDescent="0.25">
      <c r="B29">
        <v>1</v>
      </c>
      <c r="C29" s="10">
        <v>200</v>
      </c>
      <c r="D29">
        <v>100.1</v>
      </c>
      <c r="E29">
        <v>100.5</v>
      </c>
      <c r="F29">
        <v>200</v>
      </c>
    </row>
    <row r="30" spans="1:6" x14ac:dyDescent="0.25">
      <c r="B30">
        <v>2</v>
      </c>
      <c r="C30" s="8">
        <v>1000</v>
      </c>
      <c r="D30" s="8">
        <v>100</v>
      </c>
      <c r="E30">
        <v>101</v>
      </c>
      <c r="F30">
        <v>500</v>
      </c>
    </row>
    <row r="31" spans="1:6" x14ac:dyDescent="0.25">
      <c r="B31">
        <v>3</v>
      </c>
      <c r="C31">
        <v>100</v>
      </c>
      <c r="D31">
        <v>99.95</v>
      </c>
      <c r="E31">
        <v>101.5</v>
      </c>
      <c r="F31">
        <v>500</v>
      </c>
    </row>
    <row r="32" spans="1:6" x14ac:dyDescent="0.25">
      <c r="B32">
        <v>4</v>
      </c>
      <c r="C32">
        <v>400</v>
      </c>
      <c r="D32">
        <v>99.5</v>
      </c>
      <c r="E32">
        <v>102.5</v>
      </c>
      <c r="F32">
        <v>500</v>
      </c>
    </row>
    <row r="33" spans="1:6" x14ac:dyDescent="0.25">
      <c r="B33">
        <v>5</v>
      </c>
      <c r="C33">
        <v>300</v>
      </c>
      <c r="D33">
        <v>99</v>
      </c>
      <c r="E33">
        <v>103</v>
      </c>
      <c r="F33">
        <v>500</v>
      </c>
    </row>
    <row r="34" spans="1:6" x14ac:dyDescent="0.25">
      <c r="B34">
        <v>6</v>
      </c>
      <c r="C34">
        <v>300</v>
      </c>
      <c r="D34">
        <v>98.25</v>
      </c>
    </row>
    <row r="35" spans="1:6" x14ac:dyDescent="0.25">
      <c r="C35">
        <v>300</v>
      </c>
      <c r="D35">
        <v>98</v>
      </c>
    </row>
    <row r="37" spans="1:6" x14ac:dyDescent="0.25">
      <c r="A37" t="s">
        <v>70</v>
      </c>
    </row>
    <row r="38" spans="1:6" x14ac:dyDescent="0.25">
      <c r="A38" t="s">
        <v>71</v>
      </c>
    </row>
    <row r="39" spans="1:6" x14ac:dyDescent="0.25">
      <c r="A39" t="s">
        <v>84</v>
      </c>
    </row>
    <row r="41" spans="1:6" x14ac:dyDescent="0.25">
      <c r="D41" s="1" t="s">
        <v>2</v>
      </c>
    </row>
    <row r="42" spans="1:6" x14ac:dyDescent="0.25">
      <c r="B42" t="s">
        <v>5</v>
      </c>
      <c r="D42" t="s">
        <v>3</v>
      </c>
      <c r="E42" t="s">
        <v>4</v>
      </c>
    </row>
    <row r="43" spans="1:6" x14ac:dyDescent="0.25">
      <c r="B43">
        <v>1</v>
      </c>
      <c r="C43">
        <v>200</v>
      </c>
      <c r="D43">
        <v>100.2</v>
      </c>
      <c r="E43">
        <v>100.5</v>
      </c>
      <c r="F43">
        <v>200</v>
      </c>
    </row>
    <row r="44" spans="1:6" x14ac:dyDescent="0.25">
      <c r="B44">
        <v>2</v>
      </c>
      <c r="C44" s="8">
        <v>1000</v>
      </c>
      <c r="D44" s="8">
        <v>100</v>
      </c>
      <c r="E44">
        <v>101</v>
      </c>
      <c r="F44">
        <v>500</v>
      </c>
    </row>
    <row r="45" spans="1:6" x14ac:dyDescent="0.25">
      <c r="B45">
        <v>3</v>
      </c>
      <c r="C45">
        <v>100</v>
      </c>
      <c r="D45">
        <v>99.95</v>
      </c>
      <c r="E45">
        <v>101.5</v>
      </c>
      <c r="F45">
        <v>500</v>
      </c>
    </row>
    <row r="46" spans="1:6" x14ac:dyDescent="0.25">
      <c r="B46">
        <v>4</v>
      </c>
      <c r="C46">
        <v>400</v>
      </c>
      <c r="D46">
        <v>99.5</v>
      </c>
      <c r="E46">
        <v>102.5</v>
      </c>
      <c r="F46">
        <v>500</v>
      </c>
    </row>
    <row r="47" spans="1:6" x14ac:dyDescent="0.25">
      <c r="B47">
        <v>5</v>
      </c>
      <c r="C47">
        <v>300</v>
      </c>
      <c r="D47">
        <v>99</v>
      </c>
      <c r="E47">
        <v>103</v>
      </c>
      <c r="F47">
        <v>500</v>
      </c>
    </row>
    <row r="48" spans="1:6" x14ac:dyDescent="0.25">
      <c r="B48">
        <v>6</v>
      </c>
      <c r="C48">
        <v>300</v>
      </c>
      <c r="D48">
        <v>98.25</v>
      </c>
    </row>
    <row r="49" spans="1:6" x14ac:dyDescent="0.25">
      <c r="C49">
        <v>300</v>
      </c>
      <c r="D49">
        <v>98</v>
      </c>
    </row>
    <row r="51" spans="1:6" x14ac:dyDescent="0.25">
      <c r="A51" t="s">
        <v>70</v>
      </c>
    </row>
    <row r="52" spans="1:6" x14ac:dyDescent="0.25">
      <c r="A52" t="s">
        <v>71</v>
      </c>
    </row>
    <row r="53" spans="1:6" x14ac:dyDescent="0.25">
      <c r="A53" t="s">
        <v>85</v>
      </c>
    </row>
    <row r="55" spans="1:6" x14ac:dyDescent="0.25">
      <c r="D55" s="1" t="s">
        <v>2</v>
      </c>
    </row>
    <row r="56" spans="1:6" x14ac:dyDescent="0.25">
      <c r="B56" t="s">
        <v>5</v>
      </c>
      <c r="D56" t="s">
        <v>3</v>
      </c>
      <c r="E56" t="s">
        <v>4</v>
      </c>
    </row>
    <row r="57" spans="1:6" x14ac:dyDescent="0.25">
      <c r="B57">
        <v>1</v>
      </c>
      <c r="C57">
        <v>200</v>
      </c>
      <c r="D57">
        <v>100.3</v>
      </c>
      <c r="E57">
        <v>100.5</v>
      </c>
      <c r="F57">
        <v>200</v>
      </c>
    </row>
    <row r="58" spans="1:6" x14ac:dyDescent="0.25">
      <c r="B58">
        <v>2</v>
      </c>
      <c r="C58" s="8">
        <v>1000</v>
      </c>
      <c r="D58" s="8">
        <v>100</v>
      </c>
      <c r="E58">
        <v>101</v>
      </c>
      <c r="F58">
        <v>500</v>
      </c>
    </row>
    <row r="59" spans="1:6" x14ac:dyDescent="0.25">
      <c r="B59">
        <v>3</v>
      </c>
      <c r="C59">
        <v>100</v>
      </c>
      <c r="D59">
        <v>99.95</v>
      </c>
      <c r="E59">
        <v>101.5</v>
      </c>
      <c r="F59">
        <v>500</v>
      </c>
    </row>
    <row r="60" spans="1:6" x14ac:dyDescent="0.25">
      <c r="B60">
        <v>4</v>
      </c>
      <c r="C60">
        <v>400</v>
      </c>
      <c r="D60">
        <v>99.5</v>
      </c>
      <c r="E60">
        <v>102.5</v>
      </c>
      <c r="F60">
        <v>500</v>
      </c>
    </row>
    <row r="61" spans="1:6" x14ac:dyDescent="0.25">
      <c r="B61">
        <v>5</v>
      </c>
      <c r="C61">
        <v>300</v>
      </c>
      <c r="D61">
        <v>99</v>
      </c>
      <c r="E61">
        <v>103</v>
      </c>
      <c r="F61">
        <v>500</v>
      </c>
    </row>
    <row r="62" spans="1:6" x14ac:dyDescent="0.25">
      <c r="B62">
        <v>6</v>
      </c>
      <c r="C62">
        <v>300</v>
      </c>
      <c r="D62">
        <v>98.25</v>
      </c>
    </row>
    <row r="63" spans="1:6" x14ac:dyDescent="0.25">
      <c r="C63">
        <v>300</v>
      </c>
      <c r="D63">
        <v>98</v>
      </c>
    </row>
    <row r="65" spans="1:6" x14ac:dyDescent="0.25">
      <c r="A65" t="s">
        <v>70</v>
      </c>
    </row>
    <row r="66" spans="1:6" x14ac:dyDescent="0.25">
      <c r="A66" t="s">
        <v>72</v>
      </c>
    </row>
    <row r="67" spans="1:6" x14ac:dyDescent="0.25">
      <c r="A67" t="s">
        <v>233</v>
      </c>
    </row>
    <row r="68" spans="1:6" x14ac:dyDescent="0.25">
      <c r="A68" t="s">
        <v>232</v>
      </c>
    </row>
    <row r="69" spans="1:6" x14ac:dyDescent="0.25">
      <c r="D69" s="1" t="s">
        <v>2</v>
      </c>
    </row>
    <row r="70" spans="1:6" x14ac:dyDescent="0.25">
      <c r="B70" t="s">
        <v>5</v>
      </c>
      <c r="D70" t="s">
        <v>3</v>
      </c>
      <c r="E70" t="s">
        <v>4</v>
      </c>
    </row>
    <row r="71" spans="1:6" x14ac:dyDescent="0.25">
      <c r="B71">
        <v>1</v>
      </c>
      <c r="C71">
        <v>200</v>
      </c>
      <c r="D71">
        <v>100.3</v>
      </c>
      <c r="E71">
        <v>100.5</v>
      </c>
      <c r="F71">
        <v>200</v>
      </c>
    </row>
    <row r="72" spans="1:6" x14ac:dyDescent="0.25">
      <c r="B72">
        <v>2</v>
      </c>
      <c r="C72" s="8">
        <v>1000</v>
      </c>
      <c r="D72" s="8">
        <v>100</v>
      </c>
      <c r="E72">
        <v>101</v>
      </c>
      <c r="F72">
        <v>500</v>
      </c>
    </row>
    <row r="73" spans="1:6" x14ac:dyDescent="0.25">
      <c r="B73">
        <v>3</v>
      </c>
      <c r="C73">
        <v>100</v>
      </c>
      <c r="D73">
        <v>99.95</v>
      </c>
      <c r="E73">
        <v>101.5</v>
      </c>
      <c r="F73">
        <v>500</v>
      </c>
    </row>
    <row r="74" spans="1:6" x14ac:dyDescent="0.25">
      <c r="B74">
        <v>4</v>
      </c>
      <c r="C74">
        <v>400</v>
      </c>
      <c r="D74">
        <v>99.5</v>
      </c>
      <c r="E74">
        <v>102.5</v>
      </c>
      <c r="F74">
        <v>500</v>
      </c>
    </row>
    <row r="75" spans="1:6" x14ac:dyDescent="0.25">
      <c r="B75">
        <v>5</v>
      </c>
      <c r="C75">
        <v>300</v>
      </c>
      <c r="D75">
        <v>99</v>
      </c>
      <c r="E75">
        <v>103</v>
      </c>
      <c r="F75">
        <v>500</v>
      </c>
    </row>
    <row r="76" spans="1:6" x14ac:dyDescent="0.25">
      <c r="B76">
        <v>6</v>
      </c>
      <c r="C76">
        <v>300</v>
      </c>
      <c r="D76">
        <v>98.25</v>
      </c>
    </row>
    <row r="77" spans="1:6" x14ac:dyDescent="0.25">
      <c r="C77">
        <v>300</v>
      </c>
      <c r="D77">
        <v>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C7:C19"/>
  <sheetViews>
    <sheetView zoomScale="150" zoomScaleNormal="150" workbookViewId="0">
      <selection activeCell="C15" sqref="C15"/>
    </sheetView>
  </sheetViews>
  <sheetFormatPr defaultRowHeight="15" x14ac:dyDescent="0.25"/>
  <cols>
    <col min="3" max="3" width="119.28515625" bestFit="1" customWidth="1"/>
  </cols>
  <sheetData>
    <row r="7" spans="3:3" x14ac:dyDescent="0.25">
      <c r="C7" s="1" t="s">
        <v>210</v>
      </c>
    </row>
    <row r="9" spans="3:3" x14ac:dyDescent="0.25">
      <c r="C9" s="1" t="s">
        <v>211</v>
      </c>
    </row>
    <row r="13" spans="3:3" x14ac:dyDescent="0.25">
      <c r="C13" s="1" t="s">
        <v>235</v>
      </c>
    </row>
    <row r="15" spans="3:3" ht="45.75" x14ac:dyDescent="0.25">
      <c r="C15" s="21" t="s">
        <v>234</v>
      </c>
    </row>
    <row r="17" spans="3:3" ht="60.75" x14ac:dyDescent="0.25">
      <c r="C17" s="21" t="s">
        <v>213</v>
      </c>
    </row>
    <row r="19" spans="3:3" ht="45.75" x14ac:dyDescent="0.25">
      <c r="C19" s="21" t="s">
        <v>214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
  <dimension ref="A2:L31"/>
  <sheetViews>
    <sheetView zoomScale="180" zoomScaleNormal="180" workbookViewId="0">
      <selection activeCell="F20" sqref="F20"/>
    </sheetView>
  </sheetViews>
  <sheetFormatPr defaultRowHeight="15" x14ac:dyDescent="0.25"/>
  <cols>
    <col min="5" max="7" width="9.140625" customWidth="1"/>
  </cols>
  <sheetData>
    <row r="2" spans="1:12" x14ac:dyDescent="0.25">
      <c r="F2" s="1"/>
    </row>
    <row r="3" spans="1:12" x14ac:dyDescent="0.25">
      <c r="B3" s="1" t="s">
        <v>2</v>
      </c>
      <c r="E3" t="s">
        <v>89</v>
      </c>
    </row>
    <row r="4" spans="1:12" x14ac:dyDescent="0.25">
      <c r="A4" t="s">
        <v>5</v>
      </c>
      <c r="B4" t="s">
        <v>3</v>
      </c>
      <c r="C4" t="s">
        <v>4</v>
      </c>
      <c r="E4" t="s">
        <v>311</v>
      </c>
    </row>
    <row r="5" spans="1:12" x14ac:dyDescent="0.25">
      <c r="A5">
        <v>1</v>
      </c>
      <c r="B5">
        <v>100</v>
      </c>
      <c r="C5">
        <v>100.5</v>
      </c>
      <c r="F5" s="1"/>
    </row>
    <row r="6" spans="1:12" x14ac:dyDescent="0.25">
      <c r="A6">
        <v>2</v>
      </c>
      <c r="B6">
        <v>99.5</v>
      </c>
      <c r="C6">
        <v>101</v>
      </c>
      <c r="F6" s="1"/>
    </row>
    <row r="7" spans="1:12" x14ac:dyDescent="0.25">
      <c r="A7">
        <v>3</v>
      </c>
      <c r="B7">
        <v>99</v>
      </c>
      <c r="C7">
        <v>101.5</v>
      </c>
      <c r="F7" s="1"/>
    </row>
    <row r="8" spans="1:12" x14ac:dyDescent="0.25">
      <c r="A8">
        <v>4</v>
      </c>
      <c r="B8">
        <v>98.25</v>
      </c>
      <c r="C8">
        <v>102.5</v>
      </c>
    </row>
    <row r="9" spans="1:12" x14ac:dyDescent="0.25">
      <c r="A9">
        <v>5</v>
      </c>
      <c r="B9">
        <v>98</v>
      </c>
      <c r="C9">
        <v>103</v>
      </c>
      <c r="F9" s="1"/>
      <c r="L9" s="1"/>
    </row>
    <row r="10" spans="1:12" x14ac:dyDescent="0.25">
      <c r="A10" s="1" t="s">
        <v>91</v>
      </c>
      <c r="L10" s="1"/>
    </row>
    <row r="11" spans="1:12" x14ac:dyDescent="0.25">
      <c r="A11" t="s">
        <v>90</v>
      </c>
    </row>
    <row r="12" spans="1:12" x14ac:dyDescent="0.25">
      <c r="B12" s="1" t="s">
        <v>2</v>
      </c>
    </row>
    <row r="13" spans="1:12" x14ac:dyDescent="0.25">
      <c r="A13" t="s">
        <v>5</v>
      </c>
      <c r="B13" t="s">
        <v>3</v>
      </c>
      <c r="C13" t="s">
        <v>4</v>
      </c>
    </row>
    <row r="14" spans="1:12" x14ac:dyDescent="0.25">
      <c r="A14">
        <v>1</v>
      </c>
      <c r="B14">
        <v>100.4</v>
      </c>
      <c r="C14">
        <v>100.5</v>
      </c>
    </row>
    <row r="15" spans="1:12" x14ac:dyDescent="0.25">
      <c r="A15">
        <v>2</v>
      </c>
      <c r="B15">
        <v>100</v>
      </c>
      <c r="C15">
        <v>101</v>
      </c>
    </row>
    <row r="16" spans="1:12" x14ac:dyDescent="0.25">
      <c r="A16">
        <v>3</v>
      </c>
      <c r="B16">
        <v>99.5</v>
      </c>
      <c r="C16">
        <v>101.5</v>
      </c>
    </row>
    <row r="17" spans="1:11" x14ac:dyDescent="0.25">
      <c r="A17">
        <v>4</v>
      </c>
      <c r="B17">
        <v>99</v>
      </c>
      <c r="C17">
        <v>102.5</v>
      </c>
    </row>
    <row r="18" spans="1:11" x14ac:dyDescent="0.25">
      <c r="A18">
        <v>5</v>
      </c>
      <c r="B18">
        <v>98.25</v>
      </c>
      <c r="C18">
        <v>103</v>
      </c>
    </row>
    <row r="19" spans="1:11" x14ac:dyDescent="0.25">
      <c r="B19">
        <v>98</v>
      </c>
      <c r="F19" s="1"/>
    </row>
    <row r="20" spans="1:11" x14ac:dyDescent="0.25">
      <c r="F20" s="1"/>
    </row>
    <row r="23" spans="1:11" x14ac:dyDescent="0.25">
      <c r="A23" s="1" t="s">
        <v>310</v>
      </c>
      <c r="F23" s="1"/>
    </row>
    <row r="24" spans="1:11" x14ac:dyDescent="0.25">
      <c r="A24" t="s">
        <v>90</v>
      </c>
      <c r="F24" s="1"/>
    </row>
    <row r="25" spans="1:11" x14ac:dyDescent="0.25">
      <c r="B25" s="1" t="s">
        <v>2</v>
      </c>
      <c r="E25" s="1" t="s">
        <v>309</v>
      </c>
    </row>
    <row r="26" spans="1:11" x14ac:dyDescent="0.25">
      <c r="A26" t="s">
        <v>5</v>
      </c>
      <c r="B26" t="s">
        <v>3</v>
      </c>
      <c r="C26" t="s">
        <v>4</v>
      </c>
      <c r="K26" s="1"/>
    </row>
    <row r="27" spans="1:11" x14ac:dyDescent="0.25">
      <c r="A27">
        <v>1</v>
      </c>
      <c r="B27">
        <v>100</v>
      </c>
      <c r="C27">
        <v>100.3</v>
      </c>
      <c r="F27" s="1"/>
    </row>
    <row r="28" spans="1:11" x14ac:dyDescent="0.25">
      <c r="A28">
        <v>2</v>
      </c>
      <c r="B28">
        <v>99.5</v>
      </c>
      <c r="C28">
        <v>101</v>
      </c>
      <c r="F28" s="1"/>
    </row>
    <row r="29" spans="1:11" x14ac:dyDescent="0.25">
      <c r="A29">
        <v>3</v>
      </c>
      <c r="B29">
        <v>99</v>
      </c>
      <c r="C29">
        <v>101.5</v>
      </c>
      <c r="F29" s="1"/>
    </row>
    <row r="30" spans="1:11" x14ac:dyDescent="0.25">
      <c r="A30">
        <v>4</v>
      </c>
      <c r="B30">
        <v>98.25</v>
      </c>
      <c r="C30">
        <v>102.5</v>
      </c>
    </row>
    <row r="31" spans="1:11" x14ac:dyDescent="0.25">
      <c r="A31">
        <v>5</v>
      </c>
      <c r="B31">
        <v>98</v>
      </c>
      <c r="C31">
        <v>103</v>
      </c>
      <c r="F31" s="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D6:G14"/>
  <sheetViews>
    <sheetView zoomScale="150" zoomScaleNormal="150" workbookViewId="0">
      <selection activeCell="H33" sqref="H33"/>
    </sheetView>
  </sheetViews>
  <sheetFormatPr defaultRowHeight="15" x14ac:dyDescent="0.25"/>
  <sheetData>
    <row r="6" spans="4:7" x14ac:dyDescent="0.25">
      <c r="D6" t="s">
        <v>112</v>
      </c>
      <c r="F6" s="1" t="s">
        <v>38</v>
      </c>
    </row>
    <row r="7" spans="4:7" x14ac:dyDescent="0.25">
      <c r="F7">
        <v>100</v>
      </c>
    </row>
    <row r="8" spans="4:7" x14ac:dyDescent="0.25">
      <c r="E8" s="1" t="s">
        <v>323</v>
      </c>
      <c r="G8" s="1" t="s">
        <v>324</v>
      </c>
    </row>
    <row r="9" spans="4:7" x14ac:dyDescent="0.25">
      <c r="E9">
        <v>99.5</v>
      </c>
      <c r="G9">
        <v>100.5</v>
      </c>
    </row>
    <row r="11" spans="4:7" x14ac:dyDescent="0.25">
      <c r="D11" t="s">
        <v>325</v>
      </c>
      <c r="F11" s="1" t="s">
        <v>38</v>
      </c>
    </row>
    <row r="12" spans="4:7" x14ac:dyDescent="0.25">
      <c r="F12">
        <v>99.8</v>
      </c>
    </row>
    <row r="13" spans="4:7" x14ac:dyDescent="0.25">
      <c r="E13" s="1" t="s">
        <v>323</v>
      </c>
      <c r="G13" s="1" t="s">
        <v>324</v>
      </c>
    </row>
    <row r="14" spans="4:7" x14ac:dyDescent="0.25">
      <c r="E14">
        <v>99.3</v>
      </c>
      <c r="G14">
        <v>100.3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Charts</vt:lpstr>
      </vt:variant>
      <vt:variant>
        <vt:i4>3</vt:i4>
      </vt:variant>
    </vt:vector>
  </HeadingPairs>
  <TitlesOfParts>
    <vt:vector size="22" baseType="lpstr">
      <vt:lpstr>Gain_Prob</vt:lpstr>
      <vt:lpstr>Pegging</vt:lpstr>
      <vt:lpstr>Discretion</vt:lpstr>
      <vt:lpstr>Microsoft_eg</vt:lpstr>
      <vt:lpstr>VWAP</vt:lpstr>
      <vt:lpstr>Pegging+Discretion</vt:lpstr>
      <vt:lpstr>Pegging+Discretion_Sell</vt:lpstr>
      <vt:lpstr>Guerilla</vt:lpstr>
      <vt:lpstr>Defns</vt:lpstr>
      <vt:lpstr>TTH</vt:lpstr>
      <vt:lpstr>Algo1</vt:lpstr>
      <vt:lpstr>Algo2_Stub</vt:lpstr>
      <vt:lpstr>EV of modifying_1</vt:lpstr>
      <vt:lpstr>EV of modifying_2</vt:lpstr>
      <vt:lpstr>Pegging with Threshold</vt:lpstr>
      <vt:lpstr>Pegging with Threshold_sign siz</vt:lpstr>
      <vt:lpstr>DR_tips</vt:lpstr>
      <vt:lpstr>Post only</vt:lpstr>
      <vt:lpstr>Sheet1</vt:lpstr>
      <vt:lpstr>Chart1</vt:lpstr>
      <vt:lpstr>Bid-Ask-Vwap</vt:lpstr>
      <vt:lpstr>Bid-Ask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Nitin Aggarwal</dc:creator>
  <cp:lastModifiedBy>Nicholas Burgess</cp:lastModifiedBy>
  <dcterms:created xsi:type="dcterms:W3CDTF">2018-10-20T05:07:00Z</dcterms:created>
  <dcterms:modified xsi:type="dcterms:W3CDTF">2023-11-06T17:57:40Z</dcterms:modified>
</cp:coreProperties>
</file>